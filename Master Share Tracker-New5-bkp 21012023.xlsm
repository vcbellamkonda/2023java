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filterPrivacy="1" codeName="ThisWorkbook" defaultThemeVersion="124226"/>
  <xr:revisionPtr revIDLastSave="0" documentId="13_ncr:1_{05449C77-FB02-4EAD-89EB-E8B9A894586F}" xr6:coauthVersionLast="47" xr6:coauthVersionMax="47" xr10:uidLastSave="{00000000-0000-0000-0000-000000000000}"/>
  <bookViews>
    <workbookView xWindow="-110" yWindow="-110" windowWidth="19420" windowHeight="10420" tabRatio="668" xr2:uid="{00000000-000D-0000-FFFF-FFFF00000000}"/>
  </bookViews>
  <sheets>
    <sheet name="MS" sheetId="1" r:id="rId1"/>
    <sheet name="MCL" sheetId="2" r:id="rId2"/>
    <sheet name="PFL" sheetId="3" r:id="rId3"/>
    <sheet name="MCR" sheetId="4" r:id="rId4"/>
    <sheet name="TR" sheetId="5" r:id="rId5"/>
    <sheet name="P&amp;L" sheetId="7" r:id="rId6"/>
    <sheet name="SA" sheetId="15" r:id="rId7"/>
    <sheet name="Add" sheetId="12" r:id="rId8"/>
    <sheet name="SL" sheetId="16" r:id="rId9"/>
    <sheet name="Sheet1" sheetId="17" r:id="rId10"/>
    <sheet name="NSA" sheetId="18" r:id="rId11"/>
    <sheet name="IB" sheetId="19" r:id="rId12"/>
    <sheet name="Z-V" sheetId="20" r:id="rId13"/>
    <sheet name="Z-R" sheetId="21" r:id="rId14"/>
    <sheet name="Z-S" sheetId="22" r:id="rId15"/>
    <sheet name="U-S" sheetId="23" r:id="rId16"/>
    <sheet name="An" sheetId="24" r:id="rId17"/>
  </sheets>
  <externalReferences>
    <externalReference r:id="rId18"/>
  </externalReferences>
  <definedNames>
    <definedName name="_xlnm._FilterDatabase" localSheetId="7" hidden="1">Add!$B$2:$G$2</definedName>
    <definedName name="_xlnm._FilterDatabase" localSheetId="1" hidden="1">MCL!$A$1:$I$1</definedName>
    <definedName name="_xlnm._FilterDatabase" localSheetId="3" hidden="1">MCR!$A$1:$E$87</definedName>
    <definedName name="_xlnm._FilterDatabase" localSheetId="0" hidden="1">MS!$A$2:$AL$94</definedName>
    <definedName name="_xlnm._FilterDatabase" localSheetId="10" hidden="1">NSA!$A$17:$DE$22</definedName>
    <definedName name="_xlnm._FilterDatabase" localSheetId="5" hidden="1">'P&amp;L'!$A$2:$L$98</definedName>
    <definedName name="_xlnm._FilterDatabase" localSheetId="2" hidden="1">PFL!$A$1:$M$1010</definedName>
    <definedName name="_xlnm._FilterDatabase" localSheetId="6" hidden="1">SA!$A$17:$DG$120</definedName>
    <definedName name="_xlnm._FilterDatabase" localSheetId="9" hidden="1">Sheet1!$B$1:$C$1</definedName>
    <definedName name="_xlnm._FilterDatabase" localSheetId="8" hidden="1">SL!$B$2:$G$2</definedName>
    <definedName name="_xlnm._FilterDatabase" localSheetId="4" hidden="1">TR!$A$2:$P$668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69" i="5" l="1"/>
  <c r="O670" i="5"/>
  <c r="O671" i="5"/>
  <c r="O672" i="5"/>
  <c r="O673" i="5"/>
  <c r="O674" i="5"/>
  <c r="O675" i="5"/>
  <c r="O676" i="5"/>
  <c r="O677" i="5"/>
  <c r="O678" i="5"/>
  <c r="O679" i="5"/>
  <c r="O680" i="5"/>
  <c r="O681" i="5"/>
  <c r="O682" i="5"/>
  <c r="O683" i="5"/>
  <c r="O684" i="5"/>
  <c r="O685" i="5"/>
  <c r="O686" i="5"/>
  <c r="O687" i="5"/>
  <c r="O688" i="5"/>
  <c r="O689" i="5"/>
  <c r="O690" i="5"/>
  <c r="O691" i="5"/>
  <c r="O692" i="5"/>
  <c r="O693" i="5"/>
  <c r="O694" i="5"/>
  <c r="O695" i="5"/>
  <c r="O696" i="5"/>
  <c r="O697" i="5"/>
  <c r="O698" i="5"/>
  <c r="O699" i="5"/>
  <c r="N1" i="5"/>
  <c r="M1" i="5"/>
  <c r="L1" i="5"/>
  <c r="O668" i="5" l="1"/>
  <c r="O667" i="5"/>
  <c r="O666" i="5"/>
  <c r="O665" i="5"/>
  <c r="O664" i="5"/>
  <c r="O663" i="5"/>
  <c r="O662" i="5"/>
  <c r="O661" i="5"/>
  <c r="O660" i="5"/>
  <c r="O659" i="5"/>
  <c r="O658" i="5"/>
  <c r="O657" i="5"/>
  <c r="O656" i="5"/>
  <c r="O655" i="5"/>
  <c r="O654" i="5"/>
  <c r="O653" i="5"/>
  <c r="O652" i="5"/>
  <c r="O651" i="5"/>
  <c r="O650" i="5"/>
  <c r="O649" i="5"/>
  <c r="O648" i="5"/>
  <c r="O647" i="5"/>
  <c r="O646" i="5"/>
  <c r="O645" i="5"/>
  <c r="O644" i="5"/>
  <c r="O643" i="5"/>
  <c r="O642" i="5"/>
  <c r="O641" i="5"/>
  <c r="O640" i="5"/>
  <c r="O639" i="5"/>
  <c r="O638" i="5"/>
  <c r="O637" i="5"/>
  <c r="O636" i="5"/>
  <c r="O635" i="5"/>
  <c r="O634" i="5"/>
  <c r="O633" i="5"/>
  <c r="O632" i="5"/>
  <c r="O631" i="5"/>
  <c r="O630" i="5"/>
  <c r="O629" i="5"/>
  <c r="O628" i="5"/>
  <c r="O627" i="5"/>
  <c r="O626" i="5"/>
  <c r="O625" i="5"/>
  <c r="O624" i="5"/>
  <c r="O623" i="5"/>
  <c r="O622" i="5"/>
  <c r="O621" i="5"/>
  <c r="O620" i="5"/>
  <c r="O619" i="5"/>
  <c r="O618" i="5"/>
  <c r="O617" i="5"/>
  <c r="O616" i="5"/>
  <c r="O615" i="5"/>
  <c r="O614" i="5"/>
  <c r="O613" i="5"/>
  <c r="O612" i="5"/>
  <c r="O611" i="5"/>
  <c r="O610" i="5"/>
  <c r="O609" i="5"/>
  <c r="O608" i="5"/>
  <c r="O607" i="5"/>
  <c r="O606" i="5"/>
  <c r="O605" i="5"/>
  <c r="O604" i="5"/>
  <c r="O603" i="5"/>
  <c r="O602" i="5"/>
  <c r="O601" i="5"/>
  <c r="O600" i="5"/>
  <c r="O599" i="5"/>
  <c r="O598" i="5"/>
  <c r="O597" i="5"/>
  <c r="O596" i="5"/>
  <c r="O595" i="5"/>
  <c r="O594" i="5"/>
  <c r="O593" i="5"/>
  <c r="O592" i="5"/>
  <c r="O591" i="5"/>
  <c r="O590" i="5"/>
  <c r="O589" i="5"/>
  <c r="O588" i="5"/>
  <c r="O587" i="5"/>
  <c r="O586" i="5"/>
  <c r="O585" i="5"/>
  <c r="O584" i="5"/>
  <c r="O583" i="5"/>
  <c r="O582" i="5"/>
  <c r="O581" i="5"/>
  <c r="O580" i="5"/>
  <c r="O579" i="5"/>
  <c r="O578" i="5"/>
  <c r="O577" i="5"/>
  <c r="O576" i="5"/>
  <c r="O575" i="5"/>
  <c r="O574" i="5"/>
  <c r="O573" i="5"/>
  <c r="O572" i="5"/>
  <c r="O571" i="5"/>
  <c r="O570" i="5"/>
  <c r="O569" i="5"/>
  <c r="O568" i="5"/>
  <c r="O567" i="5"/>
  <c r="O566" i="5"/>
  <c r="O565" i="5"/>
  <c r="O564" i="5"/>
  <c r="O563" i="5"/>
  <c r="O562" i="5"/>
  <c r="O561" i="5"/>
  <c r="O560" i="5"/>
  <c r="O559" i="5"/>
  <c r="O558" i="5"/>
  <c r="O557" i="5"/>
  <c r="O556" i="5"/>
  <c r="O555" i="5"/>
  <c r="O554" i="5"/>
  <c r="O553" i="5"/>
  <c r="O552" i="5"/>
  <c r="O551" i="5"/>
  <c r="O550" i="5"/>
  <c r="O549" i="5"/>
  <c r="O548" i="5"/>
  <c r="O547" i="5"/>
  <c r="O546" i="5"/>
  <c r="O545" i="5"/>
  <c r="O544" i="5"/>
  <c r="O543" i="5"/>
  <c r="O542" i="5"/>
  <c r="O541" i="5"/>
  <c r="O540" i="5"/>
  <c r="O539" i="5"/>
  <c r="O538" i="5"/>
  <c r="O537" i="5"/>
  <c r="O536" i="5"/>
  <c r="O535" i="5"/>
  <c r="O534" i="5"/>
  <c r="O533" i="5"/>
  <c r="O532" i="5"/>
  <c r="O531" i="5"/>
  <c r="O530" i="5"/>
  <c r="O529" i="5"/>
  <c r="O528" i="5"/>
  <c r="O527" i="5"/>
  <c r="O526" i="5"/>
  <c r="O525" i="5"/>
  <c r="O524" i="5"/>
  <c r="O523" i="5"/>
  <c r="O522" i="5"/>
  <c r="O521" i="5"/>
  <c r="O520" i="5"/>
  <c r="O519" i="5"/>
  <c r="O518" i="5"/>
  <c r="O517" i="5"/>
  <c r="O516" i="5"/>
  <c r="O515" i="5"/>
  <c r="O514" i="5"/>
  <c r="O513" i="5"/>
  <c r="O512" i="5"/>
  <c r="O511" i="5"/>
  <c r="O510" i="5"/>
  <c r="O509" i="5"/>
  <c r="O508" i="5"/>
  <c r="O507" i="5"/>
  <c r="O506" i="5"/>
  <c r="O505" i="5"/>
  <c r="O504" i="5"/>
  <c r="O503" i="5"/>
  <c r="O502" i="5"/>
  <c r="O501" i="5"/>
  <c r="O500" i="5"/>
  <c r="O499" i="5"/>
  <c r="O498" i="5"/>
  <c r="O497" i="5"/>
  <c r="O496" i="5"/>
  <c r="O495" i="5"/>
  <c r="O494" i="5"/>
  <c r="O493" i="5"/>
  <c r="O492" i="5"/>
  <c r="O491" i="5"/>
  <c r="O490" i="5"/>
  <c r="O489" i="5"/>
  <c r="O488" i="5"/>
  <c r="O487" i="5"/>
  <c r="O486" i="5"/>
  <c r="O485" i="5"/>
  <c r="O484" i="5"/>
  <c r="O483" i="5"/>
  <c r="O482" i="5"/>
  <c r="O481" i="5"/>
  <c r="O480" i="5"/>
  <c r="O479" i="5"/>
  <c r="O478" i="5"/>
  <c r="O477" i="5"/>
  <c r="O476" i="5"/>
  <c r="O475" i="5"/>
  <c r="O474" i="5"/>
  <c r="O473" i="5"/>
  <c r="O472" i="5"/>
  <c r="O471" i="5"/>
  <c r="O470" i="5"/>
  <c r="O469" i="5"/>
  <c r="O468" i="5"/>
  <c r="O467" i="5"/>
  <c r="O466" i="5"/>
  <c r="O465" i="5"/>
  <c r="O464" i="5"/>
  <c r="O463" i="5"/>
  <c r="O462" i="5"/>
  <c r="O461" i="5"/>
  <c r="O460" i="5"/>
  <c r="O459" i="5"/>
  <c r="O458" i="5"/>
  <c r="O457" i="5"/>
  <c r="O456" i="5"/>
  <c r="O455" i="5"/>
  <c r="O454" i="5"/>
  <c r="O453" i="5"/>
  <c r="O452" i="5"/>
  <c r="O451" i="5"/>
  <c r="O450" i="5"/>
  <c r="O449" i="5"/>
  <c r="O448" i="5"/>
  <c r="O447" i="5"/>
  <c r="O446" i="5"/>
  <c r="O445" i="5"/>
  <c r="O444" i="5"/>
  <c r="O443" i="5"/>
  <c r="O442" i="5"/>
  <c r="O441" i="5"/>
  <c r="O440" i="5"/>
  <c r="O439" i="5"/>
  <c r="O438" i="5"/>
  <c r="O437" i="5"/>
  <c r="O436" i="5"/>
  <c r="O435" i="5"/>
  <c r="O434" i="5"/>
  <c r="O433" i="5"/>
  <c r="O432" i="5"/>
  <c r="O431" i="5"/>
  <c r="O430" i="5"/>
  <c r="O429" i="5"/>
  <c r="O428" i="5"/>
  <c r="O427" i="5"/>
  <c r="O426" i="5"/>
  <c r="O425" i="5"/>
  <c r="O424" i="5"/>
  <c r="O423" i="5"/>
  <c r="O422" i="5"/>
  <c r="O421" i="5"/>
  <c r="O420" i="5"/>
  <c r="O419" i="5"/>
  <c r="O418" i="5"/>
  <c r="O417" i="5"/>
  <c r="O416" i="5"/>
  <c r="O415" i="5"/>
  <c r="O414" i="5"/>
  <c r="O413" i="5"/>
  <c r="O412" i="5"/>
  <c r="O411" i="5"/>
  <c r="O410" i="5"/>
  <c r="O409" i="5"/>
  <c r="O408" i="5"/>
  <c r="O407" i="5"/>
  <c r="O406" i="5"/>
  <c r="O405" i="5"/>
  <c r="O404" i="5"/>
  <c r="O403" i="5"/>
  <c r="O402" i="5"/>
  <c r="O401" i="5"/>
  <c r="O400" i="5"/>
  <c r="O399" i="5"/>
  <c r="O398" i="5"/>
  <c r="O397" i="5"/>
  <c r="O396" i="5"/>
  <c r="O395" i="5"/>
  <c r="O394" i="5"/>
  <c r="O393" i="5"/>
  <c r="O392" i="5"/>
  <c r="O391" i="5"/>
  <c r="O390" i="5"/>
  <c r="O389" i="5"/>
  <c r="O388" i="5"/>
  <c r="O387" i="5"/>
  <c r="O386" i="5"/>
  <c r="O385" i="5"/>
  <c r="O384" i="5"/>
  <c r="O383" i="5"/>
  <c r="O382" i="5"/>
  <c r="O381" i="5"/>
  <c r="O380" i="5"/>
  <c r="O379" i="5"/>
  <c r="O378" i="5"/>
  <c r="O377" i="5"/>
  <c r="O376" i="5"/>
  <c r="O375" i="5"/>
  <c r="O374" i="5"/>
  <c r="O373" i="5"/>
  <c r="O372" i="5"/>
  <c r="O371" i="5"/>
  <c r="O370" i="5"/>
  <c r="O369" i="5"/>
  <c r="O368" i="5"/>
  <c r="O367" i="5"/>
  <c r="O366" i="5"/>
  <c r="O365" i="5"/>
  <c r="O364" i="5"/>
  <c r="O363" i="5"/>
  <c r="O362" i="5"/>
  <c r="O361" i="5"/>
  <c r="O360" i="5"/>
  <c r="O359" i="5"/>
  <c r="O358" i="5"/>
  <c r="O357" i="5"/>
  <c r="O356" i="5"/>
  <c r="O355" i="5"/>
  <c r="O354" i="5"/>
  <c r="O353" i="5"/>
  <c r="O352" i="5"/>
  <c r="O351" i="5"/>
  <c r="O350" i="5"/>
  <c r="O349" i="5"/>
  <c r="O348" i="5"/>
  <c r="O347" i="5"/>
  <c r="O346" i="5"/>
  <c r="O345" i="5"/>
  <c r="O344" i="5"/>
  <c r="O343" i="5"/>
  <c r="O342" i="5"/>
  <c r="O341" i="5"/>
  <c r="O340" i="5"/>
  <c r="O339" i="5"/>
  <c r="O338" i="5"/>
  <c r="O337" i="5"/>
  <c r="O336" i="5"/>
  <c r="O335" i="5"/>
  <c r="O334" i="5"/>
  <c r="O333" i="5"/>
  <c r="O332" i="5"/>
  <c r="O331" i="5"/>
  <c r="O330" i="5"/>
  <c r="O329" i="5"/>
  <c r="O328" i="5"/>
  <c r="O327" i="5"/>
  <c r="O326" i="5"/>
  <c r="O325" i="5"/>
  <c r="O324" i="5"/>
  <c r="O323" i="5"/>
  <c r="O322" i="5"/>
  <c r="O321" i="5"/>
  <c r="O320" i="5"/>
  <c r="O319" i="5"/>
  <c r="O318" i="5"/>
  <c r="O317" i="5"/>
  <c r="O316" i="5"/>
  <c r="O315" i="5"/>
  <c r="O314" i="5"/>
  <c r="O313" i="5"/>
  <c r="O312" i="5"/>
  <c r="O311" i="5"/>
  <c r="O310" i="5"/>
  <c r="O309" i="5"/>
  <c r="O308" i="5"/>
  <c r="O307" i="5"/>
  <c r="O306" i="5"/>
  <c r="O305" i="5"/>
  <c r="O304" i="5"/>
  <c r="O303" i="5"/>
  <c r="O302" i="5"/>
  <c r="O301" i="5"/>
  <c r="O300" i="5"/>
  <c r="O299" i="5"/>
  <c r="O298" i="5"/>
  <c r="O297" i="5"/>
  <c r="O296" i="5"/>
  <c r="O295" i="5"/>
  <c r="O294" i="5"/>
  <c r="O293" i="5"/>
  <c r="O292" i="5"/>
  <c r="O291" i="5"/>
  <c r="O290" i="5"/>
  <c r="O289" i="5"/>
  <c r="O288" i="5"/>
  <c r="O287" i="5"/>
  <c r="O286" i="5"/>
  <c r="O285" i="5"/>
  <c r="O284" i="5"/>
  <c r="O283" i="5"/>
  <c r="O282" i="5"/>
  <c r="O281" i="5"/>
  <c r="O280" i="5"/>
  <c r="O279" i="5"/>
  <c r="O278" i="5"/>
  <c r="O277" i="5"/>
  <c r="O276" i="5"/>
  <c r="O275" i="5"/>
  <c r="O274" i="5"/>
  <c r="O273" i="5"/>
  <c r="O272" i="5"/>
  <c r="O271" i="5"/>
  <c r="O270" i="5"/>
  <c r="O269" i="5"/>
  <c r="O268" i="5"/>
  <c r="O267" i="5"/>
  <c r="O266" i="5"/>
  <c r="O265" i="5"/>
  <c r="O264" i="5"/>
  <c r="O263" i="5"/>
  <c r="O262" i="5"/>
  <c r="O261" i="5"/>
  <c r="O260" i="5"/>
  <c r="O259" i="5"/>
  <c r="O258" i="5"/>
  <c r="O257" i="5"/>
  <c r="O256" i="5"/>
  <c r="O255" i="5"/>
  <c r="O254" i="5"/>
  <c r="O253" i="5"/>
  <c r="O252" i="5"/>
  <c r="O251" i="5"/>
  <c r="O250" i="5"/>
  <c r="O249" i="5"/>
  <c r="O248" i="5"/>
  <c r="O247" i="5"/>
  <c r="O246" i="5"/>
  <c r="O245" i="5"/>
  <c r="O244" i="5"/>
  <c r="O243" i="5"/>
  <c r="O242" i="5"/>
  <c r="O241" i="5"/>
  <c r="O240" i="5"/>
  <c r="O239" i="5"/>
  <c r="O238" i="5"/>
  <c r="O237" i="5"/>
  <c r="O236" i="5"/>
  <c r="O235" i="5"/>
  <c r="O234" i="5"/>
  <c r="O233" i="5"/>
  <c r="O232" i="5"/>
  <c r="O231" i="5"/>
  <c r="O230" i="5"/>
  <c r="O229" i="5"/>
  <c r="O228" i="5"/>
  <c r="O227" i="5"/>
  <c r="O226" i="5"/>
  <c r="O225" i="5"/>
  <c r="O224" i="5"/>
  <c r="O223" i="5"/>
  <c r="O222" i="5"/>
  <c r="O221" i="5"/>
  <c r="O220" i="5"/>
  <c r="O219" i="5"/>
  <c r="O218" i="5"/>
  <c r="O217" i="5"/>
  <c r="O216" i="5"/>
  <c r="O215" i="5"/>
  <c r="O214" i="5"/>
  <c r="O213" i="5"/>
  <c r="O212" i="5"/>
  <c r="O211" i="5"/>
  <c r="O210" i="5"/>
  <c r="O209" i="5"/>
  <c r="O208" i="5"/>
  <c r="O207" i="5"/>
  <c r="O206" i="5"/>
  <c r="O205" i="5"/>
  <c r="O204" i="5"/>
  <c r="O203" i="5"/>
  <c r="O202" i="5"/>
  <c r="O201" i="5"/>
  <c r="O200" i="5"/>
  <c r="O199" i="5"/>
  <c r="O198" i="5"/>
  <c r="O197" i="5"/>
  <c r="O196" i="5"/>
  <c r="O195" i="5"/>
  <c r="O194" i="5"/>
  <c r="O193" i="5"/>
  <c r="O192" i="5"/>
  <c r="O191" i="5"/>
  <c r="O190" i="5"/>
  <c r="O189" i="5"/>
  <c r="O188" i="5"/>
  <c r="O187" i="5"/>
  <c r="O186" i="5"/>
  <c r="O185" i="5"/>
  <c r="O184" i="5"/>
  <c r="O183" i="5"/>
  <c r="O182" i="5"/>
  <c r="O181" i="5"/>
  <c r="O180" i="5"/>
  <c r="O179" i="5"/>
  <c r="O178" i="5"/>
  <c r="O177" i="5"/>
  <c r="O176" i="5"/>
  <c r="O175" i="5"/>
  <c r="O174" i="5"/>
  <c r="O173" i="5"/>
  <c r="O172" i="5"/>
  <c r="O171" i="5"/>
  <c r="O170" i="5"/>
  <c r="O169" i="5"/>
  <c r="O168" i="5"/>
  <c r="O167" i="5"/>
  <c r="O166" i="5"/>
  <c r="O165" i="5"/>
  <c r="O164" i="5"/>
  <c r="O163" i="5"/>
  <c r="O162" i="5"/>
  <c r="O161" i="5"/>
  <c r="O160" i="5"/>
  <c r="O159" i="5"/>
  <c r="O158" i="5"/>
  <c r="O157" i="5"/>
  <c r="O156" i="5"/>
  <c r="O155" i="5"/>
  <c r="O154" i="5"/>
  <c r="O153" i="5"/>
  <c r="O152" i="5"/>
  <c r="O151" i="5"/>
  <c r="O150" i="5"/>
  <c r="O149" i="5"/>
  <c r="O148" i="5"/>
  <c r="O147" i="5"/>
  <c r="O146" i="5"/>
  <c r="O145" i="5"/>
  <c r="O144" i="5"/>
  <c r="O143" i="5"/>
  <c r="O142" i="5"/>
  <c r="O141" i="5"/>
  <c r="O140" i="5"/>
  <c r="O139" i="5"/>
  <c r="O138" i="5"/>
  <c r="O137" i="5"/>
  <c r="O136" i="5"/>
  <c r="O135" i="5"/>
  <c r="O134" i="5"/>
  <c r="O133" i="5"/>
  <c r="O132" i="5"/>
  <c r="O131" i="5"/>
  <c r="O130" i="5"/>
  <c r="O129" i="5"/>
  <c r="O128" i="5"/>
  <c r="O127" i="5"/>
  <c r="O126" i="5"/>
  <c r="O125" i="5"/>
  <c r="O124" i="5"/>
  <c r="O123" i="5"/>
  <c r="O122" i="5"/>
  <c r="O121" i="5"/>
  <c r="O120" i="5"/>
  <c r="O119" i="5"/>
  <c r="O118" i="5"/>
  <c r="O117" i="5"/>
  <c r="O116" i="5"/>
  <c r="O115" i="5"/>
  <c r="O114" i="5"/>
  <c r="O113" i="5"/>
  <c r="O112" i="5"/>
  <c r="O111" i="5"/>
  <c r="O110" i="5"/>
  <c r="O109" i="5"/>
  <c r="O108" i="5"/>
  <c r="O107" i="5"/>
  <c r="O106" i="5"/>
  <c r="O105" i="5"/>
  <c r="O104" i="5"/>
  <c r="O103" i="5"/>
  <c r="O102" i="5"/>
  <c r="O101" i="5"/>
  <c r="O100" i="5"/>
  <c r="O99" i="5"/>
  <c r="O98" i="5"/>
  <c r="O97" i="5"/>
  <c r="O96" i="5"/>
  <c r="O95" i="5"/>
  <c r="O94" i="5"/>
  <c r="O93" i="5"/>
  <c r="O92" i="5"/>
  <c r="O91" i="5"/>
  <c r="O90" i="5"/>
  <c r="O89" i="5"/>
  <c r="O88" i="5"/>
  <c r="O87" i="5"/>
  <c r="O86" i="5"/>
  <c r="O85" i="5"/>
  <c r="O84" i="5"/>
  <c r="O83" i="5"/>
  <c r="O82" i="5"/>
  <c r="O81" i="5"/>
  <c r="O80" i="5"/>
  <c r="O79" i="5"/>
  <c r="O78" i="5"/>
  <c r="O77" i="5"/>
  <c r="O76" i="5"/>
  <c r="O75" i="5"/>
  <c r="O74" i="5"/>
  <c r="O73" i="5"/>
  <c r="O72" i="5"/>
  <c r="O71" i="5"/>
  <c r="O70" i="5"/>
  <c r="O69" i="5"/>
  <c r="O68" i="5"/>
  <c r="O67" i="5"/>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C92" i="4" a="1"/>
  <c r="C92" i="4" s="1"/>
  <c r="C93" i="4" a="1"/>
  <c r="C93" i="4" s="1"/>
  <c r="C94" i="4" a="1"/>
  <c r="C94" i="4" s="1"/>
  <c r="AE13" i="1"/>
  <c r="AK13" i="1"/>
  <c r="AE47" i="1"/>
  <c r="AK47" i="1"/>
  <c r="AE25" i="1"/>
  <c r="AK25" i="1"/>
  <c r="O13" i="1"/>
  <c r="P13" i="1" s="1"/>
  <c r="Q13" i="1" s="1"/>
  <c r="O47" i="1"/>
  <c r="P47" i="1" s="1"/>
  <c r="Q47" i="1" s="1"/>
  <c r="O25" i="1"/>
  <c r="P25" i="1" s="1"/>
  <c r="Q25" i="1" s="1"/>
  <c r="O1" i="5" l="1"/>
  <c r="AL25" i="1"/>
  <c r="AL13" i="1"/>
  <c r="AL47" i="1"/>
  <c r="G98" i="7"/>
  <c r="H98" i="7"/>
  <c r="I98" i="7"/>
  <c r="C91" i="4" a="1"/>
  <c r="C91" i="4" s="1"/>
  <c r="AK75" i="1"/>
  <c r="AE75" i="1"/>
  <c r="Y75" i="1"/>
  <c r="O75" i="1"/>
  <c r="P75" i="1" s="1"/>
  <c r="Q75" i="1" s="1"/>
  <c r="K75" i="1"/>
  <c r="CY120" i="15"/>
  <c r="CS120" i="15"/>
  <c r="CP120" i="15" s="1"/>
  <c r="CR120" i="15"/>
  <c r="CX120" i="15" s="1"/>
  <c r="CO120" i="15"/>
  <c r="CY118" i="15"/>
  <c r="CS118" i="15"/>
  <c r="CP118" i="15" s="1"/>
  <c r="CR118" i="15"/>
  <c r="CU118" i="15" s="1"/>
  <c r="CO118" i="15"/>
  <c r="CY117" i="15"/>
  <c r="CS117" i="15"/>
  <c r="CP117" i="15" s="1"/>
  <c r="CR117" i="15"/>
  <c r="CX117" i="15" s="1"/>
  <c r="CO117" i="15"/>
  <c r="CS116" i="15"/>
  <c r="CP116" i="15" s="1"/>
  <c r="CR116" i="15"/>
  <c r="CU116" i="15" s="1"/>
  <c r="CO116" i="15"/>
  <c r="D116" i="15"/>
  <c r="E116" i="15"/>
  <c r="F116" i="15"/>
  <c r="D117" i="15"/>
  <c r="E117" i="15"/>
  <c r="F117" i="15"/>
  <c r="D118" i="15"/>
  <c r="E118" i="15"/>
  <c r="F118" i="15"/>
  <c r="D119" i="15"/>
  <c r="E119" i="15"/>
  <c r="F119" i="15"/>
  <c r="D120" i="15"/>
  <c r="E120" i="15"/>
  <c r="F120" i="15"/>
  <c r="AL75" i="1" l="1"/>
  <c r="Z75" i="1"/>
  <c r="CZ120" i="15"/>
  <c r="CT120" i="15"/>
  <c r="CW120" i="15" s="1"/>
  <c r="CX118" i="15"/>
  <c r="CZ118" i="15" s="1"/>
  <c r="CU120" i="15"/>
  <c r="CT118" i="15"/>
  <c r="CW118" i="15" s="1"/>
  <c r="CU117" i="15"/>
  <c r="CZ117" i="15"/>
  <c r="CT117" i="15"/>
  <c r="CW117" i="15" s="1"/>
  <c r="CT116" i="15"/>
  <c r="C90" i="4" a="1"/>
  <c r="C90" i="4" s="1"/>
  <c r="AK21" i="1" l="1"/>
  <c r="AE21" i="1"/>
  <c r="Y21" i="1"/>
  <c r="O21" i="1"/>
  <c r="P21" i="1" s="1"/>
  <c r="Q21" i="1" s="1"/>
  <c r="AL21" i="1" l="1"/>
  <c r="AK16" i="1"/>
  <c r="AK19" i="1"/>
  <c r="AE16" i="1"/>
  <c r="AE19" i="1"/>
  <c r="Y16" i="1"/>
  <c r="Y19" i="1"/>
  <c r="O16" i="1"/>
  <c r="P16" i="1" s="1"/>
  <c r="Q16" i="1" s="1"/>
  <c r="O19" i="1"/>
  <c r="P19" i="1" s="1"/>
  <c r="Q19" i="1" s="1"/>
  <c r="K16" i="1"/>
  <c r="K19" i="1"/>
  <c r="C88" i="4" a="1"/>
  <c r="C88" i="4" s="1"/>
  <c r="C89" i="4" a="1"/>
  <c r="C89" i="4" s="1"/>
  <c r="AL16" i="1" l="1"/>
  <c r="AL19" i="1"/>
  <c r="C3" i="4" a="1"/>
  <c r="C3" i="4" s="1"/>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43" i="4" a="1"/>
  <c r="C43" i="4" s="1"/>
  <c r="C44" i="4" a="1"/>
  <c r="C44" i="4" s="1"/>
  <c r="C45" i="4" a="1"/>
  <c r="C45" i="4" s="1"/>
  <c r="C46" i="4" a="1"/>
  <c r="C46" i="4" s="1"/>
  <c r="C47" i="4" a="1"/>
  <c r="C47" i="4" s="1"/>
  <c r="C48" i="4" a="1"/>
  <c r="C48" i="4" s="1"/>
  <c r="C49" i="4" a="1"/>
  <c r="C49" i="4" s="1"/>
  <c r="C50" i="4" a="1"/>
  <c r="C50" i="4" s="1"/>
  <c r="C51" i="4" a="1"/>
  <c r="C51" i="4" s="1"/>
  <c r="C52" i="4" a="1"/>
  <c r="C52" i="4" s="1"/>
  <c r="C53" i="4" a="1"/>
  <c r="C53" i="4" s="1"/>
  <c r="C54" i="4" a="1"/>
  <c r="C54" i="4" s="1"/>
  <c r="C55" i="4" a="1"/>
  <c r="C55" i="4" s="1"/>
  <c r="C56" i="4" a="1"/>
  <c r="C56" i="4" s="1"/>
  <c r="C57" i="4" a="1"/>
  <c r="C57" i="4" s="1"/>
  <c r="C58" i="4" a="1"/>
  <c r="C58" i="4" s="1"/>
  <c r="C59" i="4" a="1"/>
  <c r="C59" i="4" s="1"/>
  <c r="C60" i="4" a="1"/>
  <c r="C60" i="4" s="1"/>
  <c r="C61" i="4" a="1"/>
  <c r="C61" i="4" s="1"/>
  <c r="C62" i="4" a="1"/>
  <c r="C62" i="4" s="1"/>
  <c r="C63" i="4" a="1"/>
  <c r="C63" i="4" s="1"/>
  <c r="C64" i="4" a="1"/>
  <c r="C64"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84" i="4" a="1"/>
  <c r="C84" i="4" s="1"/>
  <c r="C85" i="4" a="1"/>
  <c r="C85" i="4" s="1"/>
  <c r="C86" i="4" a="1"/>
  <c r="C86" i="4" s="1"/>
  <c r="C87" i="4" a="1"/>
  <c r="C87" i="4" s="1"/>
  <c r="C2" i="4" a="1"/>
  <c r="C2" i="4" s="1"/>
  <c r="K15" i="1" l="1"/>
  <c r="K50" i="1"/>
  <c r="K23" i="1"/>
  <c r="E5" i="16"/>
  <c r="E6" i="16"/>
  <c r="E4" i="16"/>
  <c r="AK65" i="1" l="1"/>
  <c r="AE65" i="1"/>
  <c r="Y65" i="1"/>
  <c r="O65" i="1"/>
  <c r="Z65" i="1" s="1"/>
  <c r="K65" i="1"/>
  <c r="AL65" i="1" l="1"/>
  <c r="P65" i="1"/>
  <c r="Q65" i="1" s="1"/>
  <c r="CS81" i="15" l="1"/>
  <c r="AK81" i="1"/>
  <c r="AE81" i="1"/>
  <c r="Y94" i="1"/>
  <c r="Y93" i="1"/>
  <c r="Y92" i="1"/>
  <c r="O81" i="1"/>
  <c r="P81" i="1" s="1"/>
  <c r="Q81" i="1" s="1"/>
  <c r="K81" i="1"/>
  <c r="AL81" i="1" l="1"/>
  <c r="CR33" i="15" l="1"/>
  <c r="CU33" i="15" s="1"/>
  <c r="CO33" i="15"/>
  <c r="CY33" i="15"/>
  <c r="CS33" i="15"/>
  <c r="CX33" i="15" l="1"/>
  <c r="CZ33" i="15" s="1"/>
  <c r="CT33" i="15"/>
  <c r="CW33" i="15" s="1"/>
  <c r="CR22" i="15"/>
  <c r="CU22" i="15" s="1"/>
  <c r="CS22" i="15"/>
  <c r="CP22" i="15" s="1"/>
  <c r="CO22" i="15"/>
  <c r="CR75" i="15"/>
  <c r="CU75" i="15" s="1"/>
  <c r="D85" i="15"/>
  <c r="E85" i="15"/>
  <c r="F85" i="15"/>
  <c r="D75" i="15"/>
  <c r="E75" i="15"/>
  <c r="F75" i="15"/>
  <c r="D68" i="15"/>
  <c r="E68" i="15"/>
  <c r="F68" i="15"/>
  <c r="D66" i="15"/>
  <c r="E66" i="15"/>
  <c r="F66" i="15"/>
  <c r="D84" i="15"/>
  <c r="E84" i="15"/>
  <c r="F84" i="15"/>
  <c r="D103" i="15"/>
  <c r="E103" i="15"/>
  <c r="F103" i="15"/>
  <c r="D102" i="15"/>
  <c r="E102" i="15"/>
  <c r="F102" i="15"/>
  <c r="D31" i="15"/>
  <c r="E31" i="15"/>
  <c r="F31" i="15"/>
  <c r="D81" i="15"/>
  <c r="E81" i="15"/>
  <c r="F81" i="15"/>
  <c r="D22" i="15"/>
  <c r="E22" i="15"/>
  <c r="F22" i="15"/>
  <c r="CR85" i="15"/>
  <c r="CU85" i="15" s="1"/>
  <c r="CS85" i="15"/>
  <c r="CP85" i="15" s="1"/>
  <c r="CS75" i="15"/>
  <c r="CR68" i="15"/>
  <c r="CU68" i="15" s="1"/>
  <c r="CS68" i="15"/>
  <c r="CP68" i="15" s="1"/>
  <c r="CR66" i="15"/>
  <c r="CX66" i="15" s="1"/>
  <c r="CS66" i="15"/>
  <c r="CP66" i="15" s="1"/>
  <c r="CR84" i="15"/>
  <c r="CX84" i="15" s="1"/>
  <c r="CS84" i="15"/>
  <c r="CP84" i="15" s="1"/>
  <c r="CR103" i="15"/>
  <c r="CX103" i="15" s="1"/>
  <c r="CS103" i="15"/>
  <c r="CR102" i="15"/>
  <c r="CX102" i="15" s="1"/>
  <c r="CS102" i="15"/>
  <c r="CP102" i="15" s="1"/>
  <c r="CR31" i="15"/>
  <c r="CX31" i="15" s="1"/>
  <c r="CS31" i="15"/>
  <c r="CR81" i="15"/>
  <c r="CX81" i="15" s="1"/>
  <c r="CP81" i="15"/>
  <c r="CO85" i="15"/>
  <c r="CO75" i="15"/>
  <c r="CO68" i="15"/>
  <c r="CO66" i="15"/>
  <c r="CO84" i="15"/>
  <c r="CO103" i="15"/>
  <c r="CO102" i="15"/>
  <c r="CO31" i="15"/>
  <c r="CO81" i="15"/>
  <c r="H97" i="7"/>
  <c r="I97" i="7" s="1"/>
  <c r="G97" i="7"/>
  <c r="AK7" i="1"/>
  <c r="AE7" i="1"/>
  <c r="O7" i="1"/>
  <c r="P7" i="1" s="1"/>
  <c r="Q7" i="1" s="1"/>
  <c r="K7" i="1"/>
  <c r="CT22" i="15" l="1"/>
  <c r="CW22" i="15" s="1"/>
  <c r="CX22" i="15"/>
  <c r="CT81" i="15"/>
  <c r="CW81" i="15" s="1"/>
  <c r="CU31" i="15"/>
  <c r="CT31" i="15"/>
  <c r="CW31" i="15" s="1"/>
  <c r="CU102" i="15"/>
  <c r="CT102" i="15"/>
  <c r="CW102" i="15" s="1"/>
  <c r="CT103" i="15"/>
  <c r="CW103" i="15" s="1"/>
  <c r="CX68" i="15"/>
  <c r="CX75" i="15"/>
  <c r="CT75" i="15"/>
  <c r="CW75" i="15" s="1"/>
  <c r="CU103" i="15"/>
  <c r="CP31" i="15"/>
  <c r="CU84" i="15"/>
  <c r="CU66" i="15"/>
  <c r="CT66" i="15"/>
  <c r="CW66" i="15" s="1"/>
  <c r="CU81" i="15"/>
  <c r="CT68" i="15"/>
  <c r="CW68" i="15" s="1"/>
  <c r="CT84" i="15"/>
  <c r="CW84" i="15" s="1"/>
  <c r="CT85" i="15"/>
  <c r="CW85" i="15" s="1"/>
  <c r="CX85" i="15"/>
  <c r="CP75" i="15"/>
  <c r="CP103" i="15"/>
  <c r="AL7" i="1"/>
  <c r="K92" i="1"/>
  <c r="E3" i="16" l="1"/>
  <c r="G34" i="7"/>
  <c r="H34" i="7"/>
  <c r="I34" i="7" s="1"/>
  <c r="AE49" i="1" l="1"/>
  <c r="AK49" i="1"/>
  <c r="AE67" i="1"/>
  <c r="AK67" i="1"/>
  <c r="AE86" i="1"/>
  <c r="AK86" i="1"/>
  <c r="AE85" i="1"/>
  <c r="AK85" i="1"/>
  <c r="AE15" i="1"/>
  <c r="AK15" i="1"/>
  <c r="AE64" i="1"/>
  <c r="AK64" i="1"/>
  <c r="O49" i="1"/>
  <c r="P49" i="1" s="1"/>
  <c r="Q49" i="1" s="1"/>
  <c r="O67" i="1"/>
  <c r="P67" i="1" s="1"/>
  <c r="Q67" i="1" s="1"/>
  <c r="O86" i="1"/>
  <c r="P86" i="1" s="1"/>
  <c r="Q86" i="1" s="1"/>
  <c r="O85" i="1"/>
  <c r="P85" i="1" s="1"/>
  <c r="Q85" i="1" s="1"/>
  <c r="O15" i="1"/>
  <c r="P15" i="1" s="1"/>
  <c r="Q15" i="1" s="1"/>
  <c r="O64" i="1"/>
  <c r="P64" i="1" s="1"/>
  <c r="Q64" i="1" s="1"/>
  <c r="K49" i="1"/>
  <c r="K67" i="1"/>
  <c r="K86" i="1"/>
  <c r="K85" i="1"/>
  <c r="K64" i="1"/>
  <c r="K83" i="1"/>
  <c r="AL86" i="1" l="1"/>
  <c r="AL49" i="1"/>
  <c r="AL85" i="1"/>
  <c r="AL64" i="1"/>
  <c r="AL67" i="1"/>
  <c r="AL15" i="1"/>
  <c r="AK51" i="1"/>
  <c r="AK58" i="1"/>
  <c r="AE51" i="1"/>
  <c r="AE58" i="1"/>
  <c r="O51" i="1"/>
  <c r="P51" i="1" s="1"/>
  <c r="Q51" i="1" s="1"/>
  <c r="O58" i="1"/>
  <c r="P58" i="1" s="1"/>
  <c r="Q58" i="1" s="1"/>
  <c r="K51" i="1"/>
  <c r="K58" i="1"/>
  <c r="H61" i="7"/>
  <c r="I61" i="7" s="1"/>
  <c r="G61" i="7"/>
  <c r="AK68" i="1"/>
  <c r="AE68" i="1"/>
  <c r="O68" i="1"/>
  <c r="P68" i="1" s="1"/>
  <c r="Q68" i="1" s="1"/>
  <c r="K68" i="1"/>
  <c r="CY114" i="15"/>
  <c r="CS114" i="15"/>
  <c r="CP114" i="15" s="1"/>
  <c r="CR114" i="15"/>
  <c r="CU114" i="15" s="1"/>
  <c r="CO114" i="15"/>
  <c r="F114" i="15"/>
  <c r="E114" i="15"/>
  <c r="D114" i="15"/>
  <c r="CS37" i="15"/>
  <c r="CR37" i="15"/>
  <c r="CX37" i="15" s="1"/>
  <c r="CO37" i="15"/>
  <c r="F37" i="15"/>
  <c r="E37" i="15"/>
  <c r="D37" i="15"/>
  <c r="AL58" i="1" l="1"/>
  <c r="AL51" i="1"/>
  <c r="AL68" i="1"/>
  <c r="CX114" i="15"/>
  <c r="CZ114" i="15" s="1"/>
  <c r="CT114" i="15"/>
  <c r="CW114" i="15" s="1"/>
  <c r="CT37" i="15"/>
  <c r="CW37" i="15" s="1"/>
  <c r="CU37" i="15"/>
  <c r="CP37" i="15"/>
  <c r="CO90" i="15"/>
  <c r="CY90" i="15"/>
  <c r="CS90" i="15"/>
  <c r="CR90" i="15"/>
  <c r="CX90" i="15" s="1"/>
  <c r="F90" i="15"/>
  <c r="E90" i="15"/>
  <c r="D90" i="15"/>
  <c r="F76" i="15"/>
  <c r="E76" i="15"/>
  <c r="D76" i="15"/>
  <c r="CS76" i="15"/>
  <c r="CR76" i="15"/>
  <c r="CU76" i="15" s="1"/>
  <c r="CO76" i="15"/>
  <c r="CT90" i="15" l="1"/>
  <c r="CW90" i="15" s="1"/>
  <c r="CZ90" i="15"/>
  <c r="CP90" i="15"/>
  <c r="CU90" i="15"/>
  <c r="CT76" i="15"/>
  <c r="CW76" i="15" s="1"/>
  <c r="CP76" i="15"/>
  <c r="AK59" i="1" l="1"/>
  <c r="AE59" i="1"/>
  <c r="O59" i="1"/>
  <c r="P59" i="1" s="1"/>
  <c r="Q59" i="1" s="1"/>
  <c r="K59" i="1"/>
  <c r="H78" i="7"/>
  <c r="I78" i="7" s="1"/>
  <c r="G78" i="7"/>
  <c r="E3" i="12"/>
  <c r="E1" i="16"/>
  <c r="AL59" i="1" l="1"/>
  <c r="AK94" i="1"/>
  <c r="AE94" i="1"/>
  <c r="O94" i="1"/>
  <c r="Z94" i="1" s="1"/>
  <c r="K94" i="1"/>
  <c r="P94" i="1" l="1"/>
  <c r="Q94" i="1" s="1"/>
  <c r="AL94" i="1"/>
  <c r="H3" i="7" l="1"/>
  <c r="I3" i="7" s="1"/>
  <c r="G3" i="7"/>
  <c r="CY71" i="15"/>
  <c r="CS71" i="15"/>
  <c r="CP71" i="15" s="1"/>
  <c r="CR71" i="15"/>
  <c r="CX71" i="15" s="1"/>
  <c r="CO71" i="15"/>
  <c r="CY106" i="15"/>
  <c r="CS106" i="15"/>
  <c r="CP106" i="15" s="1"/>
  <c r="CR106" i="15"/>
  <c r="CU106" i="15" s="1"/>
  <c r="CO106" i="15"/>
  <c r="AK54" i="1"/>
  <c r="AE54" i="1"/>
  <c r="O54" i="1"/>
  <c r="P54" i="1" s="1"/>
  <c r="Q54" i="1" s="1"/>
  <c r="K54" i="1"/>
  <c r="AL54" i="1" l="1"/>
  <c r="CT106" i="15"/>
  <c r="CW106" i="15" s="1"/>
  <c r="CX106" i="15"/>
  <c r="CZ106" i="15" s="1"/>
  <c r="CZ71" i="15"/>
  <c r="CU71" i="15"/>
  <c r="CT71" i="15"/>
  <c r="CW71" i="15" s="1"/>
  <c r="K8" i="1"/>
  <c r="CX100" i="15"/>
  <c r="CU100" i="15"/>
  <c r="CS100" i="15"/>
  <c r="CP100" i="15" s="1"/>
  <c r="CO100" i="15"/>
  <c r="CT100" i="15" l="1"/>
  <c r="CW100" i="15" s="1"/>
  <c r="H74" i="7" l="1"/>
  <c r="I74" i="7" s="1"/>
  <c r="G74" i="7"/>
  <c r="AK8" i="1"/>
  <c r="AE8" i="1"/>
  <c r="O8" i="1"/>
  <c r="P8" i="1" s="1"/>
  <c r="Q8" i="1" s="1"/>
  <c r="AL8" i="1" l="1"/>
  <c r="H54" i="7"/>
  <c r="I54" i="7" s="1"/>
  <c r="G54" i="7"/>
  <c r="AE18" i="1" l="1"/>
  <c r="AK18" i="1"/>
  <c r="O18" i="1"/>
  <c r="P18" i="1" s="1"/>
  <c r="Q18" i="1" s="1"/>
  <c r="K18" i="1"/>
  <c r="AL18" i="1" l="1"/>
  <c r="CO80" i="15"/>
  <c r="CS74" i="15"/>
  <c r="CP74" i="15" s="1"/>
  <c r="CR74" i="15"/>
  <c r="CO74" i="15"/>
  <c r="CS80" i="15"/>
  <c r="CP80" i="15" s="1"/>
  <c r="CR80" i="15"/>
  <c r="CU74" i="15" l="1"/>
  <c r="CT74" i="15"/>
  <c r="CU80" i="15"/>
  <c r="CT80" i="15"/>
  <c r="CS98" i="15" l="1"/>
  <c r="CR98" i="15"/>
  <c r="CU98" i="15" s="1"/>
  <c r="CO98" i="15"/>
  <c r="F98" i="15"/>
  <c r="E98" i="15"/>
  <c r="D98" i="15"/>
  <c r="CS36" i="15"/>
  <c r="CP36" i="15" s="1"/>
  <c r="CR36" i="15"/>
  <c r="CO36" i="15"/>
  <c r="CT98" i="15" l="1"/>
  <c r="CP98" i="15"/>
  <c r="CT36" i="15"/>
  <c r="CU36" i="15"/>
  <c r="K22" i="1" l="1"/>
  <c r="AK22" i="1"/>
  <c r="AE22" i="1"/>
  <c r="O22" i="1"/>
  <c r="P22" i="1" s="1"/>
  <c r="Q22" i="1" s="1"/>
  <c r="AL22" i="1" l="1"/>
  <c r="G84" i="7"/>
  <c r="H84" i="7"/>
  <c r="I84" i="7" s="1"/>
  <c r="G42" i="7"/>
  <c r="H42" i="7"/>
  <c r="I42" i="7" s="1"/>
  <c r="CR105" i="15"/>
  <c r="CU105" i="15" s="1"/>
  <c r="CR113" i="15"/>
  <c r="CR69" i="15"/>
  <c r="CU69" i="15" s="1"/>
  <c r="CR30" i="15"/>
  <c r="CU30" i="15" s="1"/>
  <c r="CR42" i="15"/>
  <c r="CX42" i="15" s="1"/>
  <c r="CS105" i="15"/>
  <c r="CP105" i="15" s="1"/>
  <c r="CS113" i="15"/>
  <c r="CP113" i="15" s="1"/>
  <c r="CS69" i="15"/>
  <c r="CP69" i="15" s="1"/>
  <c r="CS30" i="15"/>
  <c r="CP30" i="15" s="1"/>
  <c r="CO105" i="15"/>
  <c r="CO113" i="15"/>
  <c r="CO69" i="15"/>
  <c r="CO30" i="15"/>
  <c r="CS42" i="15"/>
  <c r="CP42" i="15" s="1"/>
  <c r="CO42" i="15"/>
  <c r="F105" i="15"/>
  <c r="E105" i="15"/>
  <c r="D105" i="15"/>
  <c r="F113" i="15"/>
  <c r="E113" i="15"/>
  <c r="D113" i="15"/>
  <c r="F69" i="15"/>
  <c r="E69" i="15"/>
  <c r="D69" i="15"/>
  <c r="F30" i="15"/>
  <c r="E30" i="15"/>
  <c r="D30" i="15"/>
  <c r="F42" i="15"/>
  <c r="E42" i="15"/>
  <c r="D42" i="15"/>
  <c r="CU42" i="15" l="1"/>
  <c r="CT42" i="15"/>
  <c r="CW42" i="15" s="1"/>
  <c r="CT113" i="15"/>
  <c r="CW113" i="15" s="1"/>
  <c r="CT105" i="15"/>
  <c r="CW105" i="15" s="1"/>
  <c r="CU113" i="15"/>
  <c r="CT69" i="15"/>
  <c r="CW69" i="15" s="1"/>
  <c r="CT30" i="15"/>
  <c r="CW30" i="15" s="1"/>
  <c r="AK28" i="1"/>
  <c r="AK14" i="1"/>
  <c r="AK52" i="1"/>
  <c r="AK93" i="1"/>
  <c r="AK88" i="1"/>
  <c r="AE28" i="1"/>
  <c r="AE14" i="1"/>
  <c r="AE52" i="1"/>
  <c r="AE93" i="1"/>
  <c r="AE88" i="1"/>
  <c r="O28" i="1"/>
  <c r="P28" i="1" s="1"/>
  <c r="Q28" i="1" s="1"/>
  <c r="O14" i="1"/>
  <c r="P14" i="1" s="1"/>
  <c r="Q14" i="1" s="1"/>
  <c r="O52" i="1"/>
  <c r="P52" i="1" s="1"/>
  <c r="Q52" i="1" s="1"/>
  <c r="O93" i="1"/>
  <c r="O88" i="1"/>
  <c r="P88" i="1" s="1"/>
  <c r="Q88" i="1" s="1"/>
  <c r="K28" i="1"/>
  <c r="K14" i="1"/>
  <c r="K52" i="1"/>
  <c r="K93" i="1"/>
  <c r="K88" i="1"/>
  <c r="P93" i="1" l="1"/>
  <c r="Q93" i="1" s="1"/>
  <c r="Z93" i="1"/>
  <c r="AL28" i="1"/>
  <c r="AL88" i="1"/>
  <c r="AL93" i="1"/>
  <c r="AL52" i="1"/>
  <c r="AL14" i="1"/>
  <c r="G53" i="7" l="1"/>
  <c r="H53" i="7"/>
  <c r="I53" i="7" s="1"/>
  <c r="AK63" i="1"/>
  <c r="AK57" i="1"/>
  <c r="AE63" i="1"/>
  <c r="AE57" i="1"/>
  <c r="O63" i="1"/>
  <c r="P63" i="1" s="1"/>
  <c r="Q63" i="1" s="1"/>
  <c r="O57" i="1"/>
  <c r="P57" i="1" s="1"/>
  <c r="Q57" i="1" s="1"/>
  <c r="K63" i="1"/>
  <c r="K57" i="1"/>
  <c r="AL63" i="1" l="1"/>
  <c r="AL57" i="1"/>
  <c r="CS56" i="15"/>
  <c r="CP56" i="15" s="1"/>
  <c r="CS19" i="15" l="1"/>
  <c r="CP19" i="15" s="1"/>
  <c r="CR19" i="15"/>
  <c r="CU19" i="15" s="1"/>
  <c r="CO19" i="15"/>
  <c r="F19" i="15"/>
  <c r="E19" i="15"/>
  <c r="D19" i="15"/>
  <c r="G75" i="7"/>
  <c r="H75" i="7"/>
  <c r="I75" i="7" s="1"/>
  <c r="AK4" i="1"/>
  <c r="AE4" i="1"/>
  <c r="W4" i="1"/>
  <c r="Y4" i="1"/>
  <c r="O4" i="1"/>
  <c r="P4" i="1" s="1"/>
  <c r="Q4" i="1" s="1"/>
  <c r="K4" i="1"/>
  <c r="CT19" i="15" l="1"/>
  <c r="CW19" i="15" s="1"/>
  <c r="AL4" i="1"/>
  <c r="Z4" i="1"/>
  <c r="CS67" i="15"/>
  <c r="CP67" i="15" s="1"/>
  <c r="CR67" i="15"/>
  <c r="CU67" i="15" s="1"/>
  <c r="CO67" i="15"/>
  <c r="F67" i="15"/>
  <c r="E67" i="15"/>
  <c r="D67" i="15"/>
  <c r="H14" i="7"/>
  <c r="I14" i="7" s="1"/>
  <c r="G14" i="7"/>
  <c r="AK50" i="1"/>
  <c r="AE50" i="1"/>
  <c r="Y50" i="1"/>
  <c r="W50" i="1"/>
  <c r="O50" i="1"/>
  <c r="P50" i="1" s="1"/>
  <c r="Q50" i="1" s="1"/>
  <c r="CT67" i="15" l="1"/>
  <c r="CW67" i="15" s="1"/>
  <c r="Z50" i="1"/>
  <c r="AL50" i="1"/>
  <c r="G45" i="7"/>
  <c r="H45" i="7"/>
  <c r="I45" i="7" s="1"/>
  <c r="AK80" i="1"/>
  <c r="AE80" i="1" l="1"/>
  <c r="AL80" i="1" s="1"/>
  <c r="Y80" i="1"/>
  <c r="W80" i="1"/>
  <c r="O80" i="1"/>
  <c r="Z80" i="1" s="1"/>
  <c r="K80" i="1"/>
  <c r="P80" i="1" l="1"/>
  <c r="Q80" i="1" s="1"/>
  <c r="G35" i="7"/>
  <c r="H35" i="7"/>
  <c r="I35" i="7" s="1"/>
  <c r="AK30" i="1"/>
  <c r="AE30" i="1"/>
  <c r="O30" i="1"/>
  <c r="P30" i="1" s="1"/>
  <c r="Q30" i="1" s="1"/>
  <c r="K30" i="1"/>
  <c r="CR44" i="15"/>
  <c r="CS44" i="15"/>
  <c r="CP44" i="15" s="1"/>
  <c r="CO44" i="15"/>
  <c r="F44" i="15"/>
  <c r="E44" i="15"/>
  <c r="D44" i="15"/>
  <c r="CT44" i="15" l="1"/>
  <c r="AL30" i="1"/>
  <c r="CU44" i="15"/>
  <c r="G12" i="7" l="1"/>
  <c r="H12" i="7"/>
  <c r="I12" i="7" s="1"/>
  <c r="AK26" i="1" l="1"/>
  <c r="AK11" i="1"/>
  <c r="AK24" i="1"/>
  <c r="AK37" i="1"/>
  <c r="AK42" i="1"/>
  <c r="AE42" i="1"/>
  <c r="AE37" i="1"/>
  <c r="AE24" i="1"/>
  <c r="AE11" i="1"/>
  <c r="AE26" i="1"/>
  <c r="AL37" i="1" l="1"/>
  <c r="AL42" i="1"/>
  <c r="AL26" i="1"/>
  <c r="AL24" i="1"/>
  <c r="AL11" i="1"/>
  <c r="K6" i="1"/>
  <c r="G40" i="7"/>
  <c r="H40" i="7"/>
  <c r="I40" i="7" s="1"/>
  <c r="G69" i="7"/>
  <c r="H69" i="7"/>
  <c r="I69" i="7" s="1"/>
  <c r="G19" i="7"/>
  <c r="H19" i="7"/>
  <c r="I19" i="7" s="1"/>
  <c r="G86" i="7"/>
  <c r="H86" i="7"/>
  <c r="I86" i="7" s="1"/>
  <c r="O42" i="1"/>
  <c r="P42" i="1" s="1"/>
  <c r="Q42" i="1" s="1"/>
  <c r="O37" i="1"/>
  <c r="P37" i="1" s="1"/>
  <c r="Q37" i="1" s="1"/>
  <c r="O11" i="1"/>
  <c r="P11" i="1" s="1"/>
  <c r="Q11" i="1" s="1"/>
  <c r="O24" i="1"/>
  <c r="P24" i="1" s="1"/>
  <c r="Q24" i="1" s="1"/>
  <c r="O26" i="1"/>
  <c r="P26" i="1" s="1"/>
  <c r="Q26" i="1" s="1"/>
  <c r="K26" i="1"/>
  <c r="K24" i="1"/>
  <c r="K11" i="1"/>
  <c r="K37" i="1"/>
  <c r="K42" i="1"/>
  <c r="CS52" i="15"/>
  <c r="CO52" i="15"/>
  <c r="CR52" i="15"/>
  <c r="CU52" i="15" s="1"/>
  <c r="CS57" i="15"/>
  <c r="CP57" i="15" s="1"/>
  <c r="CR57" i="15"/>
  <c r="CU57" i="15" s="1"/>
  <c r="CO57" i="15"/>
  <c r="F57" i="15"/>
  <c r="E57" i="15"/>
  <c r="D57" i="15"/>
  <c r="F52" i="15"/>
  <c r="E52" i="15"/>
  <c r="D52" i="15"/>
  <c r="CS27" i="15"/>
  <c r="CP27" i="15" s="1"/>
  <c r="CR27" i="15"/>
  <c r="CU27" i="15" s="1"/>
  <c r="CO27" i="15"/>
  <c r="F27" i="15"/>
  <c r="E27" i="15"/>
  <c r="D27" i="15"/>
  <c r="CS39" i="15"/>
  <c r="CP39" i="15" s="1"/>
  <c r="CR39" i="15"/>
  <c r="CU39" i="15" s="1"/>
  <c r="CO39" i="15"/>
  <c r="F39" i="15"/>
  <c r="E39" i="15"/>
  <c r="D39" i="15"/>
  <c r="CR40" i="15"/>
  <c r="CS40" i="15"/>
  <c r="CP40" i="15" s="1"/>
  <c r="CO40" i="15"/>
  <c r="F40" i="15"/>
  <c r="E40" i="15"/>
  <c r="D40" i="15"/>
  <c r="CT52" i="15" l="1"/>
  <c r="CW52" i="15" s="1"/>
  <c r="CT40" i="15"/>
  <c r="CW40" i="15" s="1"/>
  <c r="CT57" i="15"/>
  <c r="CW57" i="15" s="1"/>
  <c r="CP52" i="15"/>
  <c r="CX40" i="15"/>
  <c r="CT27" i="15"/>
  <c r="CW27" i="15" s="1"/>
  <c r="CT39" i="15"/>
  <c r="CW39" i="15" s="1"/>
  <c r="DD40" i="15"/>
  <c r="CU40" i="15"/>
  <c r="G81" i="7"/>
  <c r="H81" i="7"/>
  <c r="I81" i="7" s="1"/>
  <c r="G96" i="7"/>
  <c r="H96" i="7"/>
  <c r="I96" i="7" s="1"/>
  <c r="G90" i="7"/>
  <c r="H90" i="7"/>
  <c r="I90" i="7" s="1"/>
  <c r="G76" i="7"/>
  <c r="H76" i="7"/>
  <c r="I76" i="7" s="1"/>
  <c r="AE34" i="1"/>
  <c r="AE41" i="1"/>
  <c r="AE45" i="1"/>
  <c r="AK34" i="1"/>
  <c r="AK41" i="1"/>
  <c r="AK45" i="1"/>
  <c r="AL34" i="1" l="1"/>
  <c r="AL45" i="1"/>
  <c r="AL41" i="1"/>
  <c r="CY49" i="15"/>
  <c r="CY56" i="15"/>
  <c r="CY61" i="15"/>
  <c r="CR49" i="15"/>
  <c r="CU49" i="15" s="1"/>
  <c r="CS49" i="15"/>
  <c r="CP49" i="15" s="1"/>
  <c r="CR56" i="15"/>
  <c r="CR61" i="15"/>
  <c r="CS61" i="15"/>
  <c r="CP61" i="15" s="1"/>
  <c r="CO61" i="15"/>
  <c r="CO56" i="15"/>
  <c r="CO49" i="15"/>
  <c r="F61" i="15"/>
  <c r="E61" i="15"/>
  <c r="D61" i="15"/>
  <c r="F56" i="15"/>
  <c r="E56" i="15"/>
  <c r="D56" i="15"/>
  <c r="F49" i="15"/>
  <c r="E49" i="15"/>
  <c r="D49" i="15"/>
  <c r="O34" i="1"/>
  <c r="P34" i="1" s="1"/>
  <c r="Q34" i="1" s="1"/>
  <c r="O41" i="1"/>
  <c r="P41" i="1" s="1"/>
  <c r="Q41" i="1" s="1"/>
  <c r="O45" i="1"/>
  <c r="P45" i="1" s="1"/>
  <c r="Q45" i="1" s="1"/>
  <c r="K34" i="1"/>
  <c r="K41" i="1"/>
  <c r="K45" i="1"/>
  <c r="CS45" i="15"/>
  <c r="CP45" i="15" s="1"/>
  <c r="CR45" i="15"/>
  <c r="CU45" i="15" s="1"/>
  <c r="CO45" i="15"/>
  <c r="F45" i="15"/>
  <c r="E45" i="15"/>
  <c r="D45" i="15"/>
  <c r="CU43" i="15"/>
  <c r="CS43" i="15"/>
  <c r="CT43" i="15" s="1"/>
  <c r="CO43" i="15"/>
  <c r="F43" i="15"/>
  <c r="E43" i="15"/>
  <c r="D43" i="15"/>
  <c r="CT56" i="15" l="1"/>
  <c r="CW56" i="15" s="1"/>
  <c r="CT61" i="15"/>
  <c r="CW61" i="15" s="1"/>
  <c r="CU61" i="15"/>
  <c r="CX61" i="15"/>
  <c r="CZ61" i="15" s="1"/>
  <c r="CX56" i="15"/>
  <c r="CZ56" i="15" s="1"/>
  <c r="CU56" i="15"/>
  <c r="CX49" i="15"/>
  <c r="CZ49" i="15" s="1"/>
  <c r="CT49" i="15"/>
  <c r="CW49" i="15" s="1"/>
  <c r="CT45" i="15"/>
  <c r="CP43" i="15"/>
  <c r="AK83" i="1" l="1"/>
  <c r="AE83" i="1"/>
  <c r="O83" i="1"/>
  <c r="P83" i="1" s="1"/>
  <c r="Q83" i="1" s="1"/>
  <c r="AL83" i="1" l="1"/>
  <c r="AK73" i="1" l="1"/>
  <c r="AK31" i="1"/>
  <c r="AK29" i="1"/>
  <c r="AE73" i="1"/>
  <c r="AE31" i="1"/>
  <c r="AE29" i="1"/>
  <c r="G46" i="7"/>
  <c r="H46" i="7"/>
  <c r="I46" i="7" s="1"/>
  <c r="G91" i="7"/>
  <c r="H91" i="7"/>
  <c r="I91" i="7" s="1"/>
  <c r="G62" i="7"/>
  <c r="H62" i="7"/>
  <c r="I62" i="7" s="1"/>
  <c r="O29" i="1"/>
  <c r="P29" i="1" s="1"/>
  <c r="Q29" i="1" s="1"/>
  <c r="O31" i="1"/>
  <c r="P31" i="1" s="1"/>
  <c r="Q31" i="1" s="1"/>
  <c r="O73" i="1"/>
  <c r="P73" i="1" s="1"/>
  <c r="Q73" i="1" s="1"/>
  <c r="K29" i="1"/>
  <c r="K31" i="1"/>
  <c r="K73" i="1"/>
  <c r="AL31" i="1" l="1"/>
  <c r="AL29" i="1"/>
  <c r="AL73" i="1"/>
  <c r="H28" i="7"/>
  <c r="I28" i="7" s="1"/>
  <c r="G28" i="7"/>
  <c r="AE84" i="1" l="1"/>
  <c r="AK84" i="1"/>
  <c r="AL84" i="1" l="1"/>
  <c r="CS99" i="15"/>
  <c r="CP99" i="15" s="1"/>
  <c r="CR99" i="15"/>
  <c r="CU99" i="15" s="1"/>
  <c r="CO99" i="15"/>
  <c r="CS95" i="15"/>
  <c r="CR95" i="15"/>
  <c r="CU95" i="15" s="1"/>
  <c r="CO95" i="15"/>
  <c r="CO94" i="15"/>
  <c r="CS94" i="15"/>
  <c r="CR94" i="15"/>
  <c r="CU94" i="15" s="1"/>
  <c r="CS92" i="15"/>
  <c r="CP92" i="15" s="1"/>
  <c r="CR92" i="15"/>
  <c r="CU92" i="15" s="1"/>
  <c r="CO92" i="15"/>
  <c r="CS79" i="15"/>
  <c r="CR79" i="15"/>
  <c r="CU79" i="15" s="1"/>
  <c r="CO79" i="15"/>
  <c r="CS78" i="15"/>
  <c r="CR78" i="15"/>
  <c r="CU78" i="15" s="1"/>
  <c r="CO78" i="15"/>
  <c r="CS53" i="15"/>
  <c r="CP53" i="15" s="1"/>
  <c r="CR53" i="15"/>
  <c r="CU53" i="15" s="1"/>
  <c r="CO53" i="15"/>
  <c r="CS47" i="15"/>
  <c r="CP47" i="15" s="1"/>
  <c r="CR47" i="15"/>
  <c r="CU47" i="15" s="1"/>
  <c r="CO47" i="15"/>
  <c r="CR24" i="15"/>
  <c r="D47" i="15"/>
  <c r="E47" i="15"/>
  <c r="F47" i="15"/>
  <c r="D53" i="15"/>
  <c r="E53" i="15"/>
  <c r="F53" i="15"/>
  <c r="D78" i="15"/>
  <c r="E78" i="15"/>
  <c r="F78" i="15"/>
  <c r="D79" i="15"/>
  <c r="E79" i="15"/>
  <c r="F79" i="15"/>
  <c r="D92" i="15"/>
  <c r="E92" i="15"/>
  <c r="F92" i="15"/>
  <c r="D94" i="15"/>
  <c r="E94" i="15"/>
  <c r="F94" i="15"/>
  <c r="D95" i="15"/>
  <c r="E95" i="15"/>
  <c r="F95" i="15"/>
  <c r="D99" i="15"/>
  <c r="E99" i="15"/>
  <c r="F99" i="15"/>
  <c r="D24" i="15"/>
  <c r="E24" i="15"/>
  <c r="F24" i="15"/>
  <c r="CT99" i="15" l="1"/>
  <c r="CW99" i="15" s="1"/>
  <c r="CT95" i="15"/>
  <c r="CW95" i="15" s="1"/>
  <c r="CX94" i="15"/>
  <c r="CP95" i="15"/>
  <c r="CT94" i="15"/>
  <c r="CW94" i="15" s="1"/>
  <c r="CP94" i="15"/>
  <c r="CT92" i="15"/>
  <c r="CT79" i="15"/>
  <c r="CP79" i="15"/>
  <c r="CT78" i="15"/>
  <c r="CP78" i="15"/>
  <c r="CT53" i="15"/>
  <c r="CW53" i="15" s="1"/>
  <c r="CT47" i="15"/>
  <c r="D18" i="15" l="1"/>
  <c r="E18" i="15"/>
  <c r="F18" i="15"/>
  <c r="D20" i="15"/>
  <c r="E20" i="15"/>
  <c r="F20" i="15"/>
  <c r="D101" i="15"/>
  <c r="E101" i="15"/>
  <c r="F101" i="15"/>
  <c r="O84" i="1"/>
  <c r="P84" i="1" s="1"/>
  <c r="Q84" i="1" s="1"/>
  <c r="G71" i="7" l="1"/>
  <c r="H71" i="7"/>
  <c r="I71" i="7" s="1"/>
  <c r="AK77" i="1"/>
  <c r="AE77" i="1"/>
  <c r="Y77" i="1"/>
  <c r="W77" i="1"/>
  <c r="O77" i="1"/>
  <c r="P77" i="1" s="1"/>
  <c r="Q77" i="1" s="1"/>
  <c r="K77" i="1"/>
  <c r="AL77" i="1" l="1"/>
  <c r="Z77" i="1"/>
  <c r="F1" i="7" l="1"/>
  <c r="E1" i="7"/>
  <c r="D1" i="7"/>
  <c r="AK62" i="1" l="1"/>
  <c r="AE62" i="1"/>
  <c r="AL62" i="1" l="1"/>
  <c r="G41" i="7"/>
  <c r="G27" i="7"/>
  <c r="G4" i="7"/>
  <c r="G48" i="7"/>
  <c r="G66" i="7"/>
  <c r="G7" i="7"/>
  <c r="G73" i="7"/>
  <c r="G31" i="7"/>
  <c r="G15" i="7"/>
  <c r="G18" i="7"/>
  <c r="G68" i="7"/>
  <c r="G17" i="7"/>
  <c r="G11" i="7"/>
  <c r="G50" i="7"/>
  <c r="G51" i="7"/>
  <c r="G25" i="7"/>
  <c r="G6" i="7"/>
  <c r="G89" i="7"/>
  <c r="G80" i="7"/>
  <c r="G88" i="7"/>
  <c r="G23" i="7"/>
  <c r="G49" i="7"/>
  <c r="G65" i="7"/>
  <c r="G59" i="7"/>
  <c r="G44" i="7"/>
  <c r="G36" i="7"/>
  <c r="G70" i="7"/>
  <c r="G57" i="7"/>
  <c r="G29" i="7"/>
  <c r="G64" i="7"/>
  <c r="G20" i="7"/>
  <c r="G37" i="7"/>
  <c r="G92" i="7"/>
  <c r="G52" i="7"/>
  <c r="G39" i="7"/>
  <c r="G33" i="7"/>
  <c r="G72" i="7"/>
  <c r="G32" i="7"/>
  <c r="G60" i="7"/>
  <c r="G95" i="7"/>
  <c r="G5" i="7"/>
  <c r="G10" i="7"/>
  <c r="G85" i="7"/>
  <c r="G94" i="7"/>
  <c r="G13" i="7"/>
  <c r="G83" i="7"/>
  <c r="G77" i="7"/>
  <c r="G93" i="7"/>
  <c r="G43" i="7"/>
  <c r="G47" i="7"/>
  <c r="G16" i="7"/>
  <c r="G82" i="7"/>
  <c r="G63" i="7"/>
  <c r="G38" i="7"/>
  <c r="G58" i="7"/>
  <c r="G24" i="7"/>
  <c r="G67" i="7"/>
  <c r="G56" i="7"/>
  <c r="G55" i="7"/>
  <c r="G22" i="7"/>
  <c r="G87" i="7"/>
  <c r="G21" i="7"/>
  <c r="G30" i="7"/>
  <c r="G9" i="7"/>
  <c r="G8" i="7"/>
  <c r="G26" i="7"/>
  <c r="G79" i="7"/>
  <c r="H79" i="7"/>
  <c r="I79" i="7" s="1"/>
  <c r="H11" i="7"/>
  <c r="I11" i="7" s="1"/>
  <c r="H32" i="7"/>
  <c r="I32" i="7" s="1"/>
  <c r="H29" i="7"/>
  <c r="I29" i="7" s="1"/>
  <c r="H60" i="7"/>
  <c r="I60" i="7" s="1"/>
  <c r="H95" i="7"/>
  <c r="I95" i="7" s="1"/>
  <c r="H5" i="7"/>
  <c r="I5" i="7" s="1"/>
  <c r="H10" i="7"/>
  <c r="I10" i="7" s="1"/>
  <c r="H52" i="7"/>
  <c r="I52" i="7" s="1"/>
  <c r="H33" i="7"/>
  <c r="I33" i="7" s="1"/>
  <c r="H85" i="7"/>
  <c r="I85" i="7" s="1"/>
  <c r="H94" i="7"/>
  <c r="I94" i="7" s="1"/>
  <c r="H13" i="7"/>
  <c r="I13" i="7" s="1"/>
  <c r="H50" i="7"/>
  <c r="I50" i="7" s="1"/>
  <c r="H83" i="7"/>
  <c r="I83" i="7" s="1"/>
  <c r="H77" i="7"/>
  <c r="I77" i="7" s="1"/>
  <c r="H7" i="7"/>
  <c r="I7" i="7" s="1"/>
  <c r="H93" i="7"/>
  <c r="I93" i="7" s="1"/>
  <c r="H39" i="7"/>
  <c r="I39" i="7" s="1"/>
  <c r="H89" i="7"/>
  <c r="I89" i="7" s="1"/>
  <c r="H70" i="7"/>
  <c r="I70" i="7" s="1"/>
  <c r="H23" i="7"/>
  <c r="I23" i="7" s="1"/>
  <c r="H51" i="7"/>
  <c r="I51" i="7" s="1"/>
  <c r="H43" i="7"/>
  <c r="I43" i="7" s="1"/>
  <c r="H64" i="7"/>
  <c r="I64" i="7" s="1"/>
  <c r="H73" i="7"/>
  <c r="I73" i="7" s="1"/>
  <c r="H37" i="7"/>
  <c r="I37" i="7" s="1"/>
  <c r="H36" i="7"/>
  <c r="I36" i="7" s="1"/>
  <c r="H18" i="7"/>
  <c r="I18" i="7" s="1"/>
  <c r="H47" i="7"/>
  <c r="I47" i="7" s="1"/>
  <c r="H16" i="7"/>
  <c r="I16" i="7" s="1"/>
  <c r="H49" i="7"/>
  <c r="I49" i="7" s="1"/>
  <c r="H82" i="7"/>
  <c r="I82" i="7" s="1"/>
  <c r="H72" i="7"/>
  <c r="I72" i="7" s="1"/>
  <c r="H63" i="7"/>
  <c r="I63" i="7" s="1"/>
  <c r="H44" i="7"/>
  <c r="I44" i="7" s="1"/>
  <c r="H38" i="7"/>
  <c r="I38" i="7" s="1"/>
  <c r="H58" i="7"/>
  <c r="I58" i="7" s="1"/>
  <c r="H24" i="7"/>
  <c r="I24" i="7" s="1"/>
  <c r="H92" i="7"/>
  <c r="I92" i="7" s="1"/>
  <c r="H67" i="7"/>
  <c r="I67" i="7" s="1"/>
  <c r="H65" i="7"/>
  <c r="I65" i="7" s="1"/>
  <c r="H66" i="7"/>
  <c r="I66" i="7" s="1"/>
  <c r="H20" i="7"/>
  <c r="I20" i="7" s="1"/>
  <c r="H48" i="7"/>
  <c r="I48" i="7" s="1"/>
  <c r="H31" i="7"/>
  <c r="I31" i="7" s="1"/>
  <c r="H25" i="7"/>
  <c r="I25" i="7" s="1"/>
  <c r="H56" i="7"/>
  <c r="I56" i="7" s="1"/>
  <c r="H88" i="7"/>
  <c r="I88" i="7" s="1"/>
  <c r="H80" i="7"/>
  <c r="I80" i="7" s="1"/>
  <c r="H4" i="7"/>
  <c r="I4" i="7" s="1"/>
  <c r="H59" i="7"/>
  <c r="I59" i="7" s="1"/>
  <c r="H41" i="7"/>
  <c r="I41" i="7" s="1"/>
  <c r="H55" i="7"/>
  <c r="I55" i="7" s="1"/>
  <c r="H22" i="7"/>
  <c r="I22" i="7" s="1"/>
  <c r="H87" i="7"/>
  <c r="I87" i="7" s="1"/>
  <c r="H68" i="7"/>
  <c r="I68" i="7" s="1"/>
  <c r="H21" i="7"/>
  <c r="I21" i="7" s="1"/>
  <c r="H30" i="7"/>
  <c r="I30" i="7" s="1"/>
  <c r="H57" i="7"/>
  <c r="I57" i="7" s="1"/>
  <c r="H9" i="7"/>
  <c r="I9" i="7" s="1"/>
  <c r="H17" i="7"/>
  <c r="I17" i="7" s="1"/>
  <c r="H15" i="7"/>
  <c r="I15" i="7" s="1"/>
  <c r="H8" i="7"/>
  <c r="I8" i="7" s="1"/>
  <c r="H6" i="7"/>
  <c r="I6" i="7" s="1"/>
  <c r="H26" i="7"/>
  <c r="I26" i="7" s="1"/>
  <c r="H27" i="7"/>
  <c r="I27" i="7" s="1"/>
  <c r="H1" i="7" l="1"/>
  <c r="O62" i="1"/>
  <c r="P62" i="1" s="1"/>
  <c r="Q62" i="1" s="1"/>
  <c r="K62" i="1"/>
  <c r="AE82" i="1" l="1"/>
  <c r="AK82" i="1"/>
  <c r="AL82" i="1" l="1"/>
  <c r="O82" i="1"/>
  <c r="P82" i="1" s="1"/>
  <c r="Q82" i="1" s="1"/>
  <c r="K82" i="1"/>
  <c r="K5" i="1" l="1"/>
  <c r="AK39" i="1" l="1"/>
  <c r="AK5" i="1" l="1"/>
  <c r="AK6" i="1"/>
  <c r="AK9" i="1"/>
  <c r="AK10" i="1"/>
  <c r="AK12" i="1"/>
  <c r="AK17" i="1"/>
  <c r="AK20" i="1"/>
  <c r="AK23" i="1"/>
  <c r="AK27" i="1"/>
  <c r="AK32" i="1"/>
  <c r="AK33" i="1"/>
  <c r="AK35" i="1"/>
  <c r="AK36" i="1"/>
  <c r="AK38" i="1"/>
  <c r="AK40" i="1"/>
  <c r="AK43" i="1"/>
  <c r="AK44" i="1"/>
  <c r="AK46" i="1"/>
  <c r="AK48" i="1"/>
  <c r="AK53" i="1"/>
  <c r="AK55" i="1"/>
  <c r="AK56" i="1"/>
  <c r="AK60" i="1"/>
  <c r="AK61" i="1"/>
  <c r="AK66" i="1"/>
  <c r="AK69" i="1"/>
  <c r="AK70" i="1"/>
  <c r="AK71" i="1"/>
  <c r="AK72" i="1"/>
  <c r="AK74" i="1"/>
  <c r="AK76" i="1"/>
  <c r="AK78" i="1"/>
  <c r="AK79" i="1"/>
  <c r="AK87" i="1"/>
  <c r="AK89" i="1"/>
  <c r="AK90" i="1"/>
  <c r="AK91" i="1"/>
  <c r="AK92" i="1"/>
  <c r="AE5" i="1"/>
  <c r="AE6" i="1"/>
  <c r="AE9" i="1"/>
  <c r="AE10" i="1"/>
  <c r="AE12" i="1"/>
  <c r="AE17" i="1"/>
  <c r="AE20" i="1"/>
  <c r="AE23" i="1"/>
  <c r="AE27" i="1"/>
  <c r="AE32" i="1"/>
  <c r="AE33" i="1"/>
  <c r="AE35" i="1"/>
  <c r="AE36" i="1"/>
  <c r="AE38" i="1"/>
  <c r="AE39" i="1"/>
  <c r="AL39" i="1" s="1"/>
  <c r="AE40" i="1"/>
  <c r="AE43" i="1"/>
  <c r="AE44" i="1"/>
  <c r="AE46" i="1"/>
  <c r="AE48" i="1"/>
  <c r="AE53" i="1"/>
  <c r="AE55" i="1"/>
  <c r="AE56" i="1"/>
  <c r="AE60" i="1"/>
  <c r="AE61" i="1"/>
  <c r="AE66" i="1"/>
  <c r="AE69" i="1"/>
  <c r="AE70" i="1"/>
  <c r="AE71" i="1"/>
  <c r="AE72" i="1"/>
  <c r="AE74" i="1"/>
  <c r="AE76" i="1"/>
  <c r="AE78" i="1"/>
  <c r="AE79" i="1"/>
  <c r="AE87" i="1"/>
  <c r="AE89" i="1"/>
  <c r="AE90" i="1"/>
  <c r="AE91" i="1"/>
  <c r="AE92" i="1"/>
  <c r="AL70" i="1" l="1"/>
  <c r="AL36" i="1"/>
  <c r="AL87" i="1"/>
  <c r="AL69" i="1"/>
  <c r="AL61" i="1"/>
  <c r="AL90" i="1"/>
  <c r="AL78" i="1"/>
  <c r="AL56" i="1"/>
  <c r="AL46" i="1"/>
  <c r="AL72" i="1"/>
  <c r="AL89" i="1"/>
  <c r="AL76" i="1"/>
  <c r="AL71" i="1"/>
  <c r="AL44" i="1"/>
  <c r="AL38" i="1"/>
  <c r="AL35" i="1"/>
  <c r="AL92" i="1"/>
  <c r="AL60" i="1"/>
  <c r="AL91" i="1"/>
  <c r="AL74" i="1"/>
  <c r="AL66" i="1"/>
  <c r="AL48" i="1"/>
  <c r="AL79" i="1"/>
  <c r="AL55" i="1"/>
  <c r="AL43" i="1"/>
  <c r="AL40" i="1"/>
  <c r="AL12" i="1"/>
  <c r="AL33" i="1"/>
  <c r="AL20" i="1"/>
  <c r="AL32" i="1"/>
  <c r="AL17" i="1"/>
  <c r="AL10" i="1"/>
  <c r="AL53" i="1"/>
  <c r="AL27" i="1"/>
  <c r="AL9" i="1"/>
  <c r="AL6" i="1"/>
  <c r="AL23" i="1"/>
  <c r="AL5" i="1"/>
  <c r="AK3" i="1"/>
  <c r="AE3" i="1"/>
  <c r="O61" i="1"/>
  <c r="P61" i="1" s="1"/>
  <c r="Q61" i="1" s="1"/>
  <c r="AL3" i="1" l="1"/>
  <c r="CY18" i="15"/>
  <c r="CY20" i="15"/>
  <c r="CY101" i="15"/>
  <c r="CY24" i="15"/>
  <c r="CR18" i="15"/>
  <c r="CX18" i="15" s="1"/>
  <c r="CS18" i="15"/>
  <c r="CP18" i="15" s="1"/>
  <c r="CR20" i="15"/>
  <c r="CU20" i="15" s="1"/>
  <c r="CS20" i="15"/>
  <c r="CR101" i="15"/>
  <c r="CX101" i="15" s="1"/>
  <c r="CS101" i="15"/>
  <c r="CU24" i="15"/>
  <c r="CS24" i="15"/>
  <c r="CO18" i="15"/>
  <c r="CO20" i="15"/>
  <c r="CO101" i="15"/>
  <c r="CO24" i="15"/>
  <c r="CT101" i="15" l="1"/>
  <c r="CW101" i="15" s="1"/>
  <c r="CP101" i="15"/>
  <c r="CU18" i="15"/>
  <c r="CT24" i="15"/>
  <c r="CW24" i="15" s="1"/>
  <c r="CZ101" i="15"/>
  <c r="CZ18" i="15"/>
  <c r="CT18" i="15"/>
  <c r="CW18" i="15" s="1"/>
  <c r="CU101" i="15"/>
  <c r="CX20" i="15"/>
  <c r="CZ20" i="15" s="1"/>
  <c r="CX24" i="15"/>
  <c r="CZ24" i="15" s="1"/>
  <c r="CT20" i="15"/>
  <c r="CW20" i="15" s="1"/>
  <c r="CP20" i="15"/>
  <c r="CP24" i="15"/>
  <c r="O76" i="1" l="1"/>
  <c r="P76" i="1" s="1"/>
  <c r="Q76" i="1" s="1"/>
  <c r="O74" i="1"/>
  <c r="P74" i="1" s="1"/>
  <c r="O38" i="1"/>
  <c r="P38" i="1" s="1"/>
  <c r="Q38" i="1" s="1"/>
  <c r="O32" i="1"/>
  <c r="P32" i="1" s="1"/>
  <c r="Q32" i="1" s="1"/>
  <c r="O5" i="1"/>
  <c r="P5" i="1" s="1"/>
  <c r="O3" i="1"/>
  <c r="P3" i="1" s="1"/>
  <c r="Q3" i="1" s="1"/>
  <c r="K74" i="1" l="1"/>
  <c r="K38" i="1"/>
  <c r="K3" i="1"/>
  <c r="K32" i="1"/>
  <c r="K76" i="1"/>
  <c r="O9" i="1" l="1"/>
  <c r="P9" i="1" s="1"/>
  <c r="Q9" i="1" s="1"/>
  <c r="K9" i="1"/>
  <c r="K71" i="1" l="1"/>
  <c r="CO38" i="15" l="1"/>
  <c r="CR38" i="15"/>
  <c r="CX38" i="15" s="1"/>
  <c r="CS38" i="15"/>
  <c r="CP38" i="15" s="1"/>
  <c r="CY38" i="15"/>
  <c r="CO41" i="15"/>
  <c r="CR41" i="15"/>
  <c r="CU41" i="15" s="1"/>
  <c r="CS41" i="15"/>
  <c r="CP41" i="15" s="1"/>
  <c r="CY41" i="15"/>
  <c r="CO46" i="15"/>
  <c r="CR46" i="15"/>
  <c r="CU46" i="15" s="1"/>
  <c r="CS46" i="15"/>
  <c r="CP46" i="15" s="1"/>
  <c r="CY46" i="15"/>
  <c r="CO55" i="15"/>
  <c r="CR55" i="15"/>
  <c r="CS55" i="15"/>
  <c r="CP55" i="15" s="1"/>
  <c r="CY55" i="15"/>
  <c r="CO58" i="15"/>
  <c r="CR58" i="15"/>
  <c r="CU58" i="15" s="1"/>
  <c r="CS58" i="15"/>
  <c r="CY58" i="15"/>
  <c r="CO65" i="15"/>
  <c r="CR65" i="15"/>
  <c r="CU65" i="15" s="1"/>
  <c r="CS65" i="15"/>
  <c r="CP65" i="15" s="1"/>
  <c r="CY65" i="15"/>
  <c r="CO83" i="15"/>
  <c r="CR83" i="15"/>
  <c r="CX83" i="15" s="1"/>
  <c r="CS83" i="15"/>
  <c r="CP83" i="15" s="1"/>
  <c r="CY83" i="15"/>
  <c r="CO93" i="15"/>
  <c r="CR93" i="15"/>
  <c r="CX93" i="15" s="1"/>
  <c r="CS93" i="15"/>
  <c r="CP93" i="15" s="1"/>
  <c r="CY93" i="15"/>
  <c r="CO111" i="15"/>
  <c r="CR111" i="15"/>
  <c r="CS111" i="15"/>
  <c r="CP111" i="15" s="1"/>
  <c r="CY111" i="15"/>
  <c r="D38" i="15"/>
  <c r="E38" i="15"/>
  <c r="F38" i="15"/>
  <c r="D41" i="15"/>
  <c r="E41" i="15"/>
  <c r="F41" i="15"/>
  <c r="D46" i="15"/>
  <c r="E46" i="15"/>
  <c r="F46" i="15"/>
  <c r="D55" i="15"/>
  <c r="E55" i="15"/>
  <c r="F55" i="15"/>
  <c r="D58" i="15"/>
  <c r="E58" i="15"/>
  <c r="F58" i="15"/>
  <c r="D65" i="15"/>
  <c r="E65" i="15"/>
  <c r="F65" i="15"/>
  <c r="D83" i="15"/>
  <c r="E83" i="15"/>
  <c r="F83" i="15"/>
  <c r="D93" i="15"/>
  <c r="E93" i="15"/>
  <c r="F93" i="15"/>
  <c r="D111" i="15"/>
  <c r="E111" i="15"/>
  <c r="F111" i="15"/>
  <c r="CT58" i="15" l="1"/>
  <c r="CW58" i="15" s="1"/>
  <c r="CT111" i="15"/>
  <c r="CW111" i="15" s="1"/>
  <c r="CU83" i="15"/>
  <c r="CX65" i="15"/>
  <c r="CZ65" i="15" s="1"/>
  <c r="DD65" i="15"/>
  <c r="CT55" i="15"/>
  <c r="CW55" i="15" s="1"/>
  <c r="CU93" i="15"/>
  <c r="CZ38" i="15"/>
  <c r="CT38" i="15"/>
  <c r="CW38" i="15" s="1"/>
  <c r="CU38" i="15"/>
  <c r="DD38" i="15"/>
  <c r="CT46" i="15"/>
  <c r="CW46" i="15" s="1"/>
  <c r="DD93" i="15"/>
  <c r="DD111" i="15"/>
  <c r="CZ93" i="15"/>
  <c r="CX58" i="15"/>
  <c r="CZ58" i="15" s="1"/>
  <c r="DD46" i="15"/>
  <c r="CU111" i="15"/>
  <c r="CT93" i="15"/>
  <c r="CW93" i="15" s="1"/>
  <c r="CT65" i="15"/>
  <c r="CW65" i="15" s="1"/>
  <c r="DD58" i="15"/>
  <c r="CX46" i="15"/>
  <c r="CZ46" i="15" s="1"/>
  <c r="CZ83" i="15"/>
  <c r="DD55" i="15"/>
  <c r="CX111" i="15"/>
  <c r="CZ111" i="15" s="1"/>
  <c r="CP58" i="15"/>
  <c r="CX55" i="15"/>
  <c r="CZ55" i="15" s="1"/>
  <c r="CT41" i="15"/>
  <c r="CW41" i="15" s="1"/>
  <c r="CU55" i="15"/>
  <c r="DD41" i="15"/>
  <c r="CT83" i="15"/>
  <c r="CW83" i="15" s="1"/>
  <c r="CX41" i="15"/>
  <c r="CZ41" i="15" s="1"/>
  <c r="DD83" i="15"/>
  <c r="CY21" i="15"/>
  <c r="CO21" i="15"/>
  <c r="CR21" i="15"/>
  <c r="CU21" i="15" s="1"/>
  <c r="CS21" i="15"/>
  <c r="F21" i="15"/>
  <c r="E21" i="15"/>
  <c r="D21" i="15"/>
  <c r="CX21" i="15" l="1"/>
  <c r="CZ21" i="15" s="1"/>
  <c r="CT21" i="15"/>
  <c r="CW21" i="15" s="1"/>
  <c r="CP21" i="15"/>
  <c r="O6" i="1" l="1"/>
  <c r="P6" i="1" s="1"/>
  <c r="Q6" i="1" s="1"/>
  <c r="O23" i="1"/>
  <c r="P23" i="1" s="1"/>
  <c r="Q23" i="1" s="1"/>
  <c r="O66" i="1"/>
  <c r="P66" i="1" s="1"/>
  <c r="Q66" i="1" s="1"/>
  <c r="O92" i="1"/>
  <c r="O71" i="1"/>
  <c r="P71" i="1" s="1"/>
  <c r="Q71" i="1" s="1"/>
  <c r="P92" i="1" l="1"/>
  <c r="Q92" i="1" s="1"/>
  <c r="Z92" i="1"/>
  <c r="K87" i="1" l="1"/>
  <c r="CY21" i="18" l="1"/>
  <c r="CS21" i="18"/>
  <c r="CP21" i="18" s="1"/>
  <c r="CR21" i="18"/>
  <c r="CO21" i="18"/>
  <c r="CY20" i="18"/>
  <c r="CS20" i="18"/>
  <c r="CP20" i="18" s="1"/>
  <c r="CR20" i="18"/>
  <c r="CU20" i="18" s="1"/>
  <c r="CO20" i="18"/>
  <c r="F20" i="18"/>
  <c r="E20" i="18"/>
  <c r="D20" i="18"/>
  <c r="CY19" i="18"/>
  <c r="CS19" i="18"/>
  <c r="CP19" i="18" s="1"/>
  <c r="CR19" i="18"/>
  <c r="CU19" i="18" s="1"/>
  <c r="CO19" i="18"/>
  <c r="F19" i="18"/>
  <c r="E19" i="18"/>
  <c r="D19" i="18"/>
  <c r="CY18" i="18"/>
  <c r="CS18" i="18"/>
  <c r="CP18" i="18" s="1"/>
  <c r="CR18" i="18"/>
  <c r="CX18" i="18" s="1"/>
  <c r="CO18" i="18"/>
  <c r="F18" i="18"/>
  <c r="F15" i="18" s="1"/>
  <c r="E18" i="18"/>
  <c r="D18" i="18"/>
  <c r="F12" i="18"/>
  <c r="V12" i="18" s="1"/>
  <c r="CT21" i="18" l="1"/>
  <c r="CW21" i="18" s="1"/>
  <c r="DD21" i="18" s="1"/>
  <c r="F13" i="18"/>
  <c r="J13" i="18" s="1"/>
  <c r="J12" i="18"/>
  <c r="CU18" i="18"/>
  <c r="CX19" i="18"/>
  <c r="CZ19" i="18" s="1"/>
  <c r="CZ18" i="18"/>
  <c r="S12" i="18"/>
  <c r="CX21" i="18"/>
  <c r="CZ21" i="18" s="1"/>
  <c r="D16" i="18"/>
  <c r="K12" i="18"/>
  <c r="T12" i="18"/>
  <c r="CX20" i="18"/>
  <c r="CZ20" i="18" s="1"/>
  <c r="L12" i="18"/>
  <c r="U13" i="18"/>
  <c r="U12" i="18"/>
  <c r="M12" i="18"/>
  <c r="W12" i="18"/>
  <c r="Y13" i="18"/>
  <c r="O12" i="18"/>
  <c r="P12" i="18"/>
  <c r="M13" i="18"/>
  <c r="CT18" i="18"/>
  <c r="CW18" i="18" s="1"/>
  <c r="X12" i="18"/>
  <c r="Y12" i="18"/>
  <c r="Z12" i="18"/>
  <c r="CT19" i="18"/>
  <c r="CW19" i="18" s="1"/>
  <c r="DD19" i="18" s="1"/>
  <c r="DE19" i="18" s="1"/>
  <c r="G12" i="18"/>
  <c r="H12" i="18"/>
  <c r="Q12" i="18"/>
  <c r="I12" i="18"/>
  <c r="R12" i="18"/>
  <c r="AA12" i="18"/>
  <c r="CU21" i="18"/>
  <c r="F14" i="18"/>
  <c r="AA14" i="18" s="1"/>
  <c r="V15" i="18"/>
  <c r="N15" i="18"/>
  <c r="U15" i="18"/>
  <c r="M15" i="18"/>
  <c r="T15" i="18"/>
  <c r="L15" i="18"/>
  <c r="AA15" i="18"/>
  <c r="K15" i="18"/>
  <c r="Y15" i="18"/>
  <c r="I15" i="18"/>
  <c r="G15" i="18"/>
  <c r="S15" i="18"/>
  <c r="W15" i="18"/>
  <c r="Z15" i="18"/>
  <c r="R15" i="18"/>
  <c r="J15" i="18"/>
  <c r="Q15" i="18"/>
  <c r="O15" i="18"/>
  <c r="X15" i="18"/>
  <c r="P15" i="18"/>
  <c r="H15" i="18"/>
  <c r="O13" i="18"/>
  <c r="CT20" i="18"/>
  <c r="CW20" i="18" s="1"/>
  <c r="G13" i="18"/>
  <c r="N12" i="18"/>
  <c r="H13" i="18"/>
  <c r="AA13" i="18" l="1"/>
  <c r="AA11" i="18" s="1"/>
  <c r="V13" i="18"/>
  <c r="P13" i="18"/>
  <c r="N13" i="18"/>
  <c r="R13" i="18"/>
  <c r="Z13" i="18"/>
  <c r="T13" i="18"/>
  <c r="W13" i="18"/>
  <c r="L13" i="18"/>
  <c r="Q13" i="18"/>
  <c r="K13" i="18"/>
  <c r="I13" i="18"/>
  <c r="S13" i="18"/>
  <c r="X13" i="18"/>
  <c r="L14" i="18"/>
  <c r="T14" i="18"/>
  <c r="T11" i="18" s="1"/>
  <c r="P14" i="18"/>
  <c r="P11" i="18" s="1"/>
  <c r="J14" i="18"/>
  <c r="J11" i="18" s="1"/>
  <c r="H14" i="18"/>
  <c r="H11" i="18" s="1"/>
  <c r="X14" i="18"/>
  <c r="R14" i="18"/>
  <c r="R11" i="18" s="1"/>
  <c r="G14" i="18"/>
  <c r="G11" i="18" s="1"/>
  <c r="B16" i="18" s="1"/>
  <c r="Y14" i="18"/>
  <c r="Y11" i="18" s="1"/>
  <c r="U14" i="18"/>
  <c r="U11" i="18" s="1"/>
  <c r="Z14" i="18"/>
  <c r="Z11" i="18" s="1"/>
  <c r="I14" i="18"/>
  <c r="N14" i="18"/>
  <c r="N11" i="18" s="1"/>
  <c r="K14" i="18"/>
  <c r="K11" i="18" s="1"/>
  <c r="C16" i="18"/>
  <c r="W14" i="18"/>
  <c r="W11" i="18" s="1"/>
  <c r="V14" i="18"/>
  <c r="Q14" i="18"/>
  <c r="S14" i="18"/>
  <c r="E16" i="18"/>
  <c r="M14" i="18"/>
  <c r="M11" i="18" s="1"/>
  <c r="O14" i="18"/>
  <c r="O11" i="18" s="1"/>
  <c r="V11" i="18" l="1"/>
  <c r="Q11" i="18"/>
  <c r="I11" i="18"/>
  <c r="L11" i="18"/>
  <c r="S11" i="18"/>
  <c r="X11" i="18"/>
  <c r="CS63" i="15" l="1"/>
  <c r="E1" i="12" l="1"/>
  <c r="CY115" i="15" l="1"/>
  <c r="CS115" i="15"/>
  <c r="CP115" i="15" s="1"/>
  <c r="CR115" i="15"/>
  <c r="CO115" i="15"/>
  <c r="F115" i="15"/>
  <c r="E115" i="15"/>
  <c r="D115" i="15"/>
  <c r="CY112" i="15"/>
  <c r="CS112" i="15"/>
  <c r="CR112" i="15"/>
  <c r="CO112" i="15"/>
  <c r="F112" i="15"/>
  <c r="E112" i="15"/>
  <c r="D112" i="15"/>
  <c r="CY110" i="15"/>
  <c r="CS110" i="15"/>
  <c r="CP110" i="15" s="1"/>
  <c r="CR110" i="15"/>
  <c r="CO110" i="15"/>
  <c r="CY109" i="15"/>
  <c r="CS109" i="15"/>
  <c r="CP109" i="15" s="1"/>
  <c r="CR109" i="15"/>
  <c r="CO109" i="15"/>
  <c r="F109" i="15"/>
  <c r="E109" i="15"/>
  <c r="D109" i="15"/>
  <c r="CY108" i="15"/>
  <c r="CS108" i="15"/>
  <c r="CP108" i="15" s="1"/>
  <c r="CR108" i="15"/>
  <c r="CO108" i="15"/>
  <c r="F108" i="15"/>
  <c r="E108" i="15"/>
  <c r="D108" i="15"/>
  <c r="CY107" i="15"/>
  <c r="CS107" i="15"/>
  <c r="CP107" i="15" s="1"/>
  <c r="CR107" i="15"/>
  <c r="CO107" i="15"/>
  <c r="CY104" i="15"/>
  <c r="CS104" i="15"/>
  <c r="CP104" i="15" s="1"/>
  <c r="CR104" i="15"/>
  <c r="CO104" i="15"/>
  <c r="F104" i="15"/>
  <c r="E104" i="15"/>
  <c r="D104" i="15"/>
  <c r="CY97" i="15"/>
  <c r="CS97" i="15"/>
  <c r="CP97" i="15" s="1"/>
  <c r="CR97" i="15"/>
  <c r="CO97" i="15"/>
  <c r="F97" i="15"/>
  <c r="E97" i="15"/>
  <c r="D97" i="15"/>
  <c r="CY96" i="15"/>
  <c r="CS96" i="15"/>
  <c r="CP96" i="15" s="1"/>
  <c r="CR96" i="15"/>
  <c r="CO96" i="15"/>
  <c r="F96" i="15"/>
  <c r="E96" i="15"/>
  <c r="D96" i="15"/>
  <c r="CY91" i="15"/>
  <c r="CS91" i="15"/>
  <c r="CP91" i="15" s="1"/>
  <c r="CR91" i="15"/>
  <c r="CO91" i="15"/>
  <c r="F91" i="15"/>
  <c r="E91" i="15"/>
  <c r="D91" i="15"/>
  <c r="CY89" i="15"/>
  <c r="CS89" i="15"/>
  <c r="CP89" i="15" s="1"/>
  <c r="CR89" i="15"/>
  <c r="CO89" i="15"/>
  <c r="F89" i="15"/>
  <c r="E89" i="15"/>
  <c r="D89" i="15"/>
  <c r="CY87" i="15"/>
  <c r="CS87" i="15"/>
  <c r="CR87" i="15"/>
  <c r="CO87" i="15"/>
  <c r="F87" i="15"/>
  <c r="E87" i="15"/>
  <c r="D87" i="15"/>
  <c r="CY86" i="15"/>
  <c r="CS86" i="15"/>
  <c r="CP86" i="15" s="1"/>
  <c r="CR86" i="15"/>
  <c r="CO86" i="15"/>
  <c r="F86" i="15"/>
  <c r="E86" i="15"/>
  <c r="D86" i="15"/>
  <c r="CY82" i="15"/>
  <c r="CS82" i="15"/>
  <c r="CP82" i="15" s="1"/>
  <c r="CR82" i="15"/>
  <c r="CO82" i="15"/>
  <c r="F82" i="15"/>
  <c r="E82" i="15"/>
  <c r="D82" i="15"/>
  <c r="CY23" i="15"/>
  <c r="CS23" i="15"/>
  <c r="CP23" i="15" s="1"/>
  <c r="CR23" i="15"/>
  <c r="CO23" i="15"/>
  <c r="F23" i="15"/>
  <c r="E23" i="15"/>
  <c r="D23" i="15"/>
  <c r="CY77" i="15"/>
  <c r="CS77" i="15"/>
  <c r="CP77" i="15" s="1"/>
  <c r="CR77" i="15"/>
  <c r="CO77" i="15"/>
  <c r="F77" i="15"/>
  <c r="E77" i="15"/>
  <c r="D77" i="15"/>
  <c r="CY73" i="15"/>
  <c r="CS73" i="15"/>
  <c r="CP73" i="15" s="1"/>
  <c r="CR73" i="15"/>
  <c r="CO73" i="15"/>
  <c r="CY72" i="15"/>
  <c r="CS72" i="15"/>
  <c r="CP72" i="15" s="1"/>
  <c r="CR72" i="15"/>
  <c r="CO72" i="15"/>
  <c r="F72" i="15"/>
  <c r="E72" i="15"/>
  <c r="D72" i="15"/>
  <c r="CY70" i="15"/>
  <c r="CS70" i="15"/>
  <c r="CP70" i="15" s="1"/>
  <c r="CR70" i="15"/>
  <c r="CO70" i="15"/>
  <c r="F70" i="15"/>
  <c r="E70" i="15"/>
  <c r="D70" i="15"/>
  <c r="CY64" i="15"/>
  <c r="CS64" i="15"/>
  <c r="CP64" i="15" s="1"/>
  <c r="CR64" i="15"/>
  <c r="CO64" i="15"/>
  <c r="CY63" i="15"/>
  <c r="CP63" i="15"/>
  <c r="CR63" i="15"/>
  <c r="CO63" i="15"/>
  <c r="F63" i="15"/>
  <c r="E63" i="15"/>
  <c r="D63" i="15"/>
  <c r="CY62" i="15"/>
  <c r="CS62" i="15"/>
  <c r="CP62" i="15" s="1"/>
  <c r="CR62" i="15"/>
  <c r="CO62" i="15"/>
  <c r="F62" i="15"/>
  <c r="E62" i="15"/>
  <c r="D62" i="15"/>
  <c r="CY60" i="15"/>
  <c r="CS60" i="15"/>
  <c r="CP60" i="15" s="1"/>
  <c r="CR60" i="15"/>
  <c r="CO60" i="15"/>
  <c r="F60" i="15"/>
  <c r="E60" i="15"/>
  <c r="D60" i="15"/>
  <c r="CY59" i="15"/>
  <c r="CS59" i="15"/>
  <c r="CO59" i="15"/>
  <c r="F59" i="15"/>
  <c r="E59" i="15"/>
  <c r="D59" i="15"/>
  <c r="CY54" i="15"/>
  <c r="CS54" i="15"/>
  <c r="CR54" i="15"/>
  <c r="CO54" i="15"/>
  <c r="F54" i="15"/>
  <c r="E54" i="15"/>
  <c r="D54" i="15"/>
  <c r="CY50" i="15"/>
  <c r="CS50" i="15"/>
  <c r="CP50" i="15" s="1"/>
  <c r="CR50" i="15"/>
  <c r="CO50" i="15"/>
  <c r="F50" i="15"/>
  <c r="E50" i="15"/>
  <c r="D50" i="15"/>
  <c r="CY48" i="15"/>
  <c r="CS48" i="15"/>
  <c r="CP48" i="15" s="1"/>
  <c r="CR48" i="15"/>
  <c r="CO48" i="15"/>
  <c r="F48" i="15"/>
  <c r="E48" i="15"/>
  <c r="D48" i="15"/>
  <c r="CY35" i="15"/>
  <c r="CS35" i="15"/>
  <c r="CP35" i="15" s="1"/>
  <c r="CR35" i="15"/>
  <c r="CO35" i="15"/>
  <c r="F35" i="15"/>
  <c r="E35" i="15"/>
  <c r="D35" i="15"/>
  <c r="CY34" i="15"/>
  <c r="CS34" i="15"/>
  <c r="CR34" i="15"/>
  <c r="CO34" i="15"/>
  <c r="F34" i="15"/>
  <c r="E34" i="15"/>
  <c r="D34" i="15"/>
  <c r="CY32" i="15"/>
  <c r="CS32" i="15"/>
  <c r="CP32" i="15" s="1"/>
  <c r="CR32" i="15"/>
  <c r="CO32" i="15"/>
  <c r="F32" i="15"/>
  <c r="E32" i="15"/>
  <c r="D32" i="15"/>
  <c r="CY29" i="15"/>
  <c r="CS29" i="15"/>
  <c r="CP29" i="15" s="1"/>
  <c r="CR29" i="15"/>
  <c r="CO29" i="15"/>
  <c r="F29" i="15"/>
  <c r="E29" i="15"/>
  <c r="D29" i="15"/>
  <c r="CY51" i="15"/>
  <c r="CS51" i="15"/>
  <c r="CP51" i="15" s="1"/>
  <c r="CR51" i="15"/>
  <c r="CO51" i="15"/>
  <c r="F51" i="15"/>
  <c r="E51" i="15"/>
  <c r="D51" i="15"/>
  <c r="CY88" i="15"/>
  <c r="CS88" i="15"/>
  <c r="CP88" i="15" s="1"/>
  <c r="CR88" i="15"/>
  <c r="CO88" i="15"/>
  <c r="F88" i="15"/>
  <c r="E88" i="15"/>
  <c r="D88" i="15"/>
  <c r="CY28" i="15"/>
  <c r="CS28" i="15"/>
  <c r="CP28" i="15" s="1"/>
  <c r="CR28" i="15"/>
  <c r="CO28" i="15"/>
  <c r="F28" i="15"/>
  <c r="E28" i="15"/>
  <c r="D28" i="15"/>
  <c r="CY26" i="15"/>
  <c r="CS26" i="15"/>
  <c r="CP26" i="15" s="1"/>
  <c r="CR26" i="15"/>
  <c r="CO26" i="15"/>
  <c r="F26" i="15"/>
  <c r="E26" i="15"/>
  <c r="D26" i="15"/>
  <c r="CY25" i="15"/>
  <c r="CS25" i="15"/>
  <c r="CP25" i="15" s="1"/>
  <c r="CR25" i="15"/>
  <c r="CO25" i="15"/>
  <c r="F25" i="15"/>
  <c r="E25" i="15"/>
  <c r="D25" i="15"/>
  <c r="F12" i="15"/>
  <c r="Z12" i="15" s="1"/>
  <c r="CP34" i="15" l="1"/>
  <c r="CP33" i="15"/>
  <c r="DD48" i="15"/>
  <c r="DD29" i="15"/>
  <c r="DD25" i="15"/>
  <c r="DD107" i="15"/>
  <c r="CU28" i="15"/>
  <c r="DD28" i="15"/>
  <c r="CU60" i="15"/>
  <c r="DD60" i="15"/>
  <c r="CU72" i="15"/>
  <c r="DD72" i="15"/>
  <c r="CU73" i="15"/>
  <c r="DD73" i="15"/>
  <c r="CU82" i="15"/>
  <c r="DD82" i="15"/>
  <c r="CU104" i="15"/>
  <c r="DD104" i="15"/>
  <c r="CU109" i="15"/>
  <c r="DD109" i="15"/>
  <c r="CU64" i="15"/>
  <c r="DD64" i="15"/>
  <c r="CU96" i="15"/>
  <c r="DD96" i="15"/>
  <c r="CU108" i="15"/>
  <c r="DD108" i="15"/>
  <c r="CP59" i="15"/>
  <c r="DD59" i="15"/>
  <c r="CU23" i="15"/>
  <c r="DD23" i="15"/>
  <c r="CU115" i="15"/>
  <c r="DD115" i="15"/>
  <c r="CU77" i="15"/>
  <c r="DD77" i="15"/>
  <c r="CU89" i="15"/>
  <c r="DD89" i="15"/>
  <c r="CU97" i="15"/>
  <c r="DD97" i="15"/>
  <c r="CU112" i="15"/>
  <c r="DD112" i="15"/>
  <c r="CU91" i="15"/>
  <c r="DD91" i="15"/>
  <c r="CU51" i="15"/>
  <c r="DD51" i="15"/>
  <c r="CU32" i="15"/>
  <c r="DD32" i="15"/>
  <c r="CU35" i="15"/>
  <c r="DD35" i="15"/>
  <c r="CU54" i="15"/>
  <c r="DD54" i="15"/>
  <c r="CU63" i="15"/>
  <c r="DD63" i="15"/>
  <c r="CU87" i="15"/>
  <c r="DD87" i="15"/>
  <c r="CU110" i="15"/>
  <c r="DD110" i="15"/>
  <c r="CU34" i="15"/>
  <c r="DD34" i="15"/>
  <c r="CU26" i="15"/>
  <c r="DD26" i="15"/>
  <c r="DD88" i="15"/>
  <c r="CU50" i="15"/>
  <c r="DD50" i="15"/>
  <c r="CU62" i="15"/>
  <c r="DD62" i="15"/>
  <c r="CU70" i="15"/>
  <c r="DD70" i="15"/>
  <c r="CU86" i="15"/>
  <c r="DD86" i="15"/>
  <c r="CP87" i="15"/>
  <c r="CT87" i="15"/>
  <c r="CW87" i="15" s="1"/>
  <c r="CX25" i="15"/>
  <c r="CZ25" i="15" s="1"/>
  <c r="CU25" i="15"/>
  <c r="CX88" i="15"/>
  <c r="CZ88" i="15" s="1"/>
  <c r="CU88" i="15"/>
  <c r="CX48" i="15"/>
  <c r="CZ48" i="15" s="1"/>
  <c r="CU48" i="15"/>
  <c r="CX59" i="15"/>
  <c r="CZ59" i="15" s="1"/>
  <c r="CU59" i="15"/>
  <c r="CX107" i="15"/>
  <c r="CZ107" i="15" s="1"/>
  <c r="CU107" i="15"/>
  <c r="CX29" i="15"/>
  <c r="CZ29" i="15" s="1"/>
  <c r="CU29" i="15"/>
  <c r="CX72" i="15"/>
  <c r="CZ72" i="15" s="1"/>
  <c r="CX28" i="15"/>
  <c r="CZ28" i="15" s="1"/>
  <c r="CX77" i="15"/>
  <c r="CZ77" i="15" s="1"/>
  <c r="CX110" i="15"/>
  <c r="CZ110" i="15" s="1"/>
  <c r="CX104" i="15"/>
  <c r="CZ104" i="15" s="1"/>
  <c r="CX50" i="15"/>
  <c r="CZ50" i="15" s="1"/>
  <c r="CX32" i="15"/>
  <c r="CZ32" i="15" s="1"/>
  <c r="CX54" i="15"/>
  <c r="CZ54" i="15" s="1"/>
  <c r="CX112" i="15"/>
  <c r="CZ112" i="15" s="1"/>
  <c r="CX115" i="15"/>
  <c r="CZ115" i="15" s="1"/>
  <c r="CX73" i="15"/>
  <c r="CZ73" i="15" s="1"/>
  <c r="CX34" i="15"/>
  <c r="CZ34" i="15" s="1"/>
  <c r="CX82" i="15"/>
  <c r="CZ82" i="15" s="1"/>
  <c r="CX23" i="15"/>
  <c r="CZ23" i="15" s="1"/>
  <c r="CX26" i="15"/>
  <c r="CZ26" i="15" s="1"/>
  <c r="CX62" i="15"/>
  <c r="CZ62" i="15" s="1"/>
  <c r="CX108" i="15"/>
  <c r="CZ108" i="15" s="1"/>
  <c r="CX91" i="15"/>
  <c r="CZ91" i="15" s="1"/>
  <c r="CX35" i="15"/>
  <c r="CZ35" i="15" s="1"/>
  <c r="CX60" i="15"/>
  <c r="CZ60" i="15" s="1"/>
  <c r="CX97" i="15"/>
  <c r="CZ97" i="15" s="1"/>
  <c r="CX63" i="15"/>
  <c r="CZ63" i="15" s="1"/>
  <c r="CX89" i="15"/>
  <c r="CZ89" i="15" s="1"/>
  <c r="CX87" i="15"/>
  <c r="CZ87" i="15" s="1"/>
  <c r="CX109" i="15"/>
  <c r="CZ109" i="15" s="1"/>
  <c r="CT51" i="15"/>
  <c r="CW51" i="15" s="1"/>
  <c r="CT70" i="15"/>
  <c r="CW70" i="15" s="1"/>
  <c r="CX51" i="15"/>
  <c r="CZ51" i="15" s="1"/>
  <c r="U12" i="15"/>
  <c r="AA12" i="15"/>
  <c r="G12" i="15"/>
  <c r="I12" i="15"/>
  <c r="CT107" i="15"/>
  <c r="CW107" i="15" s="1"/>
  <c r="O12" i="15"/>
  <c r="K12" i="15"/>
  <c r="P12" i="15"/>
  <c r="V12" i="15"/>
  <c r="L12" i="15"/>
  <c r="Q12" i="15"/>
  <c r="Y12" i="15"/>
  <c r="H12" i="15"/>
  <c r="M12" i="15"/>
  <c r="S12" i="15"/>
  <c r="F15" i="15"/>
  <c r="W15" i="15" s="1"/>
  <c r="CT104" i="15"/>
  <c r="CW104" i="15" s="1"/>
  <c r="CT89" i="15"/>
  <c r="CW89" i="15" s="1"/>
  <c r="CT77" i="15"/>
  <c r="CW77" i="15" s="1"/>
  <c r="CT72" i="15"/>
  <c r="CW72" i="15" s="1"/>
  <c r="CX70" i="15"/>
  <c r="CZ70" i="15" s="1"/>
  <c r="CT63" i="15"/>
  <c r="CW63" i="15" s="1"/>
  <c r="CT50" i="15"/>
  <c r="CW50" i="15" s="1"/>
  <c r="CT32" i="15"/>
  <c r="CW32" i="15" s="1"/>
  <c r="CT25" i="15"/>
  <c r="CW25" i="15" s="1"/>
  <c r="CT115" i="15"/>
  <c r="CW115" i="15" s="1"/>
  <c r="CT110" i="15"/>
  <c r="CW110" i="15" s="1"/>
  <c r="CT109" i="15"/>
  <c r="CW109" i="15" s="1"/>
  <c r="CT108" i="15"/>
  <c r="CW108" i="15" s="1"/>
  <c r="CT97" i="15"/>
  <c r="CW97" i="15" s="1"/>
  <c r="CT91" i="15"/>
  <c r="CW91" i="15" s="1"/>
  <c r="CT82" i="15"/>
  <c r="CW82" i="15" s="1"/>
  <c r="CT23" i="15"/>
  <c r="CW23" i="15" s="1"/>
  <c r="CT73" i="15"/>
  <c r="CW73" i="15" s="1"/>
  <c r="CT62" i="15"/>
  <c r="CW62" i="15" s="1"/>
  <c r="CT59" i="15"/>
  <c r="CW59" i="15" s="1"/>
  <c r="CT48" i="15"/>
  <c r="CW48" i="15" s="1"/>
  <c r="CT35" i="15"/>
  <c r="CW35" i="15" s="1"/>
  <c r="CT28" i="15"/>
  <c r="CW28" i="15" s="1"/>
  <c r="CT26" i="15"/>
  <c r="CW26" i="15" s="1"/>
  <c r="F14" i="15"/>
  <c r="D16" i="15"/>
  <c r="CT64" i="15"/>
  <c r="CW64" i="15" s="1"/>
  <c r="CX64" i="15"/>
  <c r="CZ64" i="15" s="1"/>
  <c r="CP54" i="15"/>
  <c r="CT54" i="15"/>
  <c r="CW54" i="15" s="1"/>
  <c r="X12" i="15"/>
  <c r="T12" i="15"/>
  <c r="J12" i="15"/>
  <c r="N12" i="15"/>
  <c r="R12" i="15"/>
  <c r="W12" i="15"/>
  <c r="F13" i="15"/>
  <c r="CT88" i="15"/>
  <c r="CW88" i="15" s="1"/>
  <c r="CT29" i="15"/>
  <c r="CW29" i="15" s="1"/>
  <c r="CT34" i="15"/>
  <c r="CW34" i="15" s="1"/>
  <c r="CT96" i="15"/>
  <c r="CW96" i="15" s="1"/>
  <c r="CX96" i="15"/>
  <c r="CZ96" i="15" s="1"/>
  <c r="CT86" i="15"/>
  <c r="CW86" i="15" s="1"/>
  <c r="CX86" i="15"/>
  <c r="CZ86" i="15" s="1"/>
  <c r="CT60" i="15"/>
  <c r="CW60" i="15" s="1"/>
  <c r="CP112" i="15"/>
  <c r="CT112" i="15"/>
  <c r="CW112" i="15" s="1"/>
  <c r="DE28" i="15" l="1"/>
  <c r="I15" i="15"/>
  <c r="P15" i="15"/>
  <c r="Z15" i="15"/>
  <c r="X15" i="15"/>
  <c r="Q15" i="15"/>
  <c r="U15" i="15"/>
  <c r="K15" i="15"/>
  <c r="G15" i="15"/>
  <c r="T15" i="15"/>
  <c r="O15" i="15"/>
  <c r="H15" i="15"/>
  <c r="S15" i="15"/>
  <c r="J15" i="15"/>
  <c r="N15" i="15"/>
  <c r="R15" i="15"/>
  <c r="M15" i="15"/>
  <c r="AA15" i="15"/>
  <c r="V15" i="15"/>
  <c r="L15" i="15"/>
  <c r="Y15" i="15"/>
  <c r="Z13" i="15"/>
  <c r="V13" i="15"/>
  <c r="R13" i="15"/>
  <c r="N13" i="15"/>
  <c r="J13" i="15"/>
  <c r="W13" i="15"/>
  <c r="Q13" i="15"/>
  <c r="L13" i="15"/>
  <c r="G13" i="15"/>
  <c r="Y13" i="15"/>
  <c r="S13" i="15"/>
  <c r="K13" i="15"/>
  <c r="X13" i="15"/>
  <c r="P13" i="15"/>
  <c r="I13" i="15"/>
  <c r="U13" i="15"/>
  <c r="O13" i="15"/>
  <c r="H13" i="15"/>
  <c r="AA13" i="15"/>
  <c r="T13" i="15"/>
  <c r="M13" i="15"/>
  <c r="X14" i="15"/>
  <c r="T14" i="15"/>
  <c r="P14" i="15"/>
  <c r="L14" i="15"/>
  <c r="H14" i="15"/>
  <c r="AA14" i="15"/>
  <c r="V14" i="15"/>
  <c r="Q14" i="15"/>
  <c r="K14" i="15"/>
  <c r="Y14" i="15"/>
  <c r="R14" i="15"/>
  <c r="J14" i="15"/>
  <c r="W14" i="15"/>
  <c r="O14" i="15"/>
  <c r="I14" i="15"/>
  <c r="U14" i="15"/>
  <c r="N14" i="15"/>
  <c r="G14" i="15"/>
  <c r="Z14" i="15"/>
  <c r="S14" i="15"/>
  <c r="M14" i="15"/>
  <c r="C16" i="15"/>
  <c r="T11" i="15" l="1"/>
  <c r="K11" i="15"/>
  <c r="L11" i="15"/>
  <c r="N11" i="15"/>
  <c r="E16" i="15"/>
  <c r="AA11" i="15"/>
  <c r="I11" i="15"/>
  <c r="S11" i="15"/>
  <c r="Q11" i="15"/>
  <c r="R11" i="15"/>
  <c r="U11" i="15"/>
  <c r="H11" i="15"/>
  <c r="P11" i="15"/>
  <c r="Y11" i="15"/>
  <c r="W11" i="15"/>
  <c r="V11" i="15"/>
  <c r="M11" i="15"/>
  <c r="O11" i="15"/>
  <c r="X11" i="15"/>
  <c r="G11" i="15"/>
  <c r="B16" i="15" s="1"/>
  <c r="J11" i="15"/>
  <c r="Z11" i="15"/>
  <c r="K43" i="1" l="1"/>
  <c r="Y55" i="1" l="1"/>
  <c r="W55" i="1"/>
  <c r="O55" i="1"/>
  <c r="P55" i="1" s="1"/>
  <c r="Q55" i="1" s="1"/>
  <c r="K55" i="1"/>
  <c r="Z55" i="1" l="1"/>
  <c r="T1" i="1" l="1"/>
  <c r="R1" i="1" l="1"/>
  <c r="N1" i="1"/>
  <c r="G1" i="7" l="1"/>
  <c r="O43" i="1" l="1"/>
  <c r="P43" i="1" s="1"/>
  <c r="Q43" i="1" s="1"/>
  <c r="O87" i="1"/>
  <c r="P87" i="1" s="1"/>
  <c r="Q87" i="1" s="1"/>
  <c r="F1" i="1" l="1"/>
  <c r="G1" i="1" l="1"/>
  <c r="O12" i="1" l="1"/>
  <c r="Z12" i="1" s="1"/>
  <c r="Y48" i="1" l="1"/>
  <c r="Y46" i="1"/>
  <c r="Y72" i="1"/>
  <c r="Y70" i="1"/>
  <c r="Y91" i="1"/>
  <c r="Y10" i="1"/>
  <c r="Y56" i="1"/>
  <c r="Y17" i="1"/>
  <c r="Y33" i="1"/>
  <c r="Y69" i="1"/>
  <c r="Y20" i="1"/>
  <c r="Y89" i="1"/>
  <c r="Y36" i="1"/>
  <c r="Y40" i="1"/>
  <c r="Y35" i="1"/>
  <c r="Y39" i="1"/>
  <c r="Y27" i="1"/>
  <c r="Y44" i="1"/>
  <c r="Y53" i="1"/>
  <c r="Y60" i="1"/>
  <c r="Y78" i="1"/>
  <c r="Y79" i="1"/>
  <c r="Y90" i="1"/>
  <c r="K36" i="1" l="1"/>
  <c r="K10" i="1"/>
  <c r="K17" i="1"/>
  <c r="K20" i="1"/>
  <c r="K33" i="1"/>
  <c r="K35" i="1"/>
  <c r="K39" i="1"/>
  <c r="K27" i="1"/>
  <c r="K44" i="1"/>
  <c r="K46" i="1"/>
  <c r="K48" i="1"/>
  <c r="K53" i="1"/>
  <c r="K40" i="1"/>
  <c r="K56" i="1"/>
  <c r="K60" i="1"/>
  <c r="K69" i="1"/>
  <c r="K70" i="1"/>
  <c r="K72" i="1"/>
  <c r="K78" i="1"/>
  <c r="K79" i="1"/>
  <c r="K89" i="1"/>
  <c r="K90" i="1"/>
  <c r="K91" i="1"/>
  <c r="K12" i="1"/>
  <c r="P12" i="1" l="1"/>
  <c r="Q12" i="1" s="1"/>
  <c r="O36" i="1"/>
  <c r="P36" i="1" s="1"/>
  <c r="Q36" i="1" s="1"/>
  <c r="O10" i="1"/>
  <c r="P10" i="1" s="1"/>
  <c r="Q10" i="1" s="1"/>
  <c r="O17" i="1"/>
  <c r="P17" i="1" s="1"/>
  <c r="Q17" i="1" s="1"/>
  <c r="O20" i="1"/>
  <c r="P20" i="1" s="1"/>
  <c r="Q20" i="1" s="1"/>
  <c r="O33" i="1"/>
  <c r="P33" i="1" s="1"/>
  <c r="Q33" i="1" s="1"/>
  <c r="O35" i="1"/>
  <c r="P35" i="1" s="1"/>
  <c r="Q35" i="1" s="1"/>
  <c r="O39" i="1"/>
  <c r="P39" i="1" s="1"/>
  <c r="Q39" i="1" s="1"/>
  <c r="O27" i="1"/>
  <c r="P27" i="1" s="1"/>
  <c r="Q27" i="1" s="1"/>
  <c r="O44" i="1"/>
  <c r="P44" i="1" s="1"/>
  <c r="Q44" i="1" s="1"/>
  <c r="O48" i="1"/>
  <c r="P48" i="1" s="1"/>
  <c r="Q48" i="1" s="1"/>
  <c r="O53" i="1"/>
  <c r="P53" i="1" s="1"/>
  <c r="Q53" i="1" s="1"/>
  <c r="O40" i="1"/>
  <c r="P40" i="1" s="1"/>
  <c r="Q40" i="1" s="1"/>
  <c r="O56" i="1"/>
  <c r="P56" i="1" s="1"/>
  <c r="Q56" i="1" s="1"/>
  <c r="O60" i="1"/>
  <c r="P60" i="1" s="1"/>
  <c r="Q60" i="1" s="1"/>
  <c r="O69" i="1"/>
  <c r="P69" i="1" s="1"/>
  <c r="Q69" i="1" s="1"/>
  <c r="O70" i="1"/>
  <c r="P70" i="1" s="1"/>
  <c r="Q70" i="1" s="1"/>
  <c r="O72" i="1"/>
  <c r="P72" i="1" s="1"/>
  <c r="Q72" i="1" s="1"/>
  <c r="O78" i="1"/>
  <c r="P78" i="1" s="1"/>
  <c r="Q78" i="1" s="1"/>
  <c r="O79" i="1"/>
  <c r="P79" i="1" s="1"/>
  <c r="Q79" i="1" s="1"/>
  <c r="O89" i="1"/>
  <c r="P89" i="1" s="1"/>
  <c r="Q89" i="1" s="1"/>
  <c r="O90" i="1"/>
  <c r="P90" i="1" s="1"/>
  <c r="Q90" i="1" s="1"/>
  <c r="O91" i="1"/>
  <c r="P91" i="1" s="1"/>
  <c r="Q91" i="1" s="1"/>
  <c r="O46" i="1"/>
  <c r="P46" i="1" s="1"/>
  <c r="Q46" i="1" s="1"/>
  <c r="O1" i="1" l="1"/>
  <c r="Z46" i="1"/>
  <c r="W46" i="1"/>
  <c r="P1" i="1" l="1"/>
  <c r="Q1" i="1" s="1"/>
  <c r="W20" i="1" l="1"/>
  <c r="W40" i="1"/>
  <c r="W72" i="1"/>
  <c r="W48" i="1"/>
  <c r="W90" i="1"/>
  <c r="W70" i="1"/>
  <c r="W53" i="1"/>
  <c r="W79" i="1"/>
  <c r="W78" i="1"/>
  <c r="W27" i="1"/>
  <c r="W91" i="1"/>
  <c r="W10" i="1"/>
  <c r="W17" i="1"/>
  <c r="W56" i="1"/>
  <c r="W36" i="1"/>
  <c r="W33" i="1"/>
  <c r="W35" i="1"/>
  <c r="W39" i="1"/>
  <c r="W69" i="1"/>
  <c r="W60" i="1"/>
  <c r="W44" i="1"/>
  <c r="Z10" i="1" l="1"/>
  <c r="Z17" i="1"/>
  <c r="Z20" i="1"/>
  <c r="Z33" i="1"/>
  <c r="Z35" i="1"/>
  <c r="Z39" i="1"/>
  <c r="Z27" i="1"/>
  <c r="Z44" i="1"/>
  <c r="Z48" i="1"/>
  <c r="Z53" i="1"/>
  <c r="Z40" i="1"/>
  <c r="Z56" i="1"/>
  <c r="Z60" i="1"/>
  <c r="Z69" i="1"/>
  <c r="Z70" i="1"/>
  <c r="Z72" i="1"/>
  <c r="Z78" i="1"/>
  <c r="Z79" i="1"/>
  <c r="Z89" i="1"/>
  <c r="Z90" i="1"/>
  <c r="Z91" i="1"/>
  <c r="Z36"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1"/>
        </ext>
      </extLst>
    </bk>
    <bk>
      <extLst>
        <ext uri="{3e2802c4-a4d2-4d8b-9148-e3be6c30e623}">
          <xlrd:rvb i="104"/>
        </ext>
      </extLst>
    </bk>
    <bk>
      <extLst>
        <ext uri="{3e2802c4-a4d2-4d8b-9148-e3be6c30e623}">
          <xlrd:rvb i="107"/>
        </ext>
      </extLst>
    </bk>
    <bk>
      <extLst>
        <ext uri="{3e2802c4-a4d2-4d8b-9148-e3be6c30e623}">
          <xlrd:rvb i="110"/>
        </ext>
      </extLst>
    </bk>
    <bk>
      <extLst>
        <ext uri="{3e2802c4-a4d2-4d8b-9148-e3be6c30e623}">
          <xlrd:rvb i="113"/>
        </ext>
      </extLst>
    </bk>
    <bk>
      <extLst>
        <ext uri="{3e2802c4-a4d2-4d8b-9148-e3be6c30e623}">
          <xlrd:rvb i="116"/>
        </ext>
      </extLst>
    </bk>
    <bk>
      <extLst>
        <ext uri="{3e2802c4-a4d2-4d8b-9148-e3be6c30e623}">
          <xlrd:rvb i="119"/>
        </ext>
      </extLst>
    </bk>
    <bk>
      <extLst>
        <ext uri="{3e2802c4-a4d2-4d8b-9148-e3be6c30e623}">
          <xlrd:rvb i="122"/>
        </ext>
      </extLst>
    </bk>
    <bk>
      <extLst>
        <ext uri="{3e2802c4-a4d2-4d8b-9148-e3be6c30e623}">
          <xlrd:rvb i="125"/>
        </ext>
      </extLst>
    </bk>
    <bk>
      <extLst>
        <ext uri="{3e2802c4-a4d2-4d8b-9148-e3be6c30e623}">
          <xlrd:rvb i="128"/>
        </ext>
      </extLst>
    </bk>
    <bk>
      <extLst>
        <ext uri="{3e2802c4-a4d2-4d8b-9148-e3be6c30e623}">
          <xlrd:rvb i="131"/>
        </ext>
      </extLst>
    </bk>
    <bk>
      <extLst>
        <ext uri="{3e2802c4-a4d2-4d8b-9148-e3be6c30e623}">
          <xlrd:rvb i="134"/>
        </ext>
      </extLst>
    </bk>
    <bk>
      <extLst>
        <ext uri="{3e2802c4-a4d2-4d8b-9148-e3be6c30e623}">
          <xlrd:rvb i="137"/>
        </ext>
      </extLst>
    </bk>
    <bk>
      <extLst>
        <ext uri="{3e2802c4-a4d2-4d8b-9148-e3be6c30e623}">
          <xlrd:rvb i="140"/>
        </ext>
      </extLst>
    </bk>
    <bk>
      <extLst>
        <ext uri="{3e2802c4-a4d2-4d8b-9148-e3be6c30e623}">
          <xlrd:rvb i="143"/>
        </ext>
      </extLst>
    </bk>
    <bk>
      <extLst>
        <ext uri="{3e2802c4-a4d2-4d8b-9148-e3be6c30e623}">
          <xlrd:rvb i="146"/>
        </ext>
      </extLst>
    </bk>
    <bk>
      <extLst>
        <ext uri="{3e2802c4-a4d2-4d8b-9148-e3be6c30e623}">
          <xlrd:rvb i="149"/>
        </ext>
      </extLst>
    </bk>
    <bk>
      <extLst>
        <ext uri="{3e2802c4-a4d2-4d8b-9148-e3be6c30e623}">
          <xlrd:rvb i="152"/>
        </ext>
      </extLst>
    </bk>
    <bk>
      <extLst>
        <ext uri="{3e2802c4-a4d2-4d8b-9148-e3be6c30e623}">
          <xlrd:rvb i="155"/>
        </ext>
      </extLst>
    </bk>
    <bk>
      <extLst>
        <ext uri="{3e2802c4-a4d2-4d8b-9148-e3be6c30e623}">
          <xlrd:rvb i="158"/>
        </ext>
      </extLst>
    </bk>
    <bk>
      <extLst>
        <ext uri="{3e2802c4-a4d2-4d8b-9148-e3be6c30e623}">
          <xlrd:rvb i="161"/>
        </ext>
      </extLst>
    </bk>
    <bk>
      <extLst>
        <ext uri="{3e2802c4-a4d2-4d8b-9148-e3be6c30e623}">
          <xlrd:rvb i="164"/>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5"/>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09"/>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9"/>
        </ext>
      </extLst>
    </bk>
    <bk>
      <extLst>
        <ext uri="{3e2802c4-a4d2-4d8b-9148-e3be6c30e623}">
          <xlrd:rvb i="242"/>
        </ext>
      </extLst>
    </bk>
    <bk>
      <extLst>
        <ext uri="{3e2802c4-a4d2-4d8b-9148-e3be6c30e623}">
          <xlrd:rvb i="245"/>
        </ext>
      </extLst>
    </bk>
    <bk>
      <extLst>
        <ext uri="{3e2802c4-a4d2-4d8b-9148-e3be6c30e623}">
          <xlrd:rvb i="248"/>
        </ext>
      </extLst>
    </bk>
    <bk>
      <extLst>
        <ext uri="{3e2802c4-a4d2-4d8b-9148-e3be6c30e623}">
          <xlrd:rvb i="251"/>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3"/>
        </ext>
      </extLst>
    </bk>
    <bk>
      <extLst>
        <ext uri="{3e2802c4-a4d2-4d8b-9148-e3be6c30e623}">
          <xlrd:rvb i="266"/>
        </ext>
      </extLst>
    </bk>
    <bk>
      <extLst>
        <ext uri="{3e2802c4-a4d2-4d8b-9148-e3be6c30e623}">
          <xlrd:rvb i="269"/>
        </ext>
      </extLst>
    </bk>
    <bk>
      <extLst>
        <ext uri="{3e2802c4-a4d2-4d8b-9148-e3be6c30e623}">
          <xlrd:rvb i="272"/>
        </ext>
      </extLst>
    </bk>
    <bk>
      <extLst>
        <ext uri="{3e2802c4-a4d2-4d8b-9148-e3be6c30e623}">
          <xlrd:rvb i="274"/>
        </ext>
      </extLst>
    </bk>
    <bk>
      <extLst>
        <ext uri="{3e2802c4-a4d2-4d8b-9148-e3be6c30e623}">
          <xlrd:rvb i="277"/>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<sst xmlns="http://schemas.openxmlformats.org/spreadsheetml/2006/main" count="16651" uniqueCount="1378">
  <si>
    <t>SL#</t>
  </si>
  <si>
    <t>Share Name(MC)</t>
  </si>
  <si>
    <t>State</t>
  </si>
  <si>
    <t>Latest Price</t>
  </si>
  <si>
    <t>Quantity</t>
  </si>
  <si>
    <t>Inv. Price</t>
  </si>
  <si>
    <t>Inv. Amt</t>
  </si>
  <si>
    <t>Latest Value</t>
  </si>
  <si>
    <t>Aspinwall</t>
  </si>
  <si>
    <t>Avantel</t>
  </si>
  <si>
    <t>Bharat Elec</t>
  </si>
  <si>
    <t>Bigbloc Constru</t>
  </si>
  <si>
    <t>Caplin Labs</t>
  </si>
  <si>
    <t>Cheviot Company</t>
  </si>
  <si>
    <t>DCM Shriram</t>
  </si>
  <si>
    <t>GNFC</t>
  </si>
  <si>
    <t>Guj Ind Power</t>
  </si>
  <si>
    <t>Guj Mineral</t>
  </si>
  <si>
    <t>HCL Tech</t>
  </si>
  <si>
    <t>Hind Zinc</t>
  </si>
  <si>
    <t>Jasch Ind</t>
  </si>
  <si>
    <t>Karnataka Bank</t>
  </si>
  <si>
    <t>Kirloskar Oil</t>
  </si>
  <si>
    <t>Kitex Garments</t>
  </si>
  <si>
    <t>LG Balakrishnan</t>
  </si>
  <si>
    <t>LIC Housing Fin</t>
  </si>
  <si>
    <t>Manappuram Fin</t>
  </si>
  <si>
    <t>Morepen Lab</t>
  </si>
  <si>
    <t>NOCIL</t>
  </si>
  <si>
    <t>Pidilite Ind</t>
  </si>
  <si>
    <t>PNB Gilts</t>
  </si>
  <si>
    <t>Power Finance</t>
  </si>
  <si>
    <t>Prakash Ind</t>
  </si>
  <si>
    <t>SBI</t>
  </si>
  <si>
    <t>Shreyans Ind</t>
  </si>
  <si>
    <t>SJVN</t>
  </si>
  <si>
    <t>Srikalahasthi</t>
  </si>
  <si>
    <t>Tyche Ind</t>
  </si>
  <si>
    <t>UFO Moviez</t>
  </si>
  <si>
    <t>Vimta Labs</t>
  </si>
  <si>
    <t>Visaka Ind</t>
  </si>
  <si>
    <t>Comments</t>
  </si>
  <si>
    <t>Last Trans</t>
  </si>
  <si>
    <t>Last Diff%</t>
  </si>
  <si>
    <t>Active</t>
  </si>
  <si>
    <t>Y</t>
  </si>
  <si>
    <t>Entry</t>
  </si>
  <si>
    <t>Exit</t>
  </si>
  <si>
    <t>L Buy</t>
  </si>
  <si>
    <t>L Sell</t>
  </si>
  <si>
    <t>L Buy%</t>
  </si>
  <si>
    <t>L Sell%</t>
  </si>
  <si>
    <t>No# Blocks</t>
  </si>
  <si>
    <t>Kriti Nutrients</t>
  </si>
  <si>
    <t>27-10-2017</t>
  </si>
  <si>
    <t>28-11-2017</t>
  </si>
  <si>
    <t>31-10-2017</t>
  </si>
  <si>
    <t>Source</t>
  </si>
  <si>
    <t>IIFL</t>
  </si>
  <si>
    <t>Not more than 500 shares, add 100 more at 105 range</t>
  </si>
  <si>
    <t>at 186-190 add 115</t>
  </si>
  <si>
    <t>TV5</t>
  </si>
  <si>
    <t>Sell Weight</t>
  </si>
  <si>
    <t>Tv5</t>
  </si>
  <si>
    <t>Suresh</t>
  </si>
  <si>
    <t>Viswa</t>
  </si>
  <si>
    <t>MC</t>
  </si>
  <si>
    <t>Entry Date</t>
  </si>
  <si>
    <t>Kalyani Steels</t>
  </si>
  <si>
    <t>CODE-IB</t>
  </si>
  <si>
    <t>CODE-ZR</t>
  </si>
  <si>
    <t>NSE/BSE</t>
  </si>
  <si>
    <t>NSE</t>
  </si>
  <si>
    <t>N</t>
  </si>
  <si>
    <t>ASPINWALL</t>
  </si>
  <si>
    <t>AVANTEL</t>
  </si>
  <si>
    <t>BSE</t>
  </si>
  <si>
    <t>INE005B01019</t>
  </si>
  <si>
    <t>BEL</t>
  </si>
  <si>
    <t>INE263A01024</t>
  </si>
  <si>
    <t>BIGBLOC</t>
  </si>
  <si>
    <t>CAPLIPOINT</t>
  </si>
  <si>
    <t>INE475E01026</t>
  </si>
  <si>
    <t>CHEVIOT</t>
  </si>
  <si>
    <t>INE974B01016</t>
  </si>
  <si>
    <t>DCMSHRIRAM</t>
  </si>
  <si>
    <t>INE499A01024</t>
  </si>
  <si>
    <t>INE113A01013</t>
  </si>
  <si>
    <t>HCLTECH</t>
  </si>
  <si>
    <t>INE860A01027</t>
  </si>
  <si>
    <t>HINDZINC</t>
  </si>
  <si>
    <t>INE267A01025</t>
  </si>
  <si>
    <t>INE043C01018</t>
  </si>
  <si>
    <t>JASCH</t>
  </si>
  <si>
    <t>JASCH INDUST</t>
  </si>
  <si>
    <t>INE711C01010</t>
  </si>
  <si>
    <t>KITEX</t>
  </si>
  <si>
    <t>INE602G01020</t>
  </si>
  <si>
    <t>KSL</t>
  </si>
  <si>
    <t>INE907A01026</t>
  </si>
  <si>
    <t>LICHSGFIN</t>
  </si>
  <si>
    <t>INE115A01026</t>
  </si>
  <si>
    <t>MANAPPURAM</t>
  </si>
  <si>
    <t>INE522D01027</t>
  </si>
  <si>
    <t>MOREPENLAB</t>
  </si>
  <si>
    <t>INE083A01026</t>
  </si>
  <si>
    <t>ORIENTABRA</t>
  </si>
  <si>
    <t>PIDILITIND</t>
  </si>
  <si>
    <t>INE318A01026</t>
  </si>
  <si>
    <t>PNBGILTS</t>
  </si>
  <si>
    <t>INE859A01011</t>
  </si>
  <si>
    <t>PFC</t>
  </si>
  <si>
    <t>INE134E01011</t>
  </si>
  <si>
    <t>SBIN</t>
  </si>
  <si>
    <t>INE062A01020</t>
  </si>
  <si>
    <t>SHREYANIND</t>
  </si>
  <si>
    <t>INE231C01019</t>
  </si>
  <si>
    <t>TATAMTRDVR</t>
  </si>
  <si>
    <t>IN9155A01020</t>
  </si>
  <si>
    <t>TYCHE</t>
  </si>
  <si>
    <t>INE443B01012</t>
  </si>
  <si>
    <t>UFO</t>
  </si>
  <si>
    <t>INE527H01019</t>
  </si>
  <si>
    <t>VIMTALABS</t>
  </si>
  <si>
    <t>INE579C01029</t>
  </si>
  <si>
    <t>VISAKAIND</t>
  </si>
  <si>
    <t>INE392A01013</t>
  </si>
  <si>
    <t>BSE/NSE/ISIN Code</t>
  </si>
  <si>
    <t>Buy Date</t>
  </si>
  <si>
    <t>Buy Quantity</t>
  </si>
  <si>
    <t>Buy Price</t>
  </si>
  <si>
    <t>Total</t>
  </si>
  <si>
    <t>Delete</t>
  </si>
  <si>
    <t>1-2-2018</t>
  </si>
  <si>
    <t>1-12-2017</t>
  </si>
  <si>
    <t>3-10-2017</t>
  </si>
  <si>
    <t>2-2-2018</t>
  </si>
  <si>
    <t>6-2-2018</t>
  </si>
  <si>
    <t>5-2-2018</t>
  </si>
  <si>
    <t>7-12-2017</t>
  </si>
  <si>
    <t>12-2-2018</t>
  </si>
  <si>
    <t>1-11-2017</t>
  </si>
  <si>
    <t>8-12-2017</t>
  </si>
  <si>
    <t>9-11-2017</t>
  </si>
  <si>
    <t>19-2-2018</t>
  </si>
  <si>
    <t>22-2-2018</t>
  </si>
  <si>
    <t>26-3-2018</t>
  </si>
  <si>
    <t>15-2-2018</t>
  </si>
  <si>
    <t>30-6-2017</t>
  </si>
  <si>
    <t>31-1-2018</t>
  </si>
  <si>
    <t>23-3-2018</t>
  </si>
  <si>
    <t>22-1-2018</t>
  </si>
  <si>
    <t>25-9-2017</t>
  </si>
  <si>
    <t>20-2-2018</t>
  </si>
  <si>
    <t>23-1-2018</t>
  </si>
  <si>
    <t>24-7-2017</t>
  </si>
  <si>
    <t>29-1-2018</t>
  </si>
  <si>
    <t>31-7-2017</t>
  </si>
  <si>
    <t>Date Vaue</t>
  </si>
  <si>
    <t>Zensar Tech</t>
  </si>
  <si>
    <t>Gain</t>
  </si>
  <si>
    <t>Gain %</t>
  </si>
  <si>
    <t>Processed</t>
  </si>
  <si>
    <t>Profit</t>
  </si>
  <si>
    <t>16-04-2018</t>
  </si>
  <si>
    <t>Qty</t>
  </si>
  <si>
    <t>Sell Date</t>
  </si>
  <si>
    <t>Sell Rate</t>
  </si>
  <si>
    <t>Buy Rate</t>
  </si>
  <si>
    <t>Sell Value</t>
  </si>
  <si>
    <t>Buy Value</t>
  </si>
  <si>
    <t>Profit%</t>
  </si>
  <si>
    <t>05-02-2018</t>
  </si>
  <si>
    <t>Inv Value</t>
  </si>
  <si>
    <t>Avg Value</t>
  </si>
  <si>
    <t>Mkt Value</t>
  </si>
  <si>
    <t>YSTD</t>
  </si>
  <si>
    <t>LTD</t>
  </si>
  <si>
    <t>R Profit</t>
  </si>
  <si>
    <t>R Profit%</t>
  </si>
  <si>
    <t>UR Profit</t>
  </si>
  <si>
    <t>UR Profit%</t>
  </si>
  <si>
    <t>05-07-2018</t>
  </si>
  <si>
    <t>Avg Val</t>
  </si>
  <si>
    <t>05-10-2018</t>
  </si>
  <si>
    <t>18-05-2018</t>
  </si>
  <si>
    <t>15-05-2018</t>
  </si>
  <si>
    <t>21-05-2018</t>
  </si>
  <si>
    <t>25-05-2018</t>
  </si>
  <si>
    <t>29-05-2018</t>
  </si>
  <si>
    <t>30-05-2018</t>
  </si>
  <si>
    <t>31-05-2018</t>
  </si>
  <si>
    <t>06-01-2018</t>
  </si>
  <si>
    <t>22-06-2018</t>
  </si>
  <si>
    <t>Bajaj Finserv</t>
  </si>
  <si>
    <t>BAJAJFINSV</t>
  </si>
  <si>
    <t>INE918I01018</t>
  </si>
  <si>
    <t>26-06-2018</t>
  </si>
  <si>
    <t>25-06-2018</t>
  </si>
  <si>
    <t>07-12-2018</t>
  </si>
  <si>
    <t>18-07-2018</t>
  </si>
  <si>
    <t>26-07-2018</t>
  </si>
  <si>
    <t>13-08-2018</t>
  </si>
  <si>
    <t>08/27/2018</t>
  </si>
  <si>
    <t>08/31/2018</t>
  </si>
  <si>
    <t>AVANTEL-X</t>
  </si>
  <si>
    <t>Onward Tech</t>
  </si>
  <si>
    <t>ONWARDTEC</t>
  </si>
  <si>
    <t>09/07/2018</t>
  </si>
  <si>
    <t>09/11/2018</t>
  </si>
  <si>
    <t>JASCH-X</t>
  </si>
  <si>
    <t>09/18/2018</t>
  </si>
  <si>
    <t>10/05/2018</t>
  </si>
  <si>
    <t>10/15/2018</t>
  </si>
  <si>
    <t>11/28/2018</t>
  </si>
  <si>
    <t>11/29/2018</t>
  </si>
  <si>
    <t>TYCHE-X</t>
  </si>
  <si>
    <t>12/21/2018</t>
  </si>
  <si>
    <t>Tata Elxsi</t>
  </si>
  <si>
    <t>TATAELXSI</t>
  </si>
  <si>
    <t>INE670A01012</t>
  </si>
  <si>
    <t>12/31/2018</t>
  </si>
  <si>
    <t>12/26/2018</t>
  </si>
  <si>
    <t>Debt</t>
  </si>
  <si>
    <t>Medium</t>
  </si>
  <si>
    <t>Low</t>
  </si>
  <si>
    <t>Banco Products</t>
  </si>
  <si>
    <t>01/23/2019</t>
  </si>
  <si>
    <t>01/21/2019</t>
  </si>
  <si>
    <t>01/03/2019</t>
  </si>
  <si>
    <t>TML-D</t>
  </si>
  <si>
    <t>Rate</t>
  </si>
  <si>
    <t>MC-89.22, Debt-0%, Div-1.82%,PS-38.08% ROCE-67.80% Big Leap this year,sales  and Profits are slightly increasing, small cap with less than 100cr, Cutting edge technology good potential for future growth can buy on every dip from the current level don't accumulate after 350 levels.  May be move it to Active.</t>
  </si>
  <si>
    <t>MC-605.15, Debt-0%, Div-1.70%,PS-60.73% increasing, ROCE-21.90% decreasing, sales  and profits are slightly decreasing, Reserves are increasing can buy on  corrections for long term. Debt free and most ethical company can buy for longterm.</t>
  </si>
  <si>
    <t>02/05/2019</t>
  </si>
  <si>
    <t>High Div, Buy only on major corrections and exit systematically</t>
  </si>
  <si>
    <t>MC-29,885.72, Debt-90%, Div-6.89%, Promotor-61.48 dec, ROCE-20.38 increasing,sales  and Profits are increasing, reservers are slightly raising, good for long term, bad loan risk, buy on major corrections and exit on rallies</t>
  </si>
  <si>
    <t>MC-427.20, Debt-1%, Div-0.15%, Promotor-74.76 flat, ROCE-14.80 flat,sales and Profits are increasing, reserves are slowly increasing,debt free ,accumulate on major corrections</t>
  </si>
  <si>
    <t>04/04/2019</t>
  </si>
  <si>
    <t>04/08/2019</t>
  </si>
  <si>
    <t>05/15/2019</t>
  </si>
  <si>
    <t>05/13/2019</t>
  </si>
  <si>
    <t>05/08/2019</t>
  </si>
  <si>
    <t>P/L</t>
  </si>
  <si>
    <t>MC-211.52, Debt-25%, Div-1.18%, Promotor-47.26 flat, ROCE-26.74 increasing,sales  and Profits are increasing  , reservers are slightly raising,  buy on major corrections and exit on rallies. Buy 2500</t>
  </si>
  <si>
    <t>06/26/2019</t>
  </si>
  <si>
    <t>CHEVIOT-X</t>
  </si>
  <si>
    <t>07/09/2019</t>
  </si>
  <si>
    <t>07/08/2019</t>
  </si>
  <si>
    <t>08/06/2019</t>
  </si>
  <si>
    <t>08/16/2019</t>
  </si>
  <si>
    <t>08/21/2019</t>
  </si>
  <si>
    <t>M&amp;M</t>
  </si>
  <si>
    <t>INE101A01026</t>
  </si>
  <si>
    <t>08/26/2019</t>
  </si>
  <si>
    <t>09/09/2019</t>
  </si>
  <si>
    <t>10/09/2019</t>
  </si>
  <si>
    <t>12/11/2019</t>
  </si>
  <si>
    <t>12/10/2019</t>
  </si>
  <si>
    <t>01/06/2020</t>
  </si>
  <si>
    <t>02/01/2020</t>
  </si>
  <si>
    <t>01/31/2020</t>
  </si>
  <si>
    <t>02/03/2020</t>
  </si>
  <si>
    <t>02/12/2020</t>
  </si>
  <si>
    <t>unwanted</t>
  </si>
  <si>
    <t>02/19/2020</t>
  </si>
  <si>
    <t>02/17/2020</t>
  </si>
  <si>
    <t>02/27/2020</t>
  </si>
  <si>
    <t>Monthly</t>
  </si>
  <si>
    <t>Yearly</t>
  </si>
  <si>
    <t>04/07/2020</t>
  </si>
  <si>
    <t>03/16/2020</t>
  </si>
  <si>
    <t>03/11/2020</t>
  </si>
  <si>
    <t>03/12/2020</t>
  </si>
  <si>
    <t>03/09/2020</t>
  </si>
  <si>
    <t>Curr</t>
  </si>
  <si>
    <t>19-Q1</t>
  </si>
  <si>
    <t>18-Q4</t>
  </si>
  <si>
    <t>18-Q3</t>
  </si>
  <si>
    <t>18-Q2</t>
  </si>
  <si>
    <t>18-Q1</t>
  </si>
  <si>
    <t>17-Q4</t>
  </si>
  <si>
    <t>17-Q3</t>
  </si>
  <si>
    <t>17-Q2</t>
  </si>
  <si>
    <t>17-Q1</t>
  </si>
  <si>
    <t>16-Q4</t>
  </si>
  <si>
    <t>16-Q3</t>
  </si>
  <si>
    <t>16-Q2</t>
  </si>
  <si>
    <t>16-Q1</t>
  </si>
  <si>
    <t>15-Q4</t>
  </si>
  <si>
    <t>15-Q3</t>
  </si>
  <si>
    <t>15-Q2</t>
  </si>
  <si>
    <t>15-Q1</t>
  </si>
  <si>
    <t>14-Q4</t>
  </si>
  <si>
    <t>14-Q3</t>
  </si>
  <si>
    <t>14-Q2</t>
  </si>
  <si>
    <t>AVG</t>
  </si>
  <si>
    <t>Stock Val</t>
  </si>
  <si>
    <t>Sales</t>
  </si>
  <si>
    <t>Net Val</t>
  </si>
  <si>
    <t>Stock Value</t>
  </si>
  <si>
    <t>Profits</t>
  </si>
  <si>
    <t>Net Value</t>
  </si>
  <si>
    <t>Script Name</t>
  </si>
  <si>
    <t>Status</t>
  </si>
  <si>
    <t>SV</t>
  </si>
  <si>
    <t>SL</t>
  </si>
  <si>
    <t>PF</t>
  </si>
  <si>
    <t>NV</t>
  </si>
  <si>
    <t>19-Q2-V</t>
  </si>
  <si>
    <t>19-Q1-V</t>
  </si>
  <si>
    <t>18-Q4-V</t>
  </si>
  <si>
    <t>18-Q3-V</t>
  </si>
  <si>
    <t>18-Q2-V</t>
  </si>
  <si>
    <t>18-Q1-V</t>
  </si>
  <si>
    <t>17-Q4-V</t>
  </si>
  <si>
    <t>17-Q3-V</t>
  </si>
  <si>
    <t>17-Q2-V</t>
  </si>
  <si>
    <t>17-Q1-V</t>
  </si>
  <si>
    <t>16-Q4-V</t>
  </si>
  <si>
    <t>16-Q3-V</t>
  </si>
  <si>
    <t>16-Q2-V</t>
  </si>
  <si>
    <t>16-Q1-V</t>
  </si>
  <si>
    <t>15-Q4-V</t>
  </si>
  <si>
    <t>15-Q3-V</t>
  </si>
  <si>
    <t>15-Q2-V</t>
  </si>
  <si>
    <t>15-Q1-V</t>
  </si>
  <si>
    <t>14-Q4-V</t>
  </si>
  <si>
    <t>14-Q3-V</t>
  </si>
  <si>
    <t>19-Q2-S</t>
  </si>
  <si>
    <t>19-Q1-S</t>
  </si>
  <si>
    <t>18-Q4-S</t>
  </si>
  <si>
    <t>18-Q3-S</t>
  </si>
  <si>
    <t>18-Q2-S</t>
  </si>
  <si>
    <t>18-Q1-S</t>
  </si>
  <si>
    <t>17-Q4-S</t>
  </si>
  <si>
    <t>17-Q3-S</t>
  </si>
  <si>
    <t>17-Q2-S</t>
  </si>
  <si>
    <t>17-Q1-S</t>
  </si>
  <si>
    <t>16-Q4-S</t>
  </si>
  <si>
    <t>16-Q3-S</t>
  </si>
  <si>
    <t>16-Q2-S</t>
  </si>
  <si>
    <t>16-Q1-S</t>
  </si>
  <si>
    <t>15-Q4-S</t>
  </si>
  <si>
    <t>15-Q3-S</t>
  </si>
  <si>
    <t>15-Q2-S</t>
  </si>
  <si>
    <t>15-Q1-S</t>
  </si>
  <si>
    <t>14-Q4-S</t>
  </si>
  <si>
    <t>14-Q3-S</t>
  </si>
  <si>
    <t>19-Q1-P</t>
  </si>
  <si>
    <t>18-Q4-P</t>
  </si>
  <si>
    <t>18-Q3-P</t>
  </si>
  <si>
    <t>18-Q2-P</t>
  </si>
  <si>
    <t>18-Q1-P</t>
  </si>
  <si>
    <t>17-Q4-P</t>
  </si>
  <si>
    <t>17-Q3-P</t>
  </si>
  <si>
    <t>17-Q2-P</t>
  </si>
  <si>
    <t>17-Q1-P</t>
  </si>
  <si>
    <t>16-Q4-P</t>
  </si>
  <si>
    <t>16-Q3-P</t>
  </si>
  <si>
    <t>16-Q2-P</t>
  </si>
  <si>
    <t>16-Q1-P</t>
  </si>
  <si>
    <t>15-Q4-P</t>
  </si>
  <si>
    <t>15-Q3-P</t>
  </si>
  <si>
    <t>15-Q2-P</t>
  </si>
  <si>
    <t>15-Q1-P</t>
  </si>
  <si>
    <t>14-Q4-P</t>
  </si>
  <si>
    <t>14-Q3-P</t>
  </si>
  <si>
    <t>14-Q2-P</t>
  </si>
  <si>
    <t>19-Q1-N</t>
  </si>
  <si>
    <t>18-Q4-N</t>
  </si>
  <si>
    <t>18-Q3-N</t>
  </si>
  <si>
    <t>18-Q2-N</t>
  </si>
  <si>
    <t>18-Q1-N</t>
  </si>
  <si>
    <t>17-Q4-N</t>
  </si>
  <si>
    <t>17-Q3-N</t>
  </si>
  <si>
    <t>17-Q2-N</t>
  </si>
  <si>
    <t>17-Q1-N</t>
  </si>
  <si>
    <t>16-Q4-N</t>
  </si>
  <si>
    <t>16-Q3-N</t>
  </si>
  <si>
    <t>16-Q2-N</t>
  </si>
  <si>
    <t>16-Q1-N</t>
  </si>
  <si>
    <t>15-Q4-N</t>
  </si>
  <si>
    <t>15-Q3-N</t>
  </si>
  <si>
    <t>15-Q2-N</t>
  </si>
  <si>
    <t>15-Q1-N</t>
  </si>
  <si>
    <t>14-Q4-N</t>
  </si>
  <si>
    <t>14-Q3-N</t>
  </si>
  <si>
    <t>14-Q2-N</t>
  </si>
  <si>
    <t>TA</t>
  </si>
  <si>
    <t>Debt%</t>
  </si>
  <si>
    <t>Debt2</t>
  </si>
  <si>
    <t>Pledge</t>
  </si>
  <si>
    <t>ROCE</t>
  </si>
  <si>
    <t>Div</t>
  </si>
  <si>
    <t>T.ROCE</t>
  </si>
  <si>
    <t>B Price</t>
  </si>
  <si>
    <t>B MC</t>
  </si>
  <si>
    <t>Type</t>
  </si>
  <si>
    <t>Chunk</t>
  </si>
  <si>
    <t>Chunk2</t>
  </si>
  <si>
    <t>BMC</t>
  </si>
  <si>
    <t>2660‬.00</t>
  </si>
  <si>
    <t>2480‬.00</t>
  </si>
  <si>
    <t>Script</t>
  </si>
  <si>
    <t>Amount</t>
  </si>
  <si>
    <t>Order</t>
  </si>
  <si>
    <t>04/13/2020</t>
  </si>
  <si>
    <t>05/08/2020</t>
  </si>
  <si>
    <t>05/12/2020</t>
  </si>
  <si>
    <t>CAPPL</t>
  </si>
  <si>
    <t>LQtr</t>
  </si>
  <si>
    <t>06/30/2020</t>
  </si>
  <si>
    <t>07/22/2020</t>
  </si>
  <si>
    <t>IRCTC</t>
  </si>
  <si>
    <t>INE335Y01012</t>
  </si>
  <si>
    <t>ITC</t>
  </si>
  <si>
    <t>07/28/2020</t>
  </si>
  <si>
    <t>07/31/2020</t>
  </si>
  <si>
    <t>07/30/2020</t>
  </si>
  <si>
    <t>08/12/2020</t>
  </si>
  <si>
    <t>08/10/2020</t>
  </si>
  <si>
    <t>Rana Sugars</t>
  </si>
  <si>
    <t>08/17/2020</t>
  </si>
  <si>
    <t>Ester Ind</t>
  </si>
  <si>
    <t>ESTER</t>
  </si>
  <si>
    <t>08/31/2020</t>
  </si>
  <si>
    <t>Bombay Burmah</t>
  </si>
  <si>
    <t>Kaveri Seed</t>
  </si>
  <si>
    <t>Trigyn Technologies Ltd.</t>
  </si>
  <si>
    <t>Shree Steel Wire Ropes Ltd</t>
  </si>
  <si>
    <t>Intense Technologies Ltd.</t>
  </si>
  <si>
    <t>09/22/2020</t>
  </si>
  <si>
    <t>09/21/2020</t>
  </si>
  <si>
    <t>PE</t>
  </si>
  <si>
    <t>PEG</t>
  </si>
  <si>
    <t>Bank Currupt</t>
  </si>
  <si>
    <t>Fin Intigrity</t>
  </si>
  <si>
    <t>N/A</t>
  </si>
  <si>
    <t>NPA</t>
  </si>
  <si>
    <t>High</t>
  </si>
  <si>
    <t>HDFC Bank</t>
  </si>
  <si>
    <t>INE040A01034 </t>
  </si>
  <si>
    <t>10/07/2020</t>
  </si>
  <si>
    <t>10/08/2020</t>
  </si>
  <si>
    <t>HDFCBANK</t>
  </si>
  <si>
    <t>10/12/2020</t>
  </si>
  <si>
    <t>10/15/2020</t>
  </si>
  <si>
    <t>10/22/2020</t>
  </si>
  <si>
    <t>10/27/2020</t>
  </si>
  <si>
    <t>10/28/2020</t>
  </si>
  <si>
    <t>10/26/2020</t>
  </si>
  <si>
    <t>11/04/2020</t>
  </si>
  <si>
    <t>Gland</t>
  </si>
  <si>
    <t>INE068V01023</t>
  </si>
  <si>
    <t>11/19/2020</t>
  </si>
  <si>
    <t>11/18/2020</t>
  </si>
  <si>
    <t>11/11/2020</t>
  </si>
  <si>
    <t>12/03/2020</t>
  </si>
  <si>
    <t>12/02/2020</t>
  </si>
  <si>
    <t>12/01/2020</t>
  </si>
  <si>
    <t>12/07/2020</t>
  </si>
  <si>
    <t>12/18/2020</t>
  </si>
  <si>
    <t>IEX</t>
  </si>
  <si>
    <t>12/22/2020</t>
  </si>
  <si>
    <t>12/21/2020</t>
  </si>
  <si>
    <t>INE022Q01020</t>
  </si>
  <si>
    <t>OCCL</t>
  </si>
  <si>
    <t>AMBIKCO</t>
  </si>
  <si>
    <t>Oriental Carbon</t>
  </si>
  <si>
    <t>Vinati Organics</t>
  </si>
  <si>
    <t>VINATIORGA</t>
  </si>
  <si>
    <t>Ambika Cotton</t>
  </si>
  <si>
    <t>DHPIND</t>
  </si>
  <si>
    <t>DHPIND-X</t>
  </si>
  <si>
    <t>Kovai Medical</t>
  </si>
  <si>
    <t>KOVAI-X</t>
  </si>
  <si>
    <t>KOVAI</t>
  </si>
  <si>
    <t>ORIENTCQ</t>
  </si>
  <si>
    <t>01/08/2021</t>
  </si>
  <si>
    <t>01/07/2021</t>
  </si>
  <si>
    <t>01/06/2021</t>
  </si>
  <si>
    <t>01/05/2021</t>
  </si>
  <si>
    <t>DHP</t>
  </si>
  <si>
    <t>01/04/2021</t>
  </si>
  <si>
    <t>Polycab</t>
  </si>
  <si>
    <t>POLYCAB</t>
  </si>
  <si>
    <t>01/15/2021</t>
  </si>
  <si>
    <t>01/14/2021</t>
  </si>
  <si>
    <t>01/13/2021</t>
  </si>
  <si>
    <t>01/12/2021</t>
  </si>
  <si>
    <t>01/11/2021</t>
  </si>
  <si>
    <t>01/22/2021</t>
  </si>
  <si>
    <t>01/18/2021</t>
  </si>
  <si>
    <t>01/29/2021</t>
  </si>
  <si>
    <t>01/28/2021</t>
  </si>
  <si>
    <t>01/25/2021</t>
  </si>
  <si>
    <t>Exist</t>
  </si>
  <si>
    <t>ISSN</t>
  </si>
  <si>
    <t>Account</t>
  </si>
  <si>
    <t>Google Finance Script</t>
  </si>
  <si>
    <t>YT7133</t>
  </si>
  <si>
    <t xml:space="preserve">BAJAJFINSV </t>
  </si>
  <si>
    <t>ZM7120</t>
  </si>
  <si>
    <t xml:space="preserve">INE670A01012 </t>
  </si>
  <si>
    <t>02/19/2021</t>
  </si>
  <si>
    <t>02/18/2021</t>
  </si>
  <si>
    <t>02/17/2021</t>
  </si>
  <si>
    <t>02/16/2021</t>
  </si>
  <si>
    <t>02/15/2021</t>
  </si>
  <si>
    <t>TRANSCOR</t>
  </si>
  <si>
    <t>ASIANPAINT</t>
  </si>
  <si>
    <t>Asian Paints</t>
  </si>
  <si>
    <t>INE021A01026</t>
  </si>
  <si>
    <t>Stock</t>
  </si>
  <si>
    <t>Done</t>
  </si>
  <si>
    <t>02/26/2021</t>
  </si>
  <si>
    <t>02/22/2021</t>
  </si>
  <si>
    <t>02/23/2021</t>
  </si>
  <si>
    <t>sell</t>
  </si>
  <si>
    <t>03/05/2021</t>
  </si>
  <si>
    <t>03/04/2021</t>
  </si>
  <si>
    <t>Railtel</t>
  </si>
  <si>
    <t>RAILTEL</t>
  </si>
  <si>
    <t>INE0DD101019</t>
  </si>
  <si>
    <t>03/01/2021</t>
  </si>
  <si>
    <t>03/03/2021</t>
  </si>
  <si>
    <t>Heranba</t>
  </si>
  <si>
    <t>HERANBA</t>
  </si>
  <si>
    <t>INE694N01015</t>
  </si>
  <si>
    <t>Acrysil India</t>
  </si>
  <si>
    <t>ACRYSIL</t>
  </si>
  <si>
    <t>INE482D01024</t>
  </si>
  <si>
    <t>Alkyl Amines</t>
  </si>
  <si>
    <t>ALKYLAMINE</t>
  </si>
  <si>
    <t>INE150B01021</t>
  </si>
  <si>
    <t>GMM Pfaudler</t>
  </si>
  <si>
    <t>GMMPFAUDLR</t>
  </si>
  <si>
    <t>INE541A01023</t>
  </si>
  <si>
    <t>Relaxo Footwear</t>
  </si>
  <si>
    <t>RELAXO</t>
  </si>
  <si>
    <t>INE131B01039</t>
  </si>
  <si>
    <t>03/12/2021</t>
  </si>
  <si>
    <t>03/08/2021</t>
  </si>
  <si>
    <t>03/10/2021</t>
  </si>
  <si>
    <t>MTAR Tech</t>
  </si>
  <si>
    <t>MTARTECH</t>
  </si>
  <si>
    <t>INE864I01014</t>
  </si>
  <si>
    <t>Money Purse</t>
  </si>
  <si>
    <t>03/19/2021</t>
  </si>
  <si>
    <t>GMM</t>
  </si>
  <si>
    <t>03/18/2021</t>
  </si>
  <si>
    <t>03/17/2021</t>
  </si>
  <si>
    <t>03/16/2021</t>
  </si>
  <si>
    <t>03/15/2021</t>
  </si>
  <si>
    <t>PC Qty</t>
  </si>
  <si>
    <t>IB</t>
  </si>
  <si>
    <t>Z-V</t>
  </si>
  <si>
    <t>Z-R</t>
  </si>
  <si>
    <t>Z-S</t>
  </si>
  <si>
    <t>TC-D</t>
  </si>
  <si>
    <t>Diff</t>
  </si>
  <si>
    <t>UP-S</t>
  </si>
  <si>
    <t>03/26/2021</t>
  </si>
  <si>
    <t>03/24/2021</t>
  </si>
  <si>
    <t>03/22/2021</t>
  </si>
  <si>
    <t>Sun TV Network</t>
  </si>
  <si>
    <t>SUNTV</t>
  </si>
  <si>
    <t>IL&amp;FSTRANS</t>
  </si>
  <si>
    <t>NIITLTD</t>
  </si>
  <si>
    <t>Pasari Spinning Mills</t>
  </si>
  <si>
    <t>Yuvraaj Hygiene</t>
  </si>
  <si>
    <t>Instrument</t>
  </si>
  <si>
    <t>Qty.</t>
  </si>
  <si>
    <t>Avg. cost</t>
  </si>
  <si>
    <t>LTP</t>
  </si>
  <si>
    <t>Cur. val</t>
  </si>
  <si>
    <t>P&amp;L</t>
  </si>
  <si>
    <t>Net chg.</t>
  </si>
  <si>
    <t>Day chg.</t>
  </si>
  <si>
    <t>GUJHOTE</t>
  </si>
  <si>
    <t>IMCAP</t>
  </si>
  <si>
    <t>PASARI</t>
  </si>
  <si>
    <t>TRANSFD</t>
  </si>
  <si>
    <t>INE040A01034</t>
  </si>
  <si>
    <t>INE424H01027</t>
  </si>
  <si>
    <t>INE540G01014</t>
  </si>
  <si>
    <t>INE590D01016</t>
  </si>
  <si>
    <t>INE177F01017</t>
  </si>
  <si>
    <t>INE321D01016</t>
  </si>
  <si>
    <t>INE455K01017</t>
  </si>
  <si>
    <t>MC Code</t>
  </si>
  <si>
    <t>Code</t>
  </si>
  <si>
    <t>TBD</t>
  </si>
  <si>
    <t>Nazara</t>
  </si>
  <si>
    <t>NAZARA</t>
  </si>
  <si>
    <t>INE418L01021</t>
  </si>
  <si>
    <t>04/01/2021</t>
  </si>
  <si>
    <t>Scrip Name</t>
  </si>
  <si>
    <t>ISIN</t>
  </si>
  <si>
    <t>Closing Rate</t>
  </si>
  <si>
    <t>Closing Amt</t>
  </si>
  <si>
    <t>Unrealized P&amp;L %</t>
  </si>
  <si>
    <t>INE482D01016</t>
  </si>
  <si>
    <t>INE040A01018</t>
  </si>
  <si>
    <t>INE022Q01012</t>
  </si>
  <si>
    <t>INE115A01018</t>
  </si>
  <si>
    <t>15/04/2021</t>
  </si>
  <si>
    <t>04/12/2021</t>
  </si>
  <si>
    <t>INE410B01037</t>
  </si>
  <si>
    <t>Saregama India</t>
  </si>
  <si>
    <t>SAREGAMA</t>
  </si>
  <si>
    <t>INE979A01017</t>
  </si>
  <si>
    <t>04/23/2021</t>
  </si>
  <si>
    <t>GLAND PHARMA-EQ1/-</t>
  </si>
  <si>
    <t>HCL TECH (FV RS.2/-)</t>
  </si>
  <si>
    <t>HDFC BANK-EQ1/-</t>
  </si>
  <si>
    <t>HERANBA INDUSTRIE-EQ</t>
  </si>
  <si>
    <t>INDIAN ENERGY-EQ1/-</t>
  </si>
  <si>
    <t>MTAR TECHNO-EQ</t>
  </si>
  <si>
    <t>NAZARA TECHNO-EQ4/-</t>
  </si>
  <si>
    <t>PIDILITE - EQ RE 1/-</t>
  </si>
  <si>
    <t>PNB GILTS LIMITED EQ</t>
  </si>
  <si>
    <t>Swaraj Engines</t>
  </si>
  <si>
    <t>SWARAJENG</t>
  </si>
  <si>
    <t>INE277A01016</t>
  </si>
  <si>
    <t>05/06/2021</t>
  </si>
  <si>
    <t>Praj Industries</t>
  </si>
  <si>
    <t>PRAJIND</t>
  </si>
  <si>
    <t>INE074A01025</t>
  </si>
  <si>
    <t>Garware Technic</t>
  </si>
  <si>
    <t>GARFIBRES</t>
  </si>
  <si>
    <t>INE276A01018</t>
  </si>
  <si>
    <t>FINEORG</t>
  </si>
  <si>
    <t>INE686Y01026</t>
  </si>
  <si>
    <t>Fine Organics</t>
  </si>
  <si>
    <t>05/10/2021</t>
  </si>
  <si>
    <t>05/14/2021</t>
  </si>
  <si>
    <t>05/12/2021</t>
  </si>
  <si>
    <t>05/11/2021</t>
  </si>
  <si>
    <t>05/21/2021</t>
  </si>
  <si>
    <t>05/20/2021</t>
  </si>
  <si>
    <t>05/17/2021</t>
  </si>
  <si>
    <t>05/19/2021</t>
  </si>
  <si>
    <t>05/18/2021</t>
  </si>
  <si>
    <t>Supreme Ind</t>
  </si>
  <si>
    <t>SUPREMEIND</t>
  </si>
  <si>
    <t>INE195A01028</t>
  </si>
  <si>
    <t>GOLDIAM</t>
  </si>
  <si>
    <t>Goldiam Inter</t>
  </si>
  <si>
    <t>Indiamart Inter</t>
  </si>
  <si>
    <t>Just Dial</t>
  </si>
  <si>
    <t>INE025B01017</t>
  </si>
  <si>
    <t>JUSTDIAL</t>
  </si>
  <si>
    <t>INE599M01018</t>
  </si>
  <si>
    <t>INDIAMART</t>
  </si>
  <si>
    <t>INE933S01016</t>
  </si>
  <si>
    <t>05/28/2021</t>
  </si>
  <si>
    <t>05/27/2021</t>
  </si>
  <si>
    <t>05/26/2021</t>
  </si>
  <si>
    <t>24/05/2021</t>
  </si>
  <si>
    <t>05/24/2021</t>
  </si>
  <si>
    <t>05/25/2021</t>
  </si>
  <si>
    <t>AMBIKA COTT MILLS EQ</t>
  </si>
  <si>
    <t>JUST DIAL - EQ</t>
  </si>
  <si>
    <t>Dr Lal PathLab</t>
  </si>
  <si>
    <t>LALPATHLAB</t>
  </si>
  <si>
    <t>INE600L01024</t>
  </si>
  <si>
    <t>Divis Labs</t>
  </si>
  <si>
    <t>DIVISLAB</t>
  </si>
  <si>
    <t>INE361B01024</t>
  </si>
  <si>
    <t>Bajaj Finance</t>
  </si>
  <si>
    <t>BAJFINANCE</t>
  </si>
  <si>
    <t>INE296A01024</t>
  </si>
  <si>
    <t>HDFC Life</t>
  </si>
  <si>
    <t>HDFCLIFE</t>
  </si>
  <si>
    <t>INE795G01014</t>
  </si>
  <si>
    <t>IOL Chemicals</t>
  </si>
  <si>
    <t>IOLCP</t>
  </si>
  <si>
    <t>INE485C01011</t>
  </si>
  <si>
    <t>06/03/2021</t>
  </si>
  <si>
    <t>06/02/2021</t>
  </si>
  <si>
    <t>06/01/2021</t>
  </si>
  <si>
    <t>PRAJIND-BE</t>
  </si>
  <si>
    <t>06/09/2021</t>
  </si>
  <si>
    <t>06/08/2021</t>
  </si>
  <si>
    <t>06/07/2021</t>
  </si>
  <si>
    <t>06/11/2021</t>
  </si>
  <si>
    <t>SAREGAMA-T</t>
  </si>
  <si>
    <t>Galaxy Surfacta</t>
  </si>
  <si>
    <t>GALAXYSURF</t>
  </si>
  <si>
    <t>INE600K01018</t>
  </si>
  <si>
    <t>06/18/2021</t>
  </si>
  <si>
    <t>16/06/2021</t>
  </si>
  <si>
    <t>06/14/2021</t>
  </si>
  <si>
    <t>SAREGAMA-BE</t>
  </si>
  <si>
    <t>GALAXY SURFACTANT-EQ</t>
  </si>
  <si>
    <t>Sona BLW</t>
  </si>
  <si>
    <t>SONACOMS</t>
  </si>
  <si>
    <t>INE073K01018</t>
  </si>
  <si>
    <t>06/24/2021</t>
  </si>
  <si>
    <t>PRAJ INDUSTRI-EQ RS2</t>
  </si>
  <si>
    <t>SONA BLW PRECIS-EQ</t>
  </si>
  <si>
    <t>elx</t>
  </si>
  <si>
    <t>07/02/2021</t>
  </si>
  <si>
    <t>KIMS</t>
  </si>
  <si>
    <t>INE967H01017</t>
  </si>
  <si>
    <t>06/30/2021</t>
  </si>
  <si>
    <t>06/28/2021</t>
  </si>
  <si>
    <t>06/29/2021</t>
  </si>
  <si>
    <t>07/01/2021</t>
  </si>
  <si>
    <t>PRAJIND-T</t>
  </si>
  <si>
    <t>Affle India</t>
  </si>
  <si>
    <t>AFFLE-BE</t>
  </si>
  <si>
    <t>AFFLE-T</t>
  </si>
  <si>
    <t>INE00WC01019</t>
  </si>
  <si>
    <t>AFFLE</t>
  </si>
  <si>
    <t>Krishna Inst.</t>
  </si>
  <si>
    <t>07/07/2021</t>
  </si>
  <si>
    <t>07/06/2021</t>
  </si>
  <si>
    <t>07/05/2021</t>
  </si>
  <si>
    <t xml:space="preserve">16	</t>
  </si>
  <si>
    <t xml:space="preserve">9	</t>
  </si>
  <si>
    <t>Newgen Software</t>
  </si>
  <si>
    <t>NEWGEN</t>
  </si>
  <si>
    <t>NEWGEN-BE</t>
  </si>
  <si>
    <t>INE619B01017</t>
  </si>
  <si>
    <t>MCX India</t>
  </si>
  <si>
    <t>MCX</t>
  </si>
  <si>
    <t>INE745G01035</t>
  </si>
  <si>
    <t>07/16/2021</t>
  </si>
  <si>
    <t>07/15/2021</t>
  </si>
  <si>
    <t>07/14/2021</t>
  </si>
  <si>
    <t>07/13/2021</t>
  </si>
  <si>
    <t>07/12/2021</t>
  </si>
  <si>
    <t>GRINFRA</t>
  </si>
  <si>
    <t>07/23/2021</t>
  </si>
  <si>
    <t>07/22/2021</t>
  </si>
  <si>
    <t>07/20/2021</t>
  </si>
  <si>
    <t>07/19/2021</t>
  </si>
  <si>
    <t>FDC</t>
  </si>
  <si>
    <t>INE258B01022</t>
  </si>
  <si>
    <t>XCHANGING</t>
  </si>
  <si>
    <t>Birlasoft</t>
  </si>
  <si>
    <t>BSOFT</t>
  </si>
  <si>
    <t>INE836A01035</t>
  </si>
  <si>
    <t>Laurus Labs</t>
  </si>
  <si>
    <t>LAURUSLABS</t>
  </si>
  <si>
    <t>INE947Q01028</t>
  </si>
  <si>
    <t>Xchanging Sol</t>
  </si>
  <si>
    <t>INE692G01013</t>
  </si>
  <si>
    <t>Tips Industries</t>
  </si>
  <si>
    <t>TIPSINDLTD-T</t>
  </si>
  <si>
    <t>TIPSINDLTD</t>
  </si>
  <si>
    <t>INE716B01011</t>
  </si>
  <si>
    <t>07/30/2021</t>
  </si>
  <si>
    <t>07/29/2021</t>
  </si>
  <si>
    <t>29/07/2021</t>
  </si>
  <si>
    <t>07/28/2021</t>
  </si>
  <si>
    <t>28/07/2021</t>
  </si>
  <si>
    <t>07/27/2021</t>
  </si>
  <si>
    <t>27/07/2021</t>
  </si>
  <si>
    <t>07/26/2021</t>
  </si>
  <si>
    <t>TIPSINDLTD-BE</t>
  </si>
  <si>
    <t>ZENSARTECH</t>
  </si>
  <si>
    <t xml:space="preserve">6	</t>
  </si>
  <si>
    <t>08/06/2021</t>
  </si>
  <si>
    <t>08/05/2021</t>
  </si>
  <si>
    <t>08/04/2021</t>
  </si>
  <si>
    <t>08/03/2021</t>
  </si>
  <si>
    <t>08/02/2021</t>
  </si>
  <si>
    <t>De Nora India</t>
  </si>
  <si>
    <t>DENORA</t>
  </si>
  <si>
    <t>INE244A01016</t>
  </si>
  <si>
    <t>DE NORA INDIA -EQ</t>
  </si>
  <si>
    <t>LAURUS LABS-EQ2/-</t>
  </si>
  <si>
    <t>NEWGEN SOFTWARE TECH</t>
  </si>
  <si>
    <t>XCHANGING SOL-EQ</t>
  </si>
  <si>
    <t>08/13/2021</t>
  </si>
  <si>
    <t>08/11/2021</t>
  </si>
  <si>
    <t>08/10/2021</t>
  </si>
  <si>
    <t>08/09/2021</t>
  </si>
  <si>
    <t>SUN TV - EQ RS 5</t>
  </si>
  <si>
    <t>CarTrade Tech</t>
  </si>
  <si>
    <t>CARTRADE</t>
  </si>
  <si>
    <t>INE290S01011</t>
  </si>
  <si>
    <t>Devyani Int</t>
  </si>
  <si>
    <t>DEVYANI</t>
  </si>
  <si>
    <t>INE872J01023</t>
  </si>
  <si>
    <t>08/20/2021</t>
  </si>
  <si>
    <t>20/08/2021</t>
  </si>
  <si>
    <t>08/18/2021</t>
  </si>
  <si>
    <t>08/16/2021</t>
  </si>
  <si>
    <t>DEVYANI INTER-EQ1/-</t>
  </si>
  <si>
    <t>APTUS</t>
  </si>
  <si>
    <t>CARTRADE TECH LTD-EQ</t>
  </si>
  <si>
    <t>INE778B01029</t>
  </si>
  <si>
    <t>INE524A01029</t>
  </si>
  <si>
    <t>GABRIEL IND EQ RE.1/</t>
  </si>
  <si>
    <t>GUJARAT NARMADA-EQ</t>
  </si>
  <si>
    <t>KALYANI STEELS-EQ5/-</t>
  </si>
  <si>
    <t>MANAPPURAM FIN- RE 2</t>
  </si>
  <si>
    <t>SBI - EQ</t>
  </si>
  <si>
    <t>APTUS VALUE</t>
  </si>
  <si>
    <t>INE852O01025</t>
  </si>
  <si>
    <t>08/27/2021</t>
  </si>
  <si>
    <t>08/26/2021</t>
  </si>
  <si>
    <t>08/25/2021</t>
  </si>
  <si>
    <t>08/23/2021</t>
  </si>
  <si>
    <t>Titan Company</t>
  </si>
  <si>
    <t>TITAN</t>
  </si>
  <si>
    <t>INE280A01028</t>
  </si>
  <si>
    <t>Lincoln Pharma</t>
  </si>
  <si>
    <t>LINCOLN</t>
  </si>
  <si>
    <t>INE405C01035</t>
  </si>
  <si>
    <t>LINCOPH</t>
  </si>
  <si>
    <t>09/09/2021</t>
  </si>
  <si>
    <t>09/08/2021</t>
  </si>
  <si>
    <t>09/07/2021</t>
  </si>
  <si>
    <t>09/02/2021</t>
  </si>
  <si>
    <t>09/01/2021</t>
  </si>
  <si>
    <t>08/31/2021</t>
  </si>
  <si>
    <t>08/30/2021</t>
  </si>
  <si>
    <t>Zee Entertain</t>
  </si>
  <si>
    <t>ZEEL</t>
  </si>
  <si>
    <t>INE256A01028</t>
  </si>
  <si>
    <t>09/17/2021</t>
  </si>
  <si>
    <t>09/16/2021</t>
  </si>
  <si>
    <t>09/15/2021</t>
  </si>
  <si>
    <t>09/14/2021</t>
  </si>
  <si>
    <t>09/13/2021</t>
  </si>
  <si>
    <t>10/01/2021</t>
  </si>
  <si>
    <t>09/30/2021</t>
  </si>
  <si>
    <t>09/29/2021</t>
  </si>
  <si>
    <t>09/28/2021</t>
  </si>
  <si>
    <t>09/27/2021</t>
  </si>
  <si>
    <t>09/24/2021</t>
  </si>
  <si>
    <t>09/23/2021</t>
  </si>
  <si>
    <t>09/22/2021</t>
  </si>
  <si>
    <t>09/21/2021</t>
  </si>
  <si>
    <t>NEWGEN-T</t>
  </si>
  <si>
    <t>09/20/2021</t>
  </si>
  <si>
    <t>Meghmani Finech</t>
  </si>
  <si>
    <t>MFL</t>
  </si>
  <si>
    <t>INE071N01016</t>
  </si>
  <si>
    <t>10/08/2021</t>
  </si>
  <si>
    <t>10/07/2021</t>
  </si>
  <si>
    <t>10/06/2021</t>
  </si>
  <si>
    <t>10/05/2021</t>
  </si>
  <si>
    <t>YUVRAAJHPL</t>
  </si>
  <si>
    <t>RANASUG</t>
  </si>
  <si>
    <t>10/14/2021</t>
  </si>
  <si>
    <t>10/13/2021</t>
  </si>
  <si>
    <t>10/12/2021</t>
  </si>
  <si>
    <t>10/11/2021</t>
  </si>
  <si>
    <t>10/22/2021</t>
  </si>
  <si>
    <t>10/21/2021</t>
  </si>
  <si>
    <t>21/10/2021</t>
  </si>
  <si>
    <t>10/20/2021</t>
  </si>
  <si>
    <t>10/19/2021</t>
  </si>
  <si>
    <t>10/18/2021</t>
  </si>
  <si>
    <t xml:space="preserve">26	</t>
  </si>
  <si>
    <t>10/25/2021</t>
  </si>
  <si>
    <t>10/29/2021</t>
  </si>
  <si>
    <t>10/28/2021</t>
  </si>
  <si>
    <t>10/27/2021</t>
  </si>
  <si>
    <t>10/26/2021</t>
  </si>
  <si>
    <t>ASIAN PAINTS EQ 1/-</t>
  </si>
  <si>
    <t>DHP INDIA LTD EQTY</t>
  </si>
  <si>
    <t>MULTI COMM-EQ RS 10</t>
  </si>
  <si>
    <t>THE SUPREME IND-EQ</t>
  </si>
  <si>
    <t>11/04/2021</t>
  </si>
  <si>
    <t>11/02/2021</t>
  </si>
  <si>
    <t>11/01/2021</t>
  </si>
  <si>
    <t>11/12/2021</t>
  </si>
  <si>
    <t>11/11/2021</t>
  </si>
  <si>
    <t>11/10/2021</t>
  </si>
  <si>
    <t>11/09/2021</t>
  </si>
  <si>
    <t>11/08/2021</t>
  </si>
  <si>
    <t>RAILTEL CORP-EQ</t>
  </si>
  <si>
    <t>POLICYBZR</t>
  </si>
  <si>
    <t>PB Fintech</t>
  </si>
  <si>
    <t>INE417T01026</t>
  </si>
  <si>
    <t>11/18/2021</t>
  </si>
  <si>
    <t>11/17/2021</t>
  </si>
  <si>
    <t>11/16/2021</t>
  </si>
  <si>
    <t>11/15/2021</t>
  </si>
  <si>
    <t>PAYTM</t>
  </si>
  <si>
    <t>INE982J01020</t>
  </si>
  <si>
    <t>ONE97 COMMUNIC-EQ1/-</t>
  </si>
  <si>
    <t>11/26/2021</t>
  </si>
  <si>
    <t>11/25/2021</t>
  </si>
  <si>
    <t>11/22/2021</t>
  </si>
  <si>
    <t>Medplus Health</t>
  </si>
  <si>
    <t>L&amp;T Technology</t>
  </si>
  <si>
    <t>DENORA-BE</t>
  </si>
  <si>
    <t>DENORA-T</t>
  </si>
  <si>
    <t>01/11/2022</t>
  </si>
  <si>
    <t>LTTS</t>
  </si>
  <si>
    <t>INE010V01017</t>
  </si>
  <si>
    <t>01/10/2022</t>
  </si>
  <si>
    <t>01/07/2022</t>
  </si>
  <si>
    <t>01/06/2022</t>
  </si>
  <si>
    <t>01/04/2022</t>
  </si>
  <si>
    <t>MEDPLUS</t>
  </si>
  <si>
    <t>INE804L01022</t>
  </si>
  <si>
    <t>01/03/2022</t>
  </si>
  <si>
    <t>12/31/2021</t>
  </si>
  <si>
    <t>12/30/2021</t>
  </si>
  <si>
    <t>12/29/2021</t>
  </si>
  <si>
    <t>12/22/2021</t>
  </si>
  <si>
    <t>12/20/2021</t>
  </si>
  <si>
    <t>12/15/2021</t>
  </si>
  <si>
    <t>12/14/2021</t>
  </si>
  <si>
    <t>12/13/2021</t>
  </si>
  <si>
    <t>12/07/2021</t>
  </si>
  <si>
    <t>12/06/2021</t>
  </si>
  <si>
    <t>11/29/2021</t>
  </si>
  <si>
    <t>BAJAJ FINANCE-EQ</t>
  </si>
  <si>
    <t>INE0BV301023</t>
  </si>
  <si>
    <t>C.E. INFO SYSTEMS-EQ</t>
  </si>
  <si>
    <t>CAPLIN POINT-EQ</t>
  </si>
  <si>
    <t>DIVIS LABOR-EQ 2/-</t>
  </si>
  <si>
    <t>GMM PFAUDLER-EQ RS2</t>
  </si>
  <si>
    <t>TATA MOTOR-A-DVR EQ2</t>
  </si>
  <si>
    <t>Tarsons Product</t>
  </si>
  <si>
    <t>TARSONS</t>
  </si>
  <si>
    <t>INE144Z01023</t>
  </si>
  <si>
    <t>04/01/2022</t>
  </si>
  <si>
    <t>03/31/2022</t>
  </si>
  <si>
    <t>03/29/2022</t>
  </si>
  <si>
    <t>NMDC</t>
  </si>
  <si>
    <t>INE584A01023</t>
  </si>
  <si>
    <t>03/24/2022</t>
  </si>
  <si>
    <t>03/23/2022</t>
  </si>
  <si>
    <t>03/17/2022</t>
  </si>
  <si>
    <t>Paushak Ltd</t>
  </si>
  <si>
    <t>PAUSHAKLTD</t>
  </si>
  <si>
    <t>INE111F01016</t>
  </si>
  <si>
    <t>03/16/2022</t>
  </si>
  <si>
    <t>03/08/2022</t>
  </si>
  <si>
    <t>03/07/2022</t>
  </si>
  <si>
    <t>03/04/2022</t>
  </si>
  <si>
    <t>KPITTECH</t>
  </si>
  <si>
    <t>INE04I401011</t>
  </si>
  <si>
    <t>03/03/2022</t>
  </si>
  <si>
    <t>02/25/2022</t>
  </si>
  <si>
    <t>02/24/2022</t>
  </si>
  <si>
    <t>02/22/2022</t>
  </si>
  <si>
    <t>02/17/2022</t>
  </si>
  <si>
    <t>02/15/2022</t>
  </si>
  <si>
    <t>02/11/2022</t>
  </si>
  <si>
    <t>02/10/2022</t>
  </si>
  <si>
    <t>02/09/2022</t>
  </si>
  <si>
    <t>02/08/2022</t>
  </si>
  <si>
    <t>02/07/2022</t>
  </si>
  <si>
    <t>02/04/2022</t>
  </si>
  <si>
    <t>02/02/2022</t>
  </si>
  <si>
    <t>01/27/2022</t>
  </si>
  <si>
    <t>01/25/2022</t>
  </si>
  <si>
    <t>01/24/2022</t>
  </si>
  <si>
    <t>01/21/2022</t>
  </si>
  <si>
    <t>01/20/2022</t>
  </si>
  <si>
    <t>01/19/2022</t>
  </si>
  <si>
    <t>01/18/2022</t>
  </si>
  <si>
    <t>01/17/2022</t>
  </si>
  <si>
    <t>Tanla Platforms</t>
  </si>
  <si>
    <t>TANLA</t>
  </si>
  <si>
    <t>INE483C01032</t>
  </si>
  <si>
    <t>C. E. Info Syst</t>
  </si>
  <si>
    <t>MAPMYINDIA</t>
  </si>
  <si>
    <t>INE00WC01027</t>
  </si>
  <si>
    <t>AFFLE (INDIA)-EQ2/-</t>
  </si>
  <si>
    <t>BIRLASOFT-EQ 2/-</t>
  </si>
  <si>
    <t>GARWARE TECHNICAL-EQ</t>
  </si>
  <si>
    <t>INE025B01025</t>
  </si>
  <si>
    <t>GOLDIAM INTERN-EQ2/-</t>
  </si>
  <si>
    <t>POLYCAB INDIA-EQ</t>
  </si>
  <si>
    <t>SWARAJ ENGINES EQTY</t>
  </si>
  <si>
    <t>TANLA PLATFORM-EQ1/-</t>
  </si>
  <si>
    <t>ZEE ENTERTAINMENT-EQ</t>
  </si>
  <si>
    <t>04/01/2023</t>
  </si>
  <si>
    <t>KPIT Tech</t>
  </si>
  <si>
    <t>Electrosteel</t>
  </si>
  <si>
    <t>ELECTCAST</t>
  </si>
  <si>
    <t>INE086A01029</t>
  </si>
  <si>
    <t>04/08/2022</t>
  </si>
  <si>
    <t>04/07/2022</t>
  </si>
  <si>
    <t>04/06/2022</t>
  </si>
  <si>
    <t>04/05/2022</t>
  </si>
  <si>
    <t>04/04/2022</t>
  </si>
  <si>
    <t>90.0000</t>
  </si>
  <si>
    <t>0.0000</t>
  </si>
  <si>
    <t>25.0000</t>
  </si>
  <si>
    <t>20.0000</t>
  </si>
  <si>
    <t>6.0000</t>
  </si>
  <si>
    <t>2.0000</t>
  </si>
  <si>
    <t>50.0000</t>
  </si>
  <si>
    <t>4.0000</t>
  </si>
  <si>
    <t>45.0000</t>
  </si>
  <si>
    <t>3.0000</t>
  </si>
  <si>
    <t>70.0000</t>
  </si>
  <si>
    <t>43.0000</t>
  </si>
  <si>
    <t>10.0000</t>
  </si>
  <si>
    <t>103.0000</t>
  </si>
  <si>
    <t>255.0000</t>
  </si>
  <si>
    <t>83.0000</t>
  </si>
  <si>
    <t>81.0000</t>
  </si>
  <si>
    <t>145.0000</t>
  </si>
  <si>
    <t>18.0000</t>
  </si>
  <si>
    <t>38.0000</t>
  </si>
  <si>
    <t>150.0000</t>
  </si>
  <si>
    <t>14.0000</t>
  </si>
  <si>
    <t>195.0000</t>
  </si>
  <si>
    <t>131.0000</t>
  </si>
  <si>
    <t>Sell 20 monthly</t>
  </si>
  <si>
    <t>04/14/2022</t>
  </si>
  <si>
    <t>04/13/2022</t>
  </si>
  <si>
    <t>04/12/2022</t>
  </si>
  <si>
    <t>04/11/2022</t>
  </si>
  <si>
    <t>Free Qty</t>
  </si>
  <si>
    <t>Current Qty</t>
  </si>
  <si>
    <t>Freeze Qty</t>
  </si>
  <si>
    <t>Locked Qty</t>
  </si>
  <si>
    <t>Pledge Qty</t>
  </si>
  <si>
    <t>Value Date</t>
  </si>
  <si>
    <t>Valuation</t>
  </si>
  <si>
    <t>91.0000</t>
  </si>
  <si>
    <t>Apcotex Ind</t>
  </si>
  <si>
    <t>APCOTEXIND</t>
  </si>
  <si>
    <t>INE116A01032</t>
  </si>
  <si>
    <t>04/28/2022</t>
  </si>
  <si>
    <t>04/27/2022</t>
  </si>
  <si>
    <t>04/26/2022</t>
  </si>
  <si>
    <t>04/25/2022</t>
  </si>
  <si>
    <t>04/22/2022</t>
  </si>
  <si>
    <t>04/21/2022</t>
  </si>
  <si>
    <t>04/20/2022</t>
  </si>
  <si>
    <t>04/19/2022</t>
  </si>
  <si>
    <t>04/18/2022</t>
  </si>
  <si>
    <t>04/29/2022</t>
  </si>
  <si>
    <t>05/07/2022</t>
  </si>
  <si>
    <t>05/06/2022</t>
  </si>
  <si>
    <t>05/04/2022</t>
  </si>
  <si>
    <t>05/02/2022</t>
  </si>
  <si>
    <t>05/11/2022</t>
  </si>
  <si>
    <t>05/10/2022</t>
  </si>
  <si>
    <t>05/09/2022</t>
  </si>
  <si>
    <t>05/08/2022</t>
  </si>
  <si>
    <t>05/05/2022</t>
  </si>
  <si>
    <t>49.0000</t>
  </si>
  <si>
    <t>DR. LAL PATHLA-EQ</t>
  </si>
  <si>
    <t>12.0000</t>
  </si>
  <si>
    <t>INE979A01025</t>
  </si>
  <si>
    <t>SAREGAMA INDIA-EQ1/-</t>
  </si>
  <si>
    <t>40.0000</t>
  </si>
  <si>
    <t>05/16/2022</t>
  </si>
  <si>
    <t>05/27/2022</t>
  </si>
  <si>
    <t>05/24/2022</t>
  </si>
  <si>
    <t>05/12/2022</t>
  </si>
  <si>
    <t>05/23/2022</t>
  </si>
  <si>
    <t>05/20/2022</t>
  </si>
  <si>
    <t>05/17/2022</t>
  </si>
  <si>
    <t>05/19/2022</t>
  </si>
  <si>
    <t>05/18/2022</t>
  </si>
  <si>
    <t>05/15/2022</t>
  </si>
  <si>
    <t>05/22/2022</t>
  </si>
  <si>
    <t>05/13/2022</t>
  </si>
  <si>
    <t>05/21/2022</t>
  </si>
  <si>
    <t>05/14/2022</t>
  </si>
  <si>
    <t>06/03/2022</t>
  </si>
  <si>
    <t>06/02/2022</t>
  </si>
  <si>
    <t>06/01/2022</t>
  </si>
  <si>
    <t>05/31/2022</t>
  </si>
  <si>
    <t>57.0000</t>
  </si>
  <si>
    <t>APCOTEX INDUST-EQ2/-</t>
  </si>
  <si>
    <t>120.0000</t>
  </si>
  <si>
    <t>550.0000</t>
  </si>
  <si>
    <t>KPIT TECHNOLOGIES-EQ</t>
  </si>
  <si>
    <t>142.0000</t>
  </si>
  <si>
    <t>139.0000</t>
  </si>
  <si>
    <t>89.0000</t>
  </si>
  <si>
    <t>TIPS INDUSTRIES - EQ</t>
  </si>
  <si>
    <t>809.0000</t>
  </si>
  <si>
    <t>SRF</t>
  </si>
  <si>
    <t>INE647A01010</t>
  </si>
  <si>
    <t>10/31/2022</t>
  </si>
  <si>
    <t>10/21/2022</t>
  </si>
  <si>
    <t>10/14/2022</t>
  </si>
  <si>
    <t>10/13/2022</t>
  </si>
  <si>
    <t>10/07/2022</t>
  </si>
  <si>
    <t>09/30/2022</t>
  </si>
  <si>
    <t>09/27/2022</t>
  </si>
  <si>
    <t>09/26/2022</t>
  </si>
  <si>
    <t>09/22/2022</t>
  </si>
  <si>
    <t>09/21/2022</t>
  </si>
  <si>
    <t>09/20/2022</t>
  </si>
  <si>
    <t>09/19/2022</t>
  </si>
  <si>
    <t>09/16/2022</t>
  </si>
  <si>
    <t>09/15/2022</t>
  </si>
  <si>
    <t>09/14/2022</t>
  </si>
  <si>
    <t>09/13/2022</t>
  </si>
  <si>
    <t>09/08/2022</t>
  </si>
  <si>
    <t>09/07/2022</t>
  </si>
  <si>
    <t>08/24/2022</t>
  </si>
  <si>
    <t>08/23/2022</t>
  </si>
  <si>
    <t>08/17/2022</t>
  </si>
  <si>
    <t>08/10/2022</t>
  </si>
  <si>
    <t>08/05/2022</t>
  </si>
  <si>
    <t>07/29/2022</t>
  </si>
  <si>
    <t>10/28/2022</t>
  </si>
  <si>
    <t>10/25/2022</t>
  </si>
  <si>
    <t>10/04/2022</t>
  </si>
  <si>
    <t>10/17/2022</t>
  </si>
  <si>
    <t>10/06/2022</t>
  </si>
  <si>
    <t>09/28/2022</t>
  </si>
  <si>
    <t>09/12/2022</t>
  </si>
  <si>
    <t>09/02/2022</t>
  </si>
  <si>
    <t>08/30/2022</t>
  </si>
  <si>
    <t>08/26/2022</t>
  </si>
  <si>
    <t>08/25/2022</t>
  </si>
  <si>
    <t>08/22/2022</t>
  </si>
  <si>
    <t>08/19/2022</t>
  </si>
  <si>
    <t>08/16/2022</t>
  </si>
  <si>
    <t>08/12/2022</t>
  </si>
  <si>
    <t>08/11/2022</t>
  </si>
  <si>
    <t>08/08/2022</t>
  </si>
  <si>
    <t>08/04/2022</t>
  </si>
  <si>
    <t>10/10/2022</t>
  </si>
  <si>
    <t>08/03/2022</t>
  </si>
  <si>
    <t>08/02/2022</t>
  </si>
  <si>
    <t>08/01/2022</t>
  </si>
  <si>
    <t>10/18/2022</t>
  </si>
  <si>
    <t>07/28/2022</t>
  </si>
  <si>
    <t>07/26/2022</t>
  </si>
  <si>
    <t>07/25/2022</t>
  </si>
  <si>
    <t>TIPSFILMS</t>
  </si>
  <si>
    <t>8.0000</t>
  </si>
  <si>
    <t>INE918I01026</t>
  </si>
  <si>
    <t>BAJAJ FINSERV-EQ1/-</t>
  </si>
  <si>
    <t>15.0000</t>
  </si>
  <si>
    <t>36.0000</t>
  </si>
  <si>
    <t>11/04/2022</t>
  </si>
  <si>
    <t>INE163A01018</t>
  </si>
  <si>
    <t>11/03/2022</t>
  </si>
  <si>
    <t>11/02/2022</t>
  </si>
  <si>
    <t>11/01/2022</t>
  </si>
  <si>
    <t>Nocil</t>
  </si>
  <si>
    <t>Move to Monthly</t>
  </si>
  <si>
    <t>Script Code</t>
  </si>
  <si>
    <t>Price</t>
  </si>
  <si>
    <t>11/15/2022</t>
  </si>
  <si>
    <t>11/14/2022</t>
  </si>
  <si>
    <t>11/11/2022</t>
  </si>
  <si>
    <t>11/10/2022</t>
  </si>
  <si>
    <t>11/09/2022</t>
  </si>
  <si>
    <t>11/07/2022</t>
  </si>
  <si>
    <t>11/16/2022</t>
  </si>
  <si>
    <t>CARYSIL</t>
  </si>
  <si>
    <t>Fraud News</t>
  </si>
  <si>
    <t>D/E</t>
  </si>
  <si>
    <t>I/P%</t>
  </si>
  <si>
    <t>Cr R</t>
  </si>
  <si>
    <t>Sales Growth</t>
  </si>
  <si>
    <t>Profit Growth</t>
  </si>
  <si>
    <t>Stock Growth</t>
  </si>
  <si>
    <t>Pldg %</t>
  </si>
  <si>
    <t>Prom%</t>
  </si>
  <si>
    <t>No Fraud News</t>
  </si>
  <si>
    <t>Qtly Results Analysis &amp; Events Analyis</t>
  </si>
  <si>
    <t>Financial Analysis</t>
  </si>
  <si>
    <t>Mgmt Analysis</t>
  </si>
  <si>
    <t>CAMS</t>
  </si>
  <si>
    <t>INE596I01012</t>
  </si>
  <si>
    <t>INE736A01011</t>
  </si>
  <si>
    <t>CDSL</t>
  </si>
  <si>
    <t>CHOLAFIN</t>
  </si>
  <si>
    <t>INE121A01024</t>
  </si>
  <si>
    <t>11/25/2022</t>
  </si>
  <si>
    <t>11/24/2022</t>
  </si>
  <si>
    <t>11/22/2022</t>
  </si>
  <si>
    <t>11/23/2022</t>
  </si>
  <si>
    <t>11/18/2022</t>
  </si>
  <si>
    <t>REC Ltd</t>
  </si>
  <si>
    <t>RECLTD</t>
  </si>
  <si>
    <t>INE020B01018</t>
  </si>
  <si>
    <t>12/01/2022</t>
  </si>
  <si>
    <t>11/30/2022</t>
  </si>
  <si>
    <t>11/29/2022</t>
  </si>
  <si>
    <t>11/28/2022</t>
  </si>
  <si>
    <t>12/02/2022</t>
  </si>
  <si>
    <t>MICEL-BE</t>
  </si>
  <si>
    <t>DEEPENR</t>
  </si>
  <si>
    <t>12/09/2022</t>
  </si>
  <si>
    <t>12/08/2022</t>
  </si>
  <si>
    <t>12/07/2022</t>
  </si>
  <si>
    <t>12/06/2022</t>
  </si>
  <si>
    <t>12/05/2022</t>
  </si>
  <si>
    <t>MERCATOR-BE</t>
  </si>
  <si>
    <t>12/23/2022</t>
  </si>
  <si>
    <t>12/30/2022</t>
  </si>
  <si>
    <t>12/29/2022</t>
  </si>
  <si>
    <t>12/21/2022</t>
  </si>
  <si>
    <t>12/16/2022</t>
  </si>
  <si>
    <t>12/20/2022</t>
  </si>
  <si>
    <t>12/19/2022</t>
  </si>
  <si>
    <t>12/15/2022</t>
  </si>
  <si>
    <t>12/14/2022</t>
  </si>
  <si>
    <t>12/13/2022</t>
  </si>
  <si>
    <t>UJAAS</t>
  </si>
  <si>
    <t>CARYSIL LTD-EQ2/-</t>
  </si>
  <si>
    <t>COMPUTER AGE MAN-EQ</t>
  </si>
  <si>
    <t>FDC LTD RE 1/-</t>
  </si>
  <si>
    <t>FINE ORGANIC-EQ5/-</t>
  </si>
  <si>
    <t>111.0000</t>
  </si>
  <si>
    <t>110.0000</t>
  </si>
  <si>
    <t>Balaji Amines</t>
  </si>
  <si>
    <t>KFin Tech</t>
  </si>
  <si>
    <t>Dixon Technolog</t>
  </si>
  <si>
    <t>BALAMINES</t>
  </si>
  <si>
    <t>INE050E01027</t>
  </si>
  <si>
    <t>KFINTECH</t>
  </si>
  <si>
    <t>INE138Y01010</t>
  </si>
  <si>
    <t>DIXON</t>
  </si>
  <si>
    <t>INE935N01020</t>
  </si>
  <si>
    <t>01/11/2023</t>
  </si>
  <si>
    <t>01/09/2023</t>
  </si>
  <si>
    <t>01/07/2023</t>
  </si>
  <si>
    <t>01/06/2023</t>
  </si>
  <si>
    <t>01/05/2023</t>
  </si>
  <si>
    <t>01/04/2023</t>
  </si>
  <si>
    <t>01/03/2023</t>
  </si>
  <si>
    <t>01/10/2023</t>
  </si>
  <si>
    <t>01/08/2023</t>
  </si>
  <si>
    <t>01/02/2023</t>
  </si>
  <si>
    <t>21.0000</t>
  </si>
  <si>
    <t>FRETAIL</t>
  </si>
  <si>
    <t>01/18/2023</t>
  </si>
  <si>
    <t>01/17/2023</t>
  </si>
  <si>
    <t>01/16/2023</t>
  </si>
  <si>
    <t>01/14/2023</t>
  </si>
  <si>
    <t>01/12/2023</t>
  </si>
  <si>
    <t>01/15/2023</t>
  </si>
  <si>
    <t>INFY</t>
  </si>
  <si>
    <t>160.0000</t>
  </si>
  <si>
    <t>194.0000</t>
  </si>
  <si>
    <t>185.0000</t>
  </si>
  <si>
    <t>PAUSHAK LTD-EQ</t>
  </si>
  <si>
    <t>1.0000</t>
  </si>
  <si>
    <t>605.0000</t>
  </si>
  <si>
    <t>220.0000</t>
  </si>
  <si>
    <t>17.0000</t>
  </si>
  <si>
    <t>01/13/2023</t>
  </si>
  <si>
    <t>01/22/2023</t>
  </si>
  <si>
    <t>01/21/2023</t>
  </si>
  <si>
    <t>01/20/2023</t>
  </si>
  <si>
    <t>01/19/2023</t>
  </si>
  <si>
    <t>20-01-2023</t>
  </si>
  <si>
    <t>1033.7000</t>
  </si>
  <si>
    <t>58920.9000</t>
  </si>
  <si>
    <t>1520.7000</t>
  </si>
  <si>
    <t>30414.0000</t>
  </si>
  <si>
    <t>443.6500</t>
  </si>
  <si>
    <t>17746.0000</t>
  </si>
  <si>
    <t>2788.1000</t>
  </si>
  <si>
    <t>50185.8000</t>
  </si>
  <si>
    <t>5857.9000</t>
  </si>
  <si>
    <t>46863.2000</t>
  </si>
  <si>
    <t>1333.2500</t>
  </si>
  <si>
    <t>53330.0000</t>
  </si>
  <si>
    <t>291.6500</t>
  </si>
  <si>
    <t>34998.0000</t>
  </si>
  <si>
    <t>1106.0000</t>
  </si>
  <si>
    <t>54194.0000</t>
  </si>
  <si>
    <t>696.1000</t>
  </si>
  <si>
    <t>2784.4000</t>
  </si>
  <si>
    <t>458.5000</t>
  </si>
  <si>
    <t>20632.5000</t>
  </si>
  <si>
    <t>440.1000</t>
  </si>
  <si>
    <t>70416.0000</t>
  </si>
  <si>
    <t>2318.9000</t>
  </si>
  <si>
    <t>6956.7000</t>
  </si>
  <si>
    <t>817.5000</t>
  </si>
  <si>
    <t>158595.0000</t>
  </si>
  <si>
    <t>161.6000</t>
  </si>
  <si>
    <t>8080.0000</t>
  </si>
  <si>
    <t>998.3500</t>
  </si>
  <si>
    <t>89851.5000</t>
  </si>
  <si>
    <t>3341.2500</t>
  </si>
  <si>
    <t>10023.7500</t>
  </si>
  <si>
    <t>2105.6500</t>
  </si>
  <si>
    <t>25267.8000</t>
  </si>
  <si>
    <t>259.8500</t>
  </si>
  <si>
    <t>12992.5000</t>
  </si>
  <si>
    <t>5469.6500</t>
  </si>
  <si>
    <t>10939.3000</t>
  </si>
  <si>
    <t>182.9500</t>
  </si>
  <si>
    <t>12806.5000</t>
  </si>
  <si>
    <t>2350.0500</t>
  </si>
  <si>
    <t>101052.1500</t>
  </si>
  <si>
    <t>2958.9000</t>
  </si>
  <si>
    <t>29589.0000</t>
  </si>
  <si>
    <t>1386.7000</t>
  </si>
  <si>
    <t>8320.2000</t>
  </si>
  <si>
    <t>1544.3000</t>
  </si>
  <si>
    <t>23164.5000</t>
  </si>
  <si>
    <t>163.6500</t>
  </si>
  <si>
    <t>90007.5000</t>
  </si>
  <si>
    <t>563.7500</t>
  </si>
  <si>
    <t>14093.7500</t>
  </si>
  <si>
    <t>1107.7500</t>
  </si>
  <si>
    <t>2215.5000</t>
  </si>
  <si>
    <t>1660.8000</t>
  </si>
  <si>
    <t>6643.2000</t>
  </si>
  <si>
    <t>473.3500</t>
  </si>
  <si>
    <t>48755.0500</t>
  </si>
  <si>
    <t>136.0000</t>
  </si>
  <si>
    <t>34680.0000</t>
  </si>
  <si>
    <t>656.3000</t>
  </si>
  <si>
    <t>54472.9000</t>
  </si>
  <si>
    <t>343.9000</t>
  </si>
  <si>
    <t>63621.5000</t>
  </si>
  <si>
    <t>696.7500</t>
  </si>
  <si>
    <t>56436.7500</t>
  </si>
  <si>
    <t>L&amp;T TECHNOLOGY-EQ</t>
  </si>
  <si>
    <t>9.0000</t>
  </si>
  <si>
    <t>3231.9500</t>
  </si>
  <si>
    <t>29087.5500</t>
  </si>
  <si>
    <t>347.2500</t>
  </si>
  <si>
    <t>38544.7500</t>
  </si>
  <si>
    <t>115.5000</t>
  </si>
  <si>
    <t>16747.5000</t>
  </si>
  <si>
    <t>1671.8000</t>
  </si>
  <si>
    <t>83590.0000</t>
  </si>
  <si>
    <t>1575.1000</t>
  </si>
  <si>
    <t>33077.1000</t>
  </si>
  <si>
    <t>588.6500</t>
  </si>
  <si>
    <t>21191.4000</t>
  </si>
  <si>
    <t>414.5500</t>
  </si>
  <si>
    <t>58866.1000</t>
  </si>
  <si>
    <t>550.7500</t>
  </si>
  <si>
    <t>20928.5000</t>
  </si>
  <si>
    <t>7842.2500</t>
  </si>
  <si>
    <t>11.0000</t>
  </si>
  <si>
    <t>2401.9500</t>
  </si>
  <si>
    <t>26421.4500</t>
  </si>
  <si>
    <t>64.0000</t>
  </si>
  <si>
    <t>9600.0000</t>
  </si>
  <si>
    <t>2760.6000</t>
  </si>
  <si>
    <t>38648.4000</t>
  </si>
  <si>
    <t>342.6000</t>
  </si>
  <si>
    <t>47621.4000</t>
  </si>
  <si>
    <t>127.0000</t>
  </si>
  <si>
    <t>76835.0000</t>
  </si>
  <si>
    <t>357.7000</t>
  </si>
  <si>
    <t>39347.0000</t>
  </si>
  <si>
    <t>592.1000</t>
  </si>
  <si>
    <t>14802.5000</t>
  </si>
  <si>
    <t>408.0500</t>
  </si>
  <si>
    <t>89771.0000</t>
  </si>
  <si>
    <t>484.3500</t>
  </si>
  <si>
    <t>44075.8500</t>
  </si>
  <si>
    <t>1627.4500</t>
  </si>
  <si>
    <t>27666.6500</t>
  </si>
  <si>
    <t>698.5500</t>
  </si>
  <si>
    <t>62170.9500</t>
  </si>
  <si>
    <t>211.9000</t>
  </si>
  <si>
    <t>41320.5000</t>
  </si>
  <si>
    <t>2361.0500</t>
  </si>
  <si>
    <t>47221.0000</t>
  </si>
  <si>
    <t>69.0000</t>
  </si>
  <si>
    <t>1672.1000</t>
  </si>
  <si>
    <t>115374.9000</t>
  </si>
  <si>
    <t>66.8500</t>
  </si>
  <si>
    <t>54081.6500</t>
  </si>
  <si>
    <t>222.7500</t>
  </si>
  <si>
    <t>29180.2500</t>
  </si>
  <si>
    <t>IL&amp;FSENGG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</si>
</sst>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5" formatCode="_ [$₹-44D]\ * #,##0.00_ ;_ [$₹-44D]\ * \-#,##0.00_ ;_ [$₹-44D]\ * &quot;-&quot;??_ ;_ @_ "/>
    <numFmt numFmtId="166" formatCode="0.0"/>
    <numFmt numFmtId="167" formatCode="[$-409]d\-mmm\-yy;@"/>
  </numFmts>
  <fonts count="153">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color theme="1"/>
      <name val="Arial"/>
      <family val="2"/>
    </font>
    <font>
      <sz val="6"/>
      <color rgb="FF33CC33"/>
      <name val="Arial"/>
      <family val="2"/>
    </font>
    <font>
      <sz val="6"/>
      <color rgb="FFFF3333"/>
      <name val="Arial"/>
      <family val="2"/>
    </font>
    <font>
      <b/>
      <sz val="11"/>
      <color theme="1"/>
      <name val="Calibri"/>
      <family val="2"/>
      <scheme val="minor"/>
    </font>
    <font>
      <b/>
      <sz val="18"/>
      <color theme="3"/>
      <name val="Cambria"/>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65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sz val="10"/>
      <color theme="0"/>
      <name val="Arial"/>
      <family val="2"/>
    </font>
    <font>
      <sz val="18"/>
      <color theme="3"/>
      <name val="Cambria"/>
      <family val="2"/>
      <scheme val="major"/>
    </font>
    <font>
      <sz val="7"/>
      <color rgb="FF444444"/>
      <name val="Arial"/>
      <family val="2"/>
    </font>
    <font>
      <sz val="11"/>
      <color theme="1"/>
      <name val="Calibri"/>
      <family val="2"/>
    </font>
    <font>
      <sz val="10"/>
      <color rgb="FF9C5700"/>
      <name val="Arial"/>
      <family val="2"/>
    </font>
    <font>
      <sz val="11"/>
      <color theme="1"/>
      <name val="Arial"/>
      <family val="2"/>
    </font>
    <font>
      <sz val="11"/>
      <name val="Arial"/>
      <family val="2"/>
    </font>
    <font>
      <sz val="11"/>
      <color rgb="FF000000"/>
      <name val="Calibri"/>
      <family val="2"/>
    </font>
    <font>
      <sz val="7"/>
      <color rgb="FF333333"/>
      <name val="Arial"/>
      <family val="2"/>
    </font>
    <font>
      <sz val="8"/>
      <color rgb="FF333333"/>
      <name val="Arial"/>
      <family val="2"/>
    </font>
    <font>
      <sz val="6"/>
      <color rgb="FF434343"/>
      <name val="Arial"/>
      <family val="2"/>
    </font>
    <font>
      <sz val="6"/>
      <color rgb="FF000000"/>
      <name val="Arial"/>
      <family val="2"/>
    </font>
    <font>
      <sz val="11"/>
      <color rgb="FF333333"/>
      <name val="Arial"/>
      <family val="2"/>
    </font>
    <font>
      <b/>
      <sz val="6"/>
      <color rgb="FF000000"/>
      <name val="Arial"/>
      <family val="2"/>
    </font>
    <font>
      <sz val="12"/>
      <color rgb="FF333333"/>
      <name val="Arial"/>
      <family val="2"/>
    </font>
    <font>
      <sz val="6"/>
      <color theme="1"/>
      <name val="Arial"/>
      <family val="2"/>
    </font>
    <font>
      <sz val="11"/>
      <color rgb="FF333333"/>
      <name val="Latobold"/>
    </font>
    <font>
      <sz val="11"/>
      <color rgb="FF333333"/>
      <name val="Latoregular"/>
    </font>
    <font>
      <b/>
      <sz val="6"/>
      <color theme="1"/>
      <name val="Arial"/>
      <family val="2"/>
    </font>
    <font>
      <sz val="11"/>
      <color rgb="FF000000"/>
      <name val="Docs-Calibri"/>
    </font>
    <font>
      <b/>
      <sz val="11"/>
      <color theme="1"/>
      <name val="Arial"/>
      <family val="2"/>
    </font>
    <font>
      <sz val="11"/>
      <color rgb="FF333333"/>
      <name val="Robotoregular"/>
    </font>
    <font>
      <sz val="6"/>
      <color rgb="FF303030"/>
      <name val="Arial"/>
      <family val="2"/>
    </font>
    <font>
      <sz val="7"/>
      <color rgb="FF9B9B9B"/>
      <name val="Arial"/>
      <family val="2"/>
    </font>
    <font>
      <sz val="6"/>
      <color rgb="FF333333"/>
      <name val="Arial"/>
      <family val="2"/>
    </font>
    <font>
      <b/>
      <sz val="6"/>
      <color rgb="FF333333"/>
      <name val="Arial"/>
      <family val="2"/>
    </font>
    <font>
      <sz val="11"/>
      <color indexed="8"/>
      <name val="Calibri"/>
      <family val="2"/>
    </font>
    <font>
      <sz val="11"/>
      <color indexed="8"/>
      <name val="Calibri"/>
      <family val="2"/>
    </font>
    <font>
      <sz val="11"/>
      <color indexed="8"/>
      <name val="Calibri"/>
      <family val="2"/>
    </font>
    <font>
      <sz val="7"/>
      <color rgb="FF0EA600"/>
      <name val="Segoe UI"/>
      <family val="2"/>
    </font>
    <font>
      <sz val="7"/>
      <color rgb="FFFF0000"/>
      <name val="Segoe UI"/>
      <family val="2"/>
    </font>
    <font>
      <sz val="7"/>
      <color rgb="FF222222"/>
      <name val="Segoe UI"/>
      <family val="2"/>
    </font>
    <font>
      <sz val="8"/>
      <color rgb="FF000000"/>
      <name val="Arial"/>
      <family val="2"/>
    </font>
    <font>
      <sz val="8"/>
      <color rgb="FF000000"/>
      <name val="Arial"/>
      <family val="2"/>
    </font>
    <font>
      <sz val="11"/>
      <color indexed="8"/>
      <name val="Calibri"/>
      <family val="2"/>
    </font>
    <font>
      <sz val="7"/>
      <color rgb="FF22222F"/>
      <name val="Arial"/>
      <family val="2"/>
    </font>
    <font>
      <sz val="7"/>
      <color rgb="FF22222F"/>
      <name val="Arial"/>
      <family val="2"/>
    </font>
    <font>
      <sz val="11"/>
      <color rgb="FF22222F"/>
      <name val="Arial"/>
      <family val="2"/>
    </font>
    <font>
      <sz val="7"/>
      <color rgb="FF22222F"/>
      <name val="Arial"/>
      <family val="2"/>
    </font>
    <font>
      <sz val="7"/>
      <color rgb="FF22222F"/>
      <name val="Arial"/>
      <family val="2"/>
    </font>
    <font>
      <sz val="11"/>
      <color rgb="FF22222F"/>
      <name val="Arial"/>
      <family val="2"/>
    </font>
    <font>
      <sz val="11"/>
      <color rgb="FF22222F"/>
      <name val="Arial"/>
      <family val="2"/>
    </font>
    <font>
      <sz val="7"/>
      <color rgb="FF22222F"/>
      <name val="Arial"/>
      <family val="2"/>
    </font>
    <font>
      <sz val="7"/>
      <color rgb="FF22222F"/>
      <name val="Arial"/>
      <family val="2"/>
    </font>
    <font>
      <sz val="10"/>
      <color rgb="FF000000"/>
      <name val="Arial"/>
      <family val="2"/>
    </font>
    <font>
      <sz val="7"/>
      <color rgb="FF22222F"/>
      <name val="Arial"/>
      <family val="2"/>
    </font>
    <font>
      <sz val="11"/>
      <color rgb="FF22222F"/>
      <name val="Arial"/>
      <family val="2"/>
    </font>
    <font>
      <sz val="8"/>
      <name val="Calibri"/>
      <family val="2"/>
      <scheme val="minor"/>
    </font>
    <font>
      <sz val="7"/>
      <color rgb="FF22222F"/>
      <name val="Arial"/>
      <family val="2"/>
    </font>
    <font>
      <sz val="11"/>
      <color rgb="FF22222F"/>
      <name val="Arial"/>
      <family val="2"/>
    </font>
    <font>
      <sz val="8"/>
      <color rgb="FF22222F"/>
      <name val="Arial"/>
      <family val="2"/>
    </font>
    <font>
      <sz val="11"/>
      <color indexed="8"/>
      <name val="Calibri"/>
      <family val="2"/>
    </font>
    <font>
      <sz val="11"/>
      <color indexed="8"/>
      <name val="Calibri"/>
      <family val="2"/>
    </font>
    <font>
      <b/>
      <sz val="11"/>
      <name val="Calibri"/>
      <family val="2"/>
    </font>
    <font>
      <sz val="11"/>
      <name val="Calibri"/>
      <family val="2"/>
    </font>
    <font>
      <sz val="7"/>
      <color rgb="FF22222F"/>
      <name val="Arial"/>
      <family val="2"/>
    </font>
    <font>
      <sz val="11"/>
      <color rgb="FF22222F"/>
      <name val="Arial"/>
      <family val="2"/>
    </font>
    <font>
      <sz val="11"/>
      <color indexed="8"/>
      <name val="Calibri"/>
      <family val="2"/>
    </font>
    <font>
      <sz val="11"/>
      <color rgb="FF22222F"/>
      <name val="Arial"/>
      <family val="2"/>
    </font>
    <font>
      <sz val="7"/>
      <color rgb="FF22222F"/>
      <name val="Arial"/>
      <family val="2"/>
    </font>
    <font>
      <sz val="8"/>
      <color rgb="FF22222F"/>
      <name val="Arial"/>
      <family val="2"/>
    </font>
    <font>
      <sz val="7"/>
      <color rgb="FF22222F"/>
      <name val="Arial"/>
      <family val="2"/>
    </font>
    <font>
      <sz val="11"/>
      <color rgb="FF22222F"/>
      <name val="Arial"/>
      <family val="2"/>
    </font>
    <font>
      <sz val="7"/>
      <color rgb="FF22222F"/>
      <name val="Arial"/>
      <family val="2"/>
    </font>
    <font>
      <sz val="11"/>
      <color rgb="FF22222F"/>
      <name val="Arial"/>
      <family val="2"/>
    </font>
    <font>
      <sz val="7"/>
      <color rgb="FF22222F"/>
      <name val="Arial"/>
      <family val="2"/>
    </font>
    <font>
      <sz val="7"/>
      <color rgb="FF22222F"/>
      <name val="Arial"/>
      <family val="2"/>
    </font>
    <font>
      <sz val="7"/>
      <color rgb="FF22222F"/>
      <name val="Arial"/>
      <family val="2"/>
    </font>
    <font>
      <sz val="8"/>
      <color rgb="FF22222F"/>
      <name val="Arial"/>
      <family val="2"/>
    </font>
    <font>
      <sz val="7"/>
      <color rgb="FF22222F"/>
      <name val="Arial"/>
      <family val="2"/>
    </font>
    <font>
      <sz val="11"/>
      <name val="Calibri"/>
      <family val="2"/>
    </font>
    <font>
      <sz val="7"/>
      <color rgb="FF22222F"/>
      <name val="Arial"/>
      <family val="2"/>
    </font>
    <font>
      <sz val="11"/>
      <color rgb="FF22222F"/>
      <name val="Arial"/>
      <family val="2"/>
    </font>
    <font>
      <sz val="8"/>
      <color rgb="FF22222F"/>
      <name val="Arial"/>
      <family val="2"/>
    </font>
    <font>
      <sz val="7"/>
      <color rgb="FF22222F"/>
      <name val="Arial"/>
      <family val="2"/>
    </font>
    <font>
      <sz val="7"/>
      <color rgb="FF22222F"/>
      <name val="Arial"/>
      <family val="2"/>
    </font>
    <font>
      <sz val="7"/>
      <color rgb="FF22222F"/>
      <name val="Arial"/>
      <family val="2"/>
    </font>
    <font>
      <sz val="11"/>
      <color rgb="FF22222F"/>
      <name val="Arial"/>
      <family val="2"/>
    </font>
    <font>
      <sz val="7"/>
      <color rgb="FF22222F"/>
      <name val="Arial"/>
      <family val="2"/>
    </font>
    <font>
      <sz val="11"/>
      <color rgb="FF22222F"/>
      <name val="Arial"/>
      <family val="2"/>
    </font>
    <font>
      <sz val="7"/>
      <color rgb="FF22222F"/>
      <name val="Arial"/>
      <family val="2"/>
    </font>
    <font>
      <sz val="11"/>
      <color rgb="FF22222F"/>
      <name val="Arial"/>
      <family val="2"/>
    </font>
    <font>
      <sz val="7"/>
      <color rgb="FF22222F"/>
      <name val="Arial"/>
      <family val="2"/>
    </font>
    <font>
      <sz val="11"/>
      <color theme="1"/>
      <name val="Calibri"/>
      <family val="2"/>
      <scheme val="minor"/>
    </font>
    <font>
      <sz val="12"/>
      <color theme="1"/>
      <name val="Calibri"/>
      <family val="2"/>
      <scheme val="minor"/>
    </font>
    <font>
      <sz val="7"/>
      <color rgb="FF22222F"/>
      <name val="Arial"/>
      <family val="2"/>
    </font>
    <font>
      <sz val="11"/>
      <color rgb="FF22222F"/>
      <name val="Arial"/>
      <family val="2"/>
    </font>
  </fonts>
  <fills count="6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
      <patternFill patternType="solid">
        <fgColor rgb="FFFF0000"/>
        <bgColor indexed="64"/>
      </patternFill>
    </fill>
    <fill>
      <patternFill patternType="solid">
        <fgColor rgb="FFFFC000"/>
        <bgColor indexed="64"/>
      </patternFill>
    </fill>
    <fill>
      <patternFill patternType="solid">
        <fgColor rgb="FF0070C0"/>
        <bgColor rgb="FF0070C0"/>
      </patternFill>
    </fill>
    <fill>
      <patternFill patternType="solid">
        <fgColor rgb="FF953734"/>
        <bgColor rgb="FF953734"/>
      </patternFill>
    </fill>
    <fill>
      <patternFill patternType="solid">
        <fgColor rgb="FF92D050"/>
        <bgColor rgb="FF92D050"/>
      </patternFill>
    </fill>
    <fill>
      <patternFill patternType="solid">
        <fgColor rgb="FF7030A0"/>
        <bgColor rgb="FF7030A0"/>
      </patternFill>
    </fill>
    <fill>
      <patternFill patternType="solid">
        <fgColor rgb="FFFFC000"/>
        <bgColor rgb="FFFFC000"/>
      </patternFill>
    </fill>
    <fill>
      <patternFill patternType="solid">
        <fgColor rgb="FFFFFF00"/>
        <bgColor rgb="FFFFFF00"/>
      </patternFill>
    </fill>
    <fill>
      <patternFill patternType="solid">
        <fgColor rgb="FFE36C09"/>
        <bgColor rgb="FFE36C09"/>
      </patternFill>
    </fill>
    <fill>
      <patternFill patternType="solid">
        <fgColor rgb="FF00B050"/>
        <bgColor rgb="FF00B050"/>
      </patternFill>
    </fill>
    <fill>
      <patternFill patternType="solid">
        <fgColor rgb="FF00B0F0"/>
        <bgColor rgb="FF00B0F0"/>
      </patternFill>
    </fill>
    <fill>
      <patternFill patternType="solid">
        <fgColor rgb="FFFF00FF"/>
        <bgColor rgb="FFFF00FF"/>
      </patternFill>
    </fill>
    <fill>
      <patternFill patternType="solid">
        <fgColor rgb="FFC6D9F0"/>
        <bgColor rgb="FFC6D9F0"/>
      </patternFill>
    </fill>
    <fill>
      <patternFill patternType="solid">
        <fgColor rgb="FFFFFFFF"/>
        <bgColor rgb="FFFFFFFF"/>
      </patternFill>
    </fill>
    <fill>
      <patternFill patternType="solid">
        <fgColor rgb="FFF6F8FB"/>
        <bgColor indexed="64"/>
      </patternFill>
    </fill>
    <fill>
      <patternFill patternType="solid">
        <fgColor rgb="FFF6F8FB"/>
        <bgColor rgb="FFF6F8FB"/>
      </patternFill>
    </fill>
    <fill>
      <patternFill patternType="solid">
        <fgColor rgb="FF00B050"/>
        <bgColor rgb="FFFF00FF"/>
      </patternFill>
    </fill>
    <fill>
      <patternFill patternType="solid">
        <fgColor rgb="FF00B050"/>
        <bgColor indexed="64"/>
      </patternFill>
    </fill>
    <fill>
      <patternFill patternType="solid">
        <fgColor rgb="FFFF0000"/>
        <bgColor rgb="FFFF00FF"/>
      </patternFill>
    </fill>
    <fill>
      <patternFill patternType="solid">
        <fgColor rgb="FFFFFFFF"/>
        <bgColor indexed="64"/>
      </patternFill>
    </fill>
    <fill>
      <patternFill patternType="solid">
        <fgColor rgb="FFFFFF00"/>
        <bgColor rgb="FFF0FBFB"/>
      </patternFill>
    </fill>
    <fill>
      <patternFill patternType="solid">
        <fgColor rgb="FFF0FBFB"/>
        <bgColor rgb="FFF0FBFB"/>
      </patternFill>
    </fill>
    <fill>
      <patternFill patternType="solid">
        <fgColor rgb="FFFFFF00"/>
        <bgColor rgb="FFFFFFFF"/>
      </patternFill>
    </fill>
    <fill>
      <patternFill patternType="solid">
        <fgColor theme="2" tint="-0.249977111117893"/>
        <bgColor indexed="64"/>
      </patternFill>
    </fill>
    <fill>
      <patternFill patternType="solid">
        <fgColor theme="2" tint="-0.249977111117893"/>
        <bgColor rgb="FFE7EBF1"/>
      </patternFill>
    </fill>
    <fill>
      <patternFill patternType="solid">
        <fgColor theme="2" tint="-0.249977111117893"/>
        <bgColor rgb="FFFFFFFF"/>
      </patternFill>
    </fill>
    <fill>
      <patternFill patternType="solid">
        <fgColor theme="2" tint="-0.249977111117893"/>
        <bgColor rgb="FFF6F8FB"/>
      </patternFill>
    </fill>
    <fill>
      <patternFill patternType="solid">
        <fgColor theme="9"/>
        <bgColor indexed="64"/>
      </patternFill>
    </fill>
    <fill>
      <patternFill patternType="solid">
        <fgColor theme="9"/>
        <bgColor rgb="FFFF00FF"/>
      </patternFill>
    </fill>
  </fills>
  <borders count="22">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right/>
      <top/>
      <bottom style="medium">
        <color rgb="FFEBEBEB"/>
      </bottom>
      <diagonal/>
    </border>
    <border>
      <left style="medium">
        <color rgb="FFEEEEEE"/>
      </left>
      <right style="medium">
        <color rgb="FFEEEEEE"/>
      </right>
      <top/>
      <bottom/>
      <diagonal/>
    </border>
    <border>
      <left/>
      <right/>
      <top style="medium">
        <color rgb="FFD1D1D1"/>
      </top>
      <bottom style="medium">
        <color rgb="FFE0E0E0"/>
      </bottom>
      <diagonal/>
    </border>
    <border>
      <left style="thin">
        <color rgb="FFC0C0C0"/>
      </left>
      <right style="thin">
        <color rgb="FFC0C0C0"/>
      </right>
      <top style="thin">
        <color rgb="FFC0C0C0"/>
      </top>
      <bottom style="thin">
        <color rgb="FFC0C0C0"/>
      </bottom>
      <diagonal/>
    </border>
    <border>
      <left style="thin">
        <color indexed="64"/>
      </left>
      <right style="thin">
        <color indexed="64"/>
      </right>
      <top/>
      <bottom style="thin">
        <color indexed="64"/>
      </bottom>
      <diagonal/>
    </border>
  </borders>
  <cellStyleXfs count="651">
    <xf numFmtId="0" fontId="0" fillId="0" borderId="0"/>
    <xf numFmtId="0" fontId="47" fillId="0" borderId="0"/>
    <xf numFmtId="0" fontId="52" fillId="0" borderId="0" applyNumberFormat="0" applyFill="0" applyBorder="0" applyAlignment="0" applyProtection="0"/>
    <xf numFmtId="0" fontId="53" fillId="0" borderId="6" applyNumberFormat="0" applyFill="0" applyAlignment="0" applyProtection="0"/>
    <xf numFmtId="0" fontId="54" fillId="0" borderId="7" applyNumberFormat="0" applyFill="0" applyAlignment="0" applyProtection="0"/>
    <xf numFmtId="0" fontId="55" fillId="0" borderId="8" applyNumberFormat="0" applyFill="0" applyAlignment="0" applyProtection="0"/>
    <xf numFmtId="0" fontId="55" fillId="0" borderId="0" applyNumberFormat="0" applyFill="0" applyBorder="0" applyAlignment="0" applyProtection="0"/>
    <xf numFmtId="0" fontId="56" fillId="4" borderId="0" applyNumberFormat="0" applyBorder="0" applyAlignment="0" applyProtection="0"/>
    <xf numFmtId="0" fontId="57" fillId="5" borderId="0" applyNumberFormat="0" applyBorder="0" applyAlignment="0" applyProtection="0"/>
    <xf numFmtId="0" fontId="58" fillId="6" borderId="0" applyNumberFormat="0" applyBorder="0" applyAlignment="0" applyProtection="0"/>
    <xf numFmtId="0" fontId="59" fillId="7" borderId="9" applyNumberFormat="0" applyAlignment="0" applyProtection="0"/>
    <xf numFmtId="0" fontId="60" fillId="8" borderId="10" applyNumberFormat="0" applyAlignment="0" applyProtection="0"/>
    <xf numFmtId="0" fontId="61" fillId="8" borderId="9" applyNumberFormat="0" applyAlignment="0" applyProtection="0"/>
    <xf numFmtId="0" fontId="62" fillId="0" borderId="11" applyNumberFormat="0" applyFill="0" applyAlignment="0" applyProtection="0"/>
    <xf numFmtId="0" fontId="63" fillId="9" borderId="12" applyNumberFormat="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48" fillId="0" borderId="14" applyNumberFormat="0" applyFill="0" applyAlignment="0" applyProtection="0"/>
    <xf numFmtId="0" fontId="66" fillId="11" borderId="0" applyNumberFormat="0" applyBorder="0" applyAlignment="0" applyProtection="0"/>
    <xf numFmtId="0" fontId="44" fillId="12" borderId="0" applyNumberFormat="0" applyBorder="0" applyAlignment="0" applyProtection="0"/>
    <xf numFmtId="0" fontId="44" fillId="13" borderId="0" applyNumberFormat="0" applyBorder="0" applyAlignment="0" applyProtection="0"/>
    <xf numFmtId="0" fontId="66" fillId="14" borderId="0" applyNumberFormat="0" applyBorder="0" applyAlignment="0" applyProtection="0"/>
    <xf numFmtId="0" fontId="66" fillId="15"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66" fillId="18" borderId="0" applyNumberFormat="0" applyBorder="0" applyAlignment="0" applyProtection="0"/>
    <xf numFmtId="0" fontId="66" fillId="19" borderId="0" applyNumberFormat="0" applyBorder="0" applyAlignment="0" applyProtection="0"/>
    <xf numFmtId="0" fontId="44" fillId="20" borderId="0" applyNumberFormat="0" applyBorder="0" applyAlignment="0" applyProtection="0"/>
    <xf numFmtId="0" fontId="44" fillId="21" borderId="0" applyNumberFormat="0" applyBorder="0" applyAlignment="0" applyProtection="0"/>
    <xf numFmtId="0" fontId="66" fillId="22" borderId="0" applyNumberFormat="0" applyBorder="0" applyAlignment="0" applyProtection="0"/>
    <xf numFmtId="0" fontId="66" fillId="23" borderId="0" applyNumberFormat="0" applyBorder="0" applyAlignment="0" applyProtection="0"/>
    <xf numFmtId="0" fontId="44" fillId="24" borderId="0" applyNumberFormat="0" applyBorder="0" applyAlignment="0" applyProtection="0"/>
    <xf numFmtId="0" fontId="44" fillId="25" borderId="0" applyNumberFormat="0" applyBorder="0" applyAlignment="0" applyProtection="0"/>
    <xf numFmtId="0" fontId="66" fillId="26" borderId="0" applyNumberFormat="0" applyBorder="0" applyAlignment="0" applyProtection="0"/>
    <xf numFmtId="0" fontId="66" fillId="27" borderId="0" applyNumberFormat="0" applyBorder="0" applyAlignment="0" applyProtection="0"/>
    <xf numFmtId="0" fontId="44" fillId="28" borderId="0" applyNumberFormat="0" applyBorder="0" applyAlignment="0" applyProtection="0"/>
    <xf numFmtId="0" fontId="44" fillId="29" borderId="0" applyNumberFormat="0" applyBorder="0" applyAlignment="0" applyProtection="0"/>
    <xf numFmtId="0" fontId="66" fillId="30" borderId="0" applyNumberFormat="0" applyBorder="0" applyAlignment="0" applyProtection="0"/>
    <xf numFmtId="0" fontId="66" fillId="31" borderId="0" applyNumberFormat="0" applyBorder="0" applyAlignment="0" applyProtection="0"/>
    <xf numFmtId="0" fontId="44" fillId="32" borderId="0" applyNumberFormat="0" applyBorder="0" applyAlignment="0" applyProtection="0"/>
    <xf numFmtId="0" fontId="44" fillId="33" borderId="0" applyNumberFormat="0" applyBorder="0" applyAlignment="0" applyProtection="0"/>
    <xf numFmtId="0" fontId="66" fillId="34" borderId="0" applyNumberFormat="0" applyBorder="0" applyAlignment="0" applyProtection="0"/>
    <xf numFmtId="0" fontId="44" fillId="0" borderId="0"/>
    <xf numFmtId="0" fontId="44" fillId="10" borderId="13" applyNumberFormat="0" applyFont="0" applyAlignment="0" applyProtection="0"/>
    <xf numFmtId="0" fontId="43" fillId="0" borderId="0"/>
    <xf numFmtId="0" fontId="43" fillId="10" borderId="13" applyNumberFormat="0" applyFont="0" applyAlignment="0" applyProtection="0"/>
    <xf numFmtId="0" fontId="43" fillId="12" borderId="0" applyNumberFormat="0" applyBorder="0" applyAlignment="0" applyProtection="0"/>
    <xf numFmtId="0" fontId="43" fillId="13" borderId="0" applyNumberFormat="0" applyBorder="0" applyAlignment="0" applyProtection="0"/>
    <xf numFmtId="0" fontId="43" fillId="16" borderId="0" applyNumberFormat="0" applyBorder="0" applyAlignment="0" applyProtection="0"/>
    <xf numFmtId="0" fontId="43" fillId="17" borderId="0" applyNumberFormat="0" applyBorder="0" applyAlignment="0" applyProtection="0"/>
    <xf numFmtId="0" fontId="43" fillId="20" borderId="0" applyNumberFormat="0" applyBorder="0" applyAlignment="0" applyProtection="0"/>
    <xf numFmtId="0" fontId="43" fillId="21" borderId="0" applyNumberFormat="0" applyBorder="0" applyAlignment="0" applyProtection="0"/>
    <xf numFmtId="0" fontId="43" fillId="24" borderId="0" applyNumberFormat="0" applyBorder="0" applyAlignment="0" applyProtection="0"/>
    <xf numFmtId="0" fontId="43" fillId="25" borderId="0" applyNumberFormat="0" applyBorder="0" applyAlignment="0" applyProtection="0"/>
    <xf numFmtId="0" fontId="43" fillId="28" borderId="0" applyNumberFormat="0" applyBorder="0" applyAlignment="0" applyProtection="0"/>
    <xf numFmtId="0" fontId="43" fillId="29" borderId="0" applyNumberFormat="0" applyBorder="0" applyAlignment="0" applyProtection="0"/>
    <xf numFmtId="0" fontId="43" fillId="32" borderId="0" applyNumberFormat="0" applyBorder="0" applyAlignment="0" applyProtection="0"/>
    <xf numFmtId="0" fontId="43" fillId="33" borderId="0" applyNumberFormat="0" applyBorder="0" applyAlignment="0" applyProtection="0"/>
    <xf numFmtId="0" fontId="42" fillId="0" borderId="0"/>
    <xf numFmtId="0" fontId="42" fillId="10" borderId="13" applyNumberFormat="0" applyFont="0" applyAlignment="0" applyProtection="0"/>
    <xf numFmtId="0" fontId="42" fillId="12" borderId="0" applyNumberFormat="0" applyBorder="0" applyAlignment="0" applyProtection="0"/>
    <xf numFmtId="0" fontId="42" fillId="13" borderId="0" applyNumberFormat="0" applyBorder="0" applyAlignment="0" applyProtection="0"/>
    <xf numFmtId="0" fontId="42" fillId="16" borderId="0" applyNumberFormat="0" applyBorder="0" applyAlignment="0" applyProtection="0"/>
    <xf numFmtId="0" fontId="42" fillId="17" borderId="0" applyNumberFormat="0" applyBorder="0" applyAlignment="0" applyProtection="0"/>
    <xf numFmtId="0" fontId="42" fillId="20" borderId="0" applyNumberFormat="0" applyBorder="0" applyAlignment="0" applyProtection="0"/>
    <xf numFmtId="0" fontId="42" fillId="21" borderId="0" applyNumberFormat="0" applyBorder="0" applyAlignment="0" applyProtection="0"/>
    <xf numFmtId="0" fontId="42" fillId="24" borderId="0" applyNumberFormat="0" applyBorder="0" applyAlignment="0" applyProtection="0"/>
    <xf numFmtId="0" fontId="42" fillId="25" borderId="0" applyNumberFormat="0" applyBorder="0" applyAlignment="0" applyProtection="0"/>
    <xf numFmtId="0" fontId="42" fillId="28" borderId="0" applyNumberFormat="0" applyBorder="0" applyAlignment="0" applyProtection="0"/>
    <xf numFmtId="0" fontId="42" fillId="29" borderId="0" applyNumberFormat="0" applyBorder="0" applyAlignment="0" applyProtection="0"/>
    <xf numFmtId="0" fontId="42" fillId="32" borderId="0" applyNumberFormat="0" applyBorder="0" applyAlignment="0" applyProtection="0"/>
    <xf numFmtId="0" fontId="42" fillId="33" borderId="0" applyNumberFormat="0" applyBorder="0" applyAlignment="0" applyProtection="0"/>
    <xf numFmtId="0" fontId="41" fillId="0" borderId="0"/>
    <xf numFmtId="0" fontId="67" fillId="0" borderId="0" applyNumberFormat="0" applyFill="0" applyBorder="0" applyAlignment="0" applyProtection="0"/>
    <xf numFmtId="0" fontId="41" fillId="10" borderId="13" applyNumberFormat="0" applyFont="0" applyAlignment="0" applyProtection="0"/>
    <xf numFmtId="0" fontId="41" fillId="12" borderId="0" applyNumberFormat="0" applyBorder="0" applyAlignment="0" applyProtection="0"/>
    <xf numFmtId="0" fontId="41" fillId="13" borderId="0" applyNumberFormat="0" applyBorder="0" applyAlignment="0" applyProtection="0"/>
    <xf numFmtId="0" fontId="41" fillId="16" borderId="0" applyNumberFormat="0" applyBorder="0" applyAlignment="0" applyProtection="0"/>
    <xf numFmtId="0" fontId="41" fillId="17" borderId="0" applyNumberFormat="0" applyBorder="0" applyAlignment="0" applyProtection="0"/>
    <xf numFmtId="0" fontId="41" fillId="20" borderId="0" applyNumberFormat="0" applyBorder="0" applyAlignment="0" applyProtection="0"/>
    <xf numFmtId="0" fontId="41" fillId="21" borderId="0" applyNumberFormat="0" applyBorder="0" applyAlignment="0" applyProtection="0"/>
    <xf numFmtId="0" fontId="41" fillId="24" borderId="0" applyNumberFormat="0" applyBorder="0" applyAlignment="0" applyProtection="0"/>
    <xf numFmtId="0" fontId="41" fillId="25" borderId="0" applyNumberFormat="0" applyBorder="0" applyAlignment="0" applyProtection="0"/>
    <xf numFmtId="0" fontId="41" fillId="28" borderId="0" applyNumberFormat="0" applyBorder="0" applyAlignment="0" applyProtection="0"/>
    <xf numFmtId="0" fontId="41" fillId="29" borderId="0" applyNumberFormat="0" applyBorder="0" applyAlignment="0" applyProtection="0"/>
    <xf numFmtId="0" fontId="41" fillId="32" borderId="0" applyNumberFormat="0" applyBorder="0" applyAlignment="0" applyProtection="0"/>
    <xf numFmtId="0" fontId="41" fillId="33" borderId="0" applyNumberFormat="0" applyBorder="0" applyAlignment="0" applyProtection="0"/>
    <xf numFmtId="0" fontId="40" fillId="0" borderId="0"/>
    <xf numFmtId="0" fontId="40" fillId="10" borderId="13" applyNumberFormat="0" applyFont="0" applyAlignment="0" applyProtection="0"/>
    <xf numFmtId="0" fontId="40" fillId="12" borderId="0" applyNumberFormat="0" applyBorder="0" applyAlignment="0" applyProtection="0"/>
    <xf numFmtId="0" fontId="40" fillId="13" borderId="0" applyNumberFormat="0" applyBorder="0" applyAlignment="0" applyProtection="0"/>
    <xf numFmtId="0" fontId="40" fillId="16" borderId="0" applyNumberFormat="0" applyBorder="0" applyAlignment="0" applyProtection="0"/>
    <xf numFmtId="0" fontId="40" fillId="17" borderId="0" applyNumberFormat="0" applyBorder="0" applyAlignment="0" applyProtection="0"/>
    <xf numFmtId="0" fontId="40" fillId="20" borderId="0" applyNumberFormat="0" applyBorder="0" applyAlignment="0" applyProtection="0"/>
    <xf numFmtId="0" fontId="40" fillId="21" borderId="0" applyNumberFormat="0" applyBorder="0" applyAlignment="0" applyProtection="0"/>
    <xf numFmtId="0" fontId="40" fillId="24" borderId="0" applyNumberFormat="0" applyBorder="0" applyAlignment="0" applyProtection="0"/>
    <xf numFmtId="0" fontId="40" fillId="25" borderId="0" applyNumberFormat="0" applyBorder="0" applyAlignment="0" applyProtection="0"/>
    <xf numFmtId="0" fontId="40" fillId="28" borderId="0" applyNumberFormat="0" applyBorder="0" applyAlignment="0" applyProtection="0"/>
    <xf numFmtId="0" fontId="40" fillId="29" borderId="0" applyNumberFormat="0" applyBorder="0" applyAlignment="0" applyProtection="0"/>
    <xf numFmtId="0" fontId="40" fillId="32" borderId="0" applyNumberFormat="0" applyBorder="0" applyAlignment="0" applyProtection="0"/>
    <xf numFmtId="0" fontId="40" fillId="33" borderId="0" applyNumberFormat="0" applyBorder="0" applyAlignment="0" applyProtection="0"/>
    <xf numFmtId="0" fontId="39" fillId="0" borderId="0"/>
    <xf numFmtId="0" fontId="39" fillId="10" borderId="13" applyNumberFormat="0" applyFont="0" applyAlignment="0" applyProtection="0"/>
    <xf numFmtId="0" fontId="39" fillId="12" borderId="0" applyNumberFormat="0" applyBorder="0" applyAlignment="0" applyProtection="0"/>
    <xf numFmtId="0" fontId="39" fillId="13" borderId="0" applyNumberFormat="0" applyBorder="0" applyAlignment="0" applyProtection="0"/>
    <xf numFmtId="0" fontId="39" fillId="16" borderId="0" applyNumberFormat="0" applyBorder="0" applyAlignment="0" applyProtection="0"/>
    <xf numFmtId="0" fontId="39" fillId="17" borderId="0" applyNumberFormat="0" applyBorder="0" applyAlignment="0" applyProtection="0"/>
    <xf numFmtId="0" fontId="39" fillId="20" borderId="0" applyNumberFormat="0" applyBorder="0" applyAlignment="0" applyProtection="0"/>
    <xf numFmtId="0" fontId="39" fillId="21" borderId="0" applyNumberFormat="0" applyBorder="0" applyAlignment="0" applyProtection="0"/>
    <xf numFmtId="0" fontId="39" fillId="24" borderId="0" applyNumberFormat="0" applyBorder="0" applyAlignment="0" applyProtection="0"/>
    <xf numFmtId="0" fontId="39" fillId="25" borderId="0" applyNumberFormat="0" applyBorder="0" applyAlignment="0" applyProtection="0"/>
    <xf numFmtId="0" fontId="39" fillId="28" borderId="0" applyNumberFormat="0" applyBorder="0" applyAlignment="0" applyProtection="0"/>
    <xf numFmtId="0" fontId="39" fillId="29" borderId="0" applyNumberFormat="0" applyBorder="0" applyAlignment="0" applyProtection="0"/>
    <xf numFmtId="0" fontId="39" fillId="32" borderId="0" applyNumberFormat="0" applyBorder="0" applyAlignment="0" applyProtection="0"/>
    <xf numFmtId="0" fontId="39" fillId="33" borderId="0" applyNumberFormat="0" applyBorder="0" applyAlignment="0" applyProtection="0"/>
    <xf numFmtId="0" fontId="38" fillId="0" borderId="0"/>
    <xf numFmtId="0" fontId="38" fillId="10" borderId="13" applyNumberFormat="0" applyFont="0" applyAlignment="0" applyProtection="0"/>
    <xf numFmtId="0" fontId="38" fillId="12" borderId="0" applyNumberFormat="0" applyBorder="0" applyAlignment="0" applyProtection="0"/>
    <xf numFmtId="0" fontId="38" fillId="13" borderId="0" applyNumberFormat="0" applyBorder="0" applyAlignment="0" applyProtection="0"/>
    <xf numFmtId="0" fontId="38" fillId="16" borderId="0" applyNumberFormat="0" applyBorder="0" applyAlignment="0" applyProtection="0"/>
    <xf numFmtId="0" fontId="38" fillId="17" borderId="0" applyNumberFormat="0" applyBorder="0" applyAlignment="0" applyProtection="0"/>
    <xf numFmtId="0" fontId="38" fillId="20" borderId="0" applyNumberFormat="0" applyBorder="0" applyAlignment="0" applyProtection="0"/>
    <xf numFmtId="0" fontId="38" fillId="21" borderId="0" applyNumberFormat="0" applyBorder="0" applyAlignment="0" applyProtection="0"/>
    <xf numFmtId="0" fontId="38" fillId="24" borderId="0" applyNumberFormat="0" applyBorder="0" applyAlignment="0" applyProtection="0"/>
    <xf numFmtId="0" fontId="38" fillId="25" borderId="0" applyNumberFormat="0" applyBorder="0" applyAlignment="0" applyProtection="0"/>
    <xf numFmtId="0" fontId="38" fillId="28" borderId="0" applyNumberFormat="0" applyBorder="0" applyAlignment="0" applyProtection="0"/>
    <xf numFmtId="0" fontId="38" fillId="29" borderId="0" applyNumberFormat="0" applyBorder="0" applyAlignment="0" applyProtection="0"/>
    <xf numFmtId="0" fontId="38" fillId="32" borderId="0" applyNumberFormat="0" applyBorder="0" applyAlignment="0" applyProtection="0"/>
    <xf numFmtId="0" fontId="38" fillId="33" borderId="0" applyNumberFormat="0" applyBorder="0" applyAlignment="0" applyProtection="0"/>
    <xf numFmtId="0" fontId="37" fillId="0" borderId="0"/>
    <xf numFmtId="0" fontId="37" fillId="10" borderId="13" applyNumberFormat="0" applyFont="0" applyAlignment="0" applyProtection="0"/>
    <xf numFmtId="0" fontId="37" fillId="12" borderId="0" applyNumberFormat="0" applyBorder="0" applyAlignment="0" applyProtection="0"/>
    <xf numFmtId="0" fontId="37" fillId="13" borderId="0" applyNumberFormat="0" applyBorder="0" applyAlignment="0" applyProtection="0"/>
    <xf numFmtId="0" fontId="37" fillId="16" borderId="0" applyNumberFormat="0" applyBorder="0" applyAlignment="0" applyProtection="0"/>
    <xf numFmtId="0" fontId="37" fillId="17" borderId="0" applyNumberFormat="0" applyBorder="0" applyAlignment="0" applyProtection="0"/>
    <xf numFmtId="0" fontId="37" fillId="20" borderId="0" applyNumberFormat="0" applyBorder="0" applyAlignment="0" applyProtection="0"/>
    <xf numFmtId="0" fontId="37" fillId="21" borderId="0" applyNumberFormat="0" applyBorder="0" applyAlignment="0" applyProtection="0"/>
    <xf numFmtId="0" fontId="37" fillId="24" borderId="0" applyNumberFormat="0" applyBorder="0" applyAlignment="0" applyProtection="0"/>
    <xf numFmtId="0" fontId="37" fillId="25" borderId="0" applyNumberFormat="0" applyBorder="0" applyAlignment="0" applyProtection="0"/>
    <xf numFmtId="0" fontId="37" fillId="28" borderId="0" applyNumberFormat="0" applyBorder="0" applyAlignment="0" applyProtection="0"/>
    <xf numFmtId="0" fontId="37" fillId="29" borderId="0" applyNumberFormat="0" applyBorder="0" applyAlignment="0" applyProtection="0"/>
    <xf numFmtId="0" fontId="37" fillId="32" borderId="0" applyNumberFormat="0" applyBorder="0" applyAlignment="0" applyProtection="0"/>
    <xf numFmtId="0" fontId="37" fillId="33" borderId="0" applyNumberFormat="0" applyBorder="0" applyAlignment="0" applyProtection="0"/>
    <xf numFmtId="0" fontId="36" fillId="0" borderId="0"/>
    <xf numFmtId="0" fontId="36" fillId="10" borderId="13" applyNumberFormat="0" applyFont="0" applyAlignment="0" applyProtection="0"/>
    <xf numFmtId="0" fontId="36" fillId="12" borderId="0" applyNumberFormat="0" applyBorder="0" applyAlignment="0" applyProtection="0"/>
    <xf numFmtId="0" fontId="36" fillId="13"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0" fontId="36" fillId="28" borderId="0" applyNumberFormat="0" applyBorder="0" applyAlignment="0" applyProtection="0"/>
    <xf numFmtId="0" fontId="36" fillId="29" borderId="0" applyNumberFormat="0" applyBorder="0" applyAlignment="0" applyProtection="0"/>
    <xf numFmtId="0" fontId="36" fillId="32" borderId="0" applyNumberFormat="0" applyBorder="0" applyAlignment="0" applyProtection="0"/>
    <xf numFmtId="0" fontId="36" fillId="33" borderId="0" applyNumberFormat="0" applyBorder="0" applyAlignment="0" applyProtection="0"/>
    <xf numFmtId="0" fontId="35" fillId="0" borderId="0"/>
    <xf numFmtId="0" fontId="35" fillId="10" borderId="13" applyNumberFormat="0" applyFont="0" applyAlignment="0" applyProtection="0"/>
    <xf numFmtId="0" fontId="35" fillId="12" borderId="0" applyNumberFormat="0" applyBorder="0" applyAlignment="0" applyProtection="0"/>
    <xf numFmtId="0" fontId="35" fillId="13"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35" fillId="20" borderId="0" applyNumberFormat="0" applyBorder="0" applyAlignment="0" applyProtection="0"/>
    <xf numFmtId="0" fontId="35" fillId="21" borderId="0" applyNumberFormat="0" applyBorder="0" applyAlignment="0" applyProtection="0"/>
    <xf numFmtId="0" fontId="35" fillId="24" borderId="0" applyNumberFormat="0" applyBorder="0" applyAlignment="0" applyProtection="0"/>
    <xf numFmtId="0" fontId="35" fillId="25" borderId="0" applyNumberFormat="0" applyBorder="0" applyAlignment="0" applyProtection="0"/>
    <xf numFmtId="0" fontId="35" fillId="28" borderId="0" applyNumberFormat="0" applyBorder="0" applyAlignment="0" applyProtection="0"/>
    <xf numFmtId="0" fontId="35" fillId="29" borderId="0" applyNumberFormat="0" applyBorder="0" applyAlignment="0" applyProtection="0"/>
    <xf numFmtId="0" fontId="35" fillId="32" borderId="0" applyNumberFormat="0" applyBorder="0" applyAlignment="0" applyProtection="0"/>
    <xf numFmtId="0" fontId="35" fillId="33" borderId="0" applyNumberFormat="0" applyBorder="0" applyAlignment="0" applyProtection="0"/>
    <xf numFmtId="0" fontId="34" fillId="0" borderId="0"/>
    <xf numFmtId="0" fontId="34" fillId="10" borderId="13" applyNumberFormat="0" applyFont="0" applyAlignment="0" applyProtection="0"/>
    <xf numFmtId="0" fontId="34" fillId="12" borderId="0" applyNumberFormat="0" applyBorder="0" applyAlignment="0" applyProtection="0"/>
    <xf numFmtId="0" fontId="34" fillId="13"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32" borderId="0" applyNumberFormat="0" applyBorder="0" applyAlignment="0" applyProtection="0"/>
    <xf numFmtId="0" fontId="34" fillId="33" borderId="0" applyNumberFormat="0" applyBorder="0" applyAlignment="0" applyProtection="0"/>
    <xf numFmtId="0" fontId="33" fillId="0" borderId="0"/>
    <xf numFmtId="0" fontId="33" fillId="10" borderId="13" applyNumberFormat="0" applyFont="0" applyAlignment="0" applyProtection="0"/>
    <xf numFmtId="0" fontId="33" fillId="12" borderId="0" applyNumberFormat="0" applyBorder="0" applyAlignment="0" applyProtection="0"/>
    <xf numFmtId="0" fontId="33" fillId="13" borderId="0" applyNumberFormat="0" applyBorder="0" applyAlignment="0" applyProtection="0"/>
    <xf numFmtId="0" fontId="33" fillId="16" borderId="0" applyNumberFormat="0" applyBorder="0" applyAlignment="0" applyProtection="0"/>
    <xf numFmtId="0" fontId="33" fillId="17" borderId="0" applyNumberFormat="0" applyBorder="0" applyAlignment="0" applyProtection="0"/>
    <xf numFmtId="0" fontId="33" fillId="20" borderId="0" applyNumberFormat="0" applyBorder="0" applyAlignment="0" applyProtection="0"/>
    <xf numFmtId="0" fontId="33" fillId="21" borderId="0" applyNumberFormat="0" applyBorder="0" applyAlignment="0" applyProtection="0"/>
    <xf numFmtId="0" fontId="33" fillId="24" borderId="0" applyNumberFormat="0" applyBorder="0" applyAlignment="0" applyProtection="0"/>
    <xf numFmtId="0" fontId="33" fillId="25" borderId="0" applyNumberFormat="0" applyBorder="0" applyAlignment="0" applyProtection="0"/>
    <xf numFmtId="0" fontId="33" fillId="28" borderId="0" applyNumberFormat="0" applyBorder="0" applyAlignment="0" applyProtection="0"/>
    <xf numFmtId="0" fontId="33" fillId="29" borderId="0" applyNumberFormat="0" applyBorder="0" applyAlignment="0" applyProtection="0"/>
    <xf numFmtId="0" fontId="33" fillId="32" borderId="0" applyNumberFormat="0" applyBorder="0" applyAlignment="0" applyProtection="0"/>
    <xf numFmtId="0" fontId="33" fillId="33" borderId="0" applyNumberFormat="0" applyBorder="0" applyAlignment="0" applyProtection="0"/>
    <xf numFmtId="0" fontId="29" fillId="0" borderId="0"/>
    <xf numFmtId="0" fontId="70" fillId="6" borderId="0" applyNumberFormat="0" applyBorder="0" applyAlignment="0" applyProtection="0"/>
    <xf numFmtId="0" fontId="29" fillId="10" borderId="13" applyNumberFormat="0" applyFont="0" applyAlignment="0" applyProtection="0"/>
    <xf numFmtId="0" fontId="29" fillId="12"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16" borderId="0" applyNumberFormat="0" applyBorder="0" applyAlignment="0" applyProtection="0"/>
    <xf numFmtId="0" fontId="29" fillId="17" borderId="0" applyNumberFormat="0" applyBorder="0" applyAlignment="0" applyProtection="0"/>
    <xf numFmtId="0" fontId="29" fillId="18" borderId="0" applyNumberFormat="0" applyBorder="0" applyAlignment="0" applyProtection="0"/>
    <xf numFmtId="0" fontId="29" fillId="20" borderId="0" applyNumberFormat="0" applyBorder="0" applyAlignment="0" applyProtection="0"/>
    <xf numFmtId="0" fontId="29" fillId="21" borderId="0" applyNumberFormat="0" applyBorder="0" applyAlignment="0" applyProtection="0"/>
    <xf numFmtId="0" fontId="29" fillId="22" borderId="0" applyNumberFormat="0" applyBorder="0" applyAlignment="0" applyProtection="0"/>
    <xf numFmtId="0" fontId="29" fillId="24" borderId="0" applyNumberFormat="0" applyBorder="0" applyAlignment="0" applyProtection="0"/>
    <xf numFmtId="0" fontId="29" fillId="25" borderId="0" applyNumberFormat="0" applyBorder="0" applyAlignment="0" applyProtection="0"/>
    <xf numFmtId="0" fontId="29" fillId="26" borderId="0" applyNumberFormat="0" applyBorder="0" applyAlignment="0" applyProtection="0"/>
    <xf numFmtId="0" fontId="29" fillId="28" borderId="0" applyNumberFormat="0" applyBorder="0" applyAlignment="0" applyProtection="0"/>
    <xf numFmtId="0" fontId="29" fillId="29" borderId="0" applyNumberFormat="0" applyBorder="0" applyAlignment="0" applyProtection="0"/>
    <xf numFmtId="0" fontId="29" fillId="30" borderId="0" applyNumberFormat="0" applyBorder="0" applyAlignment="0" applyProtection="0"/>
    <xf numFmtId="0" fontId="29" fillId="32" borderId="0" applyNumberFormat="0" applyBorder="0" applyAlignment="0" applyProtection="0"/>
    <xf numFmtId="0" fontId="29" fillId="33" borderId="0" applyNumberFormat="0" applyBorder="0" applyAlignment="0" applyProtection="0"/>
    <xf numFmtId="0" fontId="29" fillId="34" borderId="0" applyNumberFormat="0" applyBorder="0" applyAlignment="0" applyProtection="0"/>
    <xf numFmtId="0" fontId="27" fillId="0" borderId="0"/>
    <xf numFmtId="0" fontId="27" fillId="10" borderId="13" applyNumberFormat="0" applyFont="0" applyAlignment="0" applyProtection="0"/>
    <xf numFmtId="0" fontId="27" fillId="12" borderId="0" applyNumberFormat="0" applyBorder="0" applyAlignment="0" applyProtection="0"/>
    <xf numFmtId="0" fontId="27" fillId="13" borderId="0" applyNumberFormat="0" applyBorder="0" applyAlignment="0" applyProtection="0"/>
    <xf numFmtId="0" fontId="27" fillId="14"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7" fillId="18" borderId="0" applyNumberFormat="0" applyBorder="0" applyAlignment="0" applyProtection="0"/>
    <xf numFmtId="0" fontId="27" fillId="20" borderId="0" applyNumberFormat="0" applyBorder="0" applyAlignment="0" applyProtection="0"/>
    <xf numFmtId="0" fontId="27" fillId="21" borderId="0" applyNumberFormat="0" applyBorder="0" applyAlignment="0" applyProtection="0"/>
    <xf numFmtId="0" fontId="27" fillId="22" borderId="0" applyNumberFormat="0" applyBorder="0" applyAlignment="0" applyProtection="0"/>
    <xf numFmtId="0" fontId="27" fillId="24"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7" fillId="28" borderId="0" applyNumberFormat="0" applyBorder="0" applyAlignment="0" applyProtection="0"/>
    <xf numFmtId="0" fontId="27" fillId="29" borderId="0" applyNumberFormat="0" applyBorder="0" applyAlignment="0" applyProtection="0"/>
    <xf numFmtId="0" fontId="27" fillId="30" borderId="0" applyNumberFormat="0" applyBorder="0" applyAlignment="0" applyProtection="0"/>
    <xf numFmtId="0" fontId="27" fillId="32" borderId="0" applyNumberFormat="0" applyBorder="0" applyAlignment="0" applyProtection="0"/>
    <xf numFmtId="0" fontId="27" fillId="33" borderId="0" applyNumberFormat="0" applyBorder="0" applyAlignment="0" applyProtection="0"/>
    <xf numFmtId="0" fontId="27" fillId="34" borderId="0" applyNumberFormat="0" applyBorder="0" applyAlignment="0" applyProtection="0"/>
    <xf numFmtId="0" fontId="26" fillId="0" borderId="0"/>
    <xf numFmtId="0" fontId="26" fillId="10" borderId="13" applyNumberFormat="0" applyFont="0" applyAlignment="0" applyProtection="0"/>
    <xf numFmtId="0" fontId="26" fillId="12" borderId="0" applyNumberFormat="0" applyBorder="0" applyAlignment="0" applyProtection="0"/>
    <xf numFmtId="0" fontId="26" fillId="13" borderId="0" applyNumberFormat="0" applyBorder="0" applyAlignment="0" applyProtection="0"/>
    <xf numFmtId="0" fontId="26" fillId="14"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26" fillId="18"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26" fillId="22"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26" fillId="26"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26" fillId="30" borderId="0" applyNumberFormat="0" applyBorder="0" applyAlignment="0" applyProtection="0"/>
    <xf numFmtId="0" fontId="26" fillId="32" borderId="0" applyNumberFormat="0" applyBorder="0" applyAlignment="0" applyProtection="0"/>
    <xf numFmtId="0" fontId="26" fillId="33" borderId="0" applyNumberFormat="0" applyBorder="0" applyAlignment="0" applyProtection="0"/>
    <xf numFmtId="0" fontId="26" fillId="34" borderId="0" applyNumberFormat="0" applyBorder="0" applyAlignment="0" applyProtection="0"/>
    <xf numFmtId="0" fontId="25" fillId="0" borderId="0"/>
    <xf numFmtId="0" fontId="25" fillId="10" borderId="13" applyNumberFormat="0" applyFont="0" applyAlignment="0" applyProtection="0"/>
    <xf numFmtId="0" fontId="25" fillId="12"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25" fillId="20" borderId="0" applyNumberFormat="0" applyBorder="0" applyAlignment="0" applyProtection="0"/>
    <xf numFmtId="0" fontId="25" fillId="21" borderId="0" applyNumberFormat="0" applyBorder="0" applyAlignment="0" applyProtection="0"/>
    <xf numFmtId="0" fontId="25" fillId="22" borderId="0" applyNumberFormat="0" applyBorder="0" applyAlignment="0" applyProtection="0"/>
    <xf numFmtId="0" fontId="25" fillId="24" borderId="0" applyNumberFormat="0" applyBorder="0" applyAlignment="0" applyProtection="0"/>
    <xf numFmtId="0" fontId="25" fillId="25" borderId="0" applyNumberFormat="0" applyBorder="0" applyAlignment="0" applyProtection="0"/>
    <xf numFmtId="0" fontId="25" fillId="26" borderId="0" applyNumberFormat="0" applyBorder="0" applyAlignment="0" applyProtection="0"/>
    <xf numFmtId="0" fontId="25" fillId="28" borderId="0" applyNumberFormat="0" applyBorder="0" applyAlignment="0" applyProtection="0"/>
    <xf numFmtId="0" fontId="25" fillId="29" borderId="0" applyNumberFormat="0" applyBorder="0" applyAlignment="0" applyProtection="0"/>
    <xf numFmtId="0" fontId="25" fillId="30" borderId="0" applyNumberFormat="0" applyBorder="0" applyAlignment="0" applyProtection="0"/>
    <xf numFmtId="0" fontId="25" fillId="32" borderId="0" applyNumberFormat="0" applyBorder="0" applyAlignment="0" applyProtection="0"/>
    <xf numFmtId="0" fontId="25" fillId="33" borderId="0" applyNumberFormat="0" applyBorder="0" applyAlignment="0" applyProtection="0"/>
    <xf numFmtId="0" fontId="25" fillId="34" borderId="0" applyNumberFormat="0" applyBorder="0" applyAlignment="0" applyProtection="0"/>
    <xf numFmtId="0" fontId="24" fillId="0" borderId="0"/>
    <xf numFmtId="0" fontId="24" fillId="10" borderId="13" applyNumberFormat="0" applyFont="0" applyAlignment="0" applyProtection="0"/>
    <xf numFmtId="0" fontId="24" fillId="12"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4" fillId="24"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24"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24" fillId="32" borderId="0" applyNumberFormat="0" applyBorder="0" applyAlignment="0" applyProtection="0"/>
    <xf numFmtId="0" fontId="24" fillId="33" borderId="0" applyNumberFormat="0" applyBorder="0" applyAlignment="0" applyProtection="0"/>
    <xf numFmtId="0" fontId="24" fillId="34" borderId="0" applyNumberFormat="0" applyBorder="0" applyAlignment="0" applyProtection="0"/>
    <xf numFmtId="0" fontId="23" fillId="0" borderId="0"/>
    <xf numFmtId="0" fontId="23" fillId="10" borderId="13" applyNumberFormat="0" applyFont="0" applyAlignment="0" applyProtection="0"/>
    <xf numFmtId="0" fontId="23" fillId="12"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23" fillId="26"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23" fillId="30"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23" fillId="34" borderId="0" applyNumberFormat="0" applyBorder="0" applyAlignment="0" applyProtection="0"/>
    <xf numFmtId="0" fontId="22" fillId="0" borderId="0"/>
    <xf numFmtId="0" fontId="22" fillId="10" borderId="13" applyNumberFormat="0" applyFont="0" applyAlignment="0" applyProtection="0"/>
    <xf numFmtId="0" fontId="22" fillId="12"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22"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xf numFmtId="0" fontId="71" fillId="0" borderId="0"/>
    <xf numFmtId="0" fontId="20" fillId="0" borderId="0"/>
    <xf numFmtId="0" fontId="20" fillId="10" borderId="13" applyNumberFormat="0" applyFont="0" applyAlignment="0" applyProtection="0"/>
    <xf numFmtId="0" fontId="20" fillId="12"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8"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2"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19" fillId="0" borderId="0"/>
    <xf numFmtId="0" fontId="19" fillId="10" borderId="13" applyNumberFormat="0" applyFont="0" applyAlignment="0" applyProtection="0"/>
    <xf numFmtId="0" fontId="19" fillId="12"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19" fillId="22" borderId="0" applyNumberFormat="0" applyBorder="0" applyAlignment="0" applyProtection="0"/>
    <xf numFmtId="0" fontId="19" fillId="24" borderId="0" applyNumberFormat="0" applyBorder="0" applyAlignment="0" applyProtection="0"/>
    <xf numFmtId="0" fontId="19" fillId="25" borderId="0" applyNumberFormat="0" applyBorder="0" applyAlignment="0" applyProtection="0"/>
    <xf numFmtId="0" fontId="19" fillId="26" borderId="0" applyNumberFormat="0" applyBorder="0" applyAlignment="0" applyProtection="0"/>
    <xf numFmtId="0" fontId="19" fillId="28" borderId="0" applyNumberFormat="0" applyBorder="0" applyAlignment="0" applyProtection="0"/>
    <xf numFmtId="0" fontId="19" fillId="29" borderId="0" applyNumberFormat="0" applyBorder="0" applyAlignment="0" applyProtection="0"/>
    <xf numFmtId="0" fontId="19" fillId="30" borderId="0" applyNumberFormat="0" applyBorder="0" applyAlignment="0" applyProtection="0"/>
    <xf numFmtId="0" fontId="19" fillId="32" borderId="0" applyNumberFormat="0" applyBorder="0" applyAlignment="0" applyProtection="0"/>
    <xf numFmtId="0" fontId="19" fillId="33" borderId="0" applyNumberFormat="0" applyBorder="0" applyAlignment="0" applyProtection="0"/>
    <xf numFmtId="0" fontId="19" fillId="34" borderId="0" applyNumberFormat="0" applyBorder="0" applyAlignment="0" applyProtection="0"/>
    <xf numFmtId="0" fontId="18" fillId="0" borderId="0"/>
    <xf numFmtId="0" fontId="18" fillId="10" borderId="13" applyNumberFormat="0" applyFont="0" applyAlignment="0" applyProtection="0"/>
    <xf numFmtId="0" fontId="18" fillId="12"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2"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17" fillId="0" borderId="0"/>
    <xf numFmtId="0" fontId="17" fillId="10" borderId="13" applyNumberFormat="0" applyFont="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7" fillId="26"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7" fillId="30" borderId="0" applyNumberFormat="0" applyBorder="0" applyAlignment="0" applyProtection="0"/>
    <xf numFmtId="0" fontId="17" fillId="32" borderId="0" applyNumberFormat="0" applyBorder="0" applyAlignment="0" applyProtection="0"/>
    <xf numFmtId="0" fontId="17" fillId="33" borderId="0" applyNumberFormat="0" applyBorder="0" applyAlignment="0" applyProtection="0"/>
    <xf numFmtId="0" fontId="17" fillId="34" borderId="0" applyNumberFormat="0" applyBorder="0" applyAlignment="0" applyProtection="0"/>
    <xf numFmtId="0" fontId="16" fillId="0" borderId="0"/>
    <xf numFmtId="0" fontId="16" fillId="10" borderId="13" applyNumberFormat="0" applyFont="0" applyAlignment="0" applyProtection="0"/>
    <xf numFmtId="0" fontId="16" fillId="12"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16" fillId="26" borderId="0" applyNumberFormat="0" applyBorder="0" applyAlignment="0" applyProtection="0"/>
    <xf numFmtId="0" fontId="16" fillId="28" borderId="0" applyNumberFormat="0" applyBorder="0" applyAlignment="0" applyProtection="0"/>
    <xf numFmtId="0" fontId="16" fillId="29" borderId="0" applyNumberFormat="0" applyBorder="0" applyAlignment="0" applyProtection="0"/>
    <xf numFmtId="0" fontId="16" fillId="30" borderId="0" applyNumberFormat="0" applyBorder="0" applyAlignment="0" applyProtection="0"/>
    <xf numFmtId="0" fontId="16" fillId="32" borderId="0" applyNumberFormat="0" applyBorder="0" applyAlignment="0" applyProtection="0"/>
    <xf numFmtId="0" fontId="16" fillId="33" borderId="0" applyNumberFormat="0" applyBorder="0" applyAlignment="0" applyProtection="0"/>
    <xf numFmtId="0" fontId="16" fillId="34" borderId="0" applyNumberFormat="0" applyBorder="0" applyAlignment="0" applyProtection="0"/>
    <xf numFmtId="0" fontId="15" fillId="0" borderId="0"/>
    <xf numFmtId="0" fontId="15" fillId="10" borderId="13" applyNumberFormat="0" applyFont="0" applyAlignment="0" applyProtection="0"/>
    <xf numFmtId="0" fontId="15" fillId="12"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22" borderId="0" applyNumberFormat="0" applyBorder="0" applyAlignment="0" applyProtection="0"/>
    <xf numFmtId="0" fontId="15" fillId="24" borderId="0" applyNumberFormat="0" applyBorder="0" applyAlignment="0" applyProtection="0"/>
    <xf numFmtId="0" fontId="15" fillId="25" borderId="0" applyNumberFormat="0" applyBorder="0" applyAlignment="0" applyProtection="0"/>
    <xf numFmtId="0" fontId="15" fillId="26" borderId="0" applyNumberFormat="0" applyBorder="0" applyAlignment="0" applyProtection="0"/>
    <xf numFmtId="0" fontId="15" fillId="28" borderId="0" applyNumberFormat="0" applyBorder="0" applyAlignment="0" applyProtection="0"/>
    <xf numFmtId="0" fontId="15" fillId="29" borderId="0" applyNumberFormat="0" applyBorder="0" applyAlignment="0" applyProtection="0"/>
    <xf numFmtId="0" fontId="15" fillId="30" borderId="0" applyNumberFormat="0" applyBorder="0" applyAlignment="0" applyProtection="0"/>
    <xf numFmtId="0" fontId="15" fillId="32" borderId="0" applyNumberFormat="0" applyBorder="0" applyAlignment="0" applyProtection="0"/>
    <xf numFmtId="0" fontId="15" fillId="33" borderId="0" applyNumberFormat="0" applyBorder="0" applyAlignment="0" applyProtection="0"/>
    <xf numFmtId="0" fontId="15" fillId="34" borderId="0" applyNumberFormat="0" applyBorder="0" applyAlignment="0" applyProtection="0"/>
    <xf numFmtId="0" fontId="14" fillId="0" borderId="0"/>
    <xf numFmtId="0" fontId="14" fillId="10" borderId="13" applyNumberFormat="0" applyFont="0" applyAlignment="0" applyProtection="0"/>
    <xf numFmtId="0" fontId="14" fillId="12"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8" borderId="0" applyNumberFormat="0" applyBorder="0" applyAlignment="0" applyProtection="0"/>
    <xf numFmtId="0" fontId="14" fillId="29" borderId="0" applyNumberFormat="0" applyBorder="0" applyAlignment="0" applyProtection="0"/>
    <xf numFmtId="0" fontId="14" fillId="30" borderId="0" applyNumberFormat="0" applyBorder="0" applyAlignment="0" applyProtection="0"/>
    <xf numFmtId="0" fontId="14" fillId="32"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0" fontId="13" fillId="0" borderId="0"/>
    <xf numFmtId="0" fontId="13" fillId="10" borderId="13" applyNumberFormat="0" applyFont="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13" fillId="26"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12" fillId="0" borderId="0"/>
    <xf numFmtId="0" fontId="12" fillId="10" borderId="13" applyNumberFormat="0" applyFont="0" applyAlignment="0" applyProtection="0"/>
    <xf numFmtId="0" fontId="12" fillId="12"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1" fillId="0" borderId="0"/>
    <xf numFmtId="0" fontId="11" fillId="10" borderId="13" applyNumberFormat="0" applyFont="0" applyAlignment="0" applyProtection="0"/>
    <xf numFmtId="0" fontId="11" fillId="12"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11" fillId="28" borderId="0" applyNumberFormat="0" applyBorder="0" applyAlignment="0" applyProtection="0"/>
    <xf numFmtId="0" fontId="11" fillId="29" borderId="0" applyNumberFormat="0" applyBorder="0" applyAlignment="0" applyProtection="0"/>
    <xf numFmtId="0" fontId="11" fillId="30" borderId="0" applyNumberFormat="0" applyBorder="0" applyAlignment="0" applyProtection="0"/>
    <xf numFmtId="0" fontId="11" fillId="32" borderId="0" applyNumberFormat="0" applyBorder="0" applyAlignment="0" applyProtection="0"/>
    <xf numFmtId="0" fontId="11" fillId="33" borderId="0" applyNumberFormat="0" applyBorder="0" applyAlignment="0" applyProtection="0"/>
    <xf numFmtId="0" fontId="11" fillId="34" borderId="0" applyNumberFormat="0" applyBorder="0" applyAlignment="0" applyProtection="0"/>
    <xf numFmtId="0" fontId="10" fillId="0" borderId="0"/>
    <xf numFmtId="0" fontId="10" fillId="10" borderId="13" applyNumberFormat="0" applyFont="0" applyAlignment="0" applyProtection="0"/>
    <xf numFmtId="0" fontId="10" fillId="12"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9" fillId="0" borderId="0"/>
    <xf numFmtId="0" fontId="9" fillId="10" borderId="13" applyNumberFormat="0" applyFont="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8" fillId="0" borderId="0"/>
    <xf numFmtId="0" fontId="8" fillId="10" borderId="13" applyNumberFormat="0" applyFont="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7" fillId="0" borderId="0"/>
    <xf numFmtId="0" fontId="7" fillId="10" borderId="13" applyNumberFormat="0" applyFont="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4"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8"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92" fillId="0" borderId="0" applyFill="0" applyProtection="0"/>
    <xf numFmtId="0" fontId="93" fillId="0" borderId="0" applyFill="0" applyProtection="0"/>
    <xf numFmtId="0" fontId="94" fillId="0" borderId="0" applyFill="0" applyProtection="0"/>
    <xf numFmtId="0" fontId="100" fillId="0" borderId="0" applyFill="0" applyProtection="0"/>
    <xf numFmtId="0" fontId="117" fillId="0" borderId="0" applyFill="0" applyProtection="0"/>
    <xf numFmtId="0" fontId="118" fillId="0" borderId="0" applyFill="0" applyProtection="0"/>
    <xf numFmtId="0" fontId="3" fillId="0" borderId="0"/>
    <xf numFmtId="0" fontId="3" fillId="10" borderId="13" applyNumberFormat="0" applyFont="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120" fillId="0" borderId="0"/>
    <xf numFmtId="0" fontId="123" fillId="0" borderId="0" applyFill="0" applyProtection="0"/>
    <xf numFmtId="0" fontId="136" fillId="0" borderId="0"/>
    <xf numFmtId="0" fontId="150" fillId="0" borderId="0"/>
  </cellStyleXfs>
  <cellXfs count="513">
    <xf numFmtId="0" fontId="0" fillId="0" borderId="0" xfId="0"/>
    <xf numFmtId="0" fontId="47" fillId="0" borderId="0" xfId="1"/>
    <xf numFmtId="0" fontId="0" fillId="0" borderId="0" xfId="0" applyAlignment="1">
      <alignment wrapText="1"/>
    </xf>
    <xf numFmtId="0" fontId="0" fillId="0" borderId="3" xfId="0" applyBorder="1" applyAlignment="1">
      <alignment wrapText="1"/>
    </xf>
    <xf numFmtId="166" fontId="0" fillId="0" borderId="0" xfId="0" applyNumberFormat="1" applyAlignment="1">
      <alignment wrapText="1"/>
    </xf>
    <xf numFmtId="0" fontId="0" fillId="0" borderId="1" xfId="0" applyBorder="1" applyAlignment="1">
      <alignment wrapText="1"/>
    </xf>
    <xf numFmtId="0" fontId="48" fillId="0" borderId="3" xfId="1" applyFont="1" applyBorder="1" applyAlignment="1">
      <alignment horizontal="center" vertical="center" wrapText="1"/>
    </xf>
    <xf numFmtId="49" fontId="0" fillId="0" borderId="3" xfId="0" applyNumberFormat="1" applyBorder="1" applyAlignment="1">
      <alignment wrapText="1"/>
    </xf>
    <xf numFmtId="166" fontId="0" fillId="0" borderId="3" xfId="0" applyNumberFormat="1" applyBorder="1" applyAlignment="1">
      <alignment wrapText="1"/>
    </xf>
    <xf numFmtId="0" fontId="0" fillId="0" borderId="3" xfId="0" applyBorder="1"/>
    <xf numFmtId="0" fontId="47" fillId="0" borderId="3" xfId="1" applyBorder="1" applyAlignment="1">
      <alignment wrapText="1"/>
    </xf>
    <xf numFmtId="0" fontId="49" fillId="0" borderId="3" xfId="1" applyFont="1" applyBorder="1" applyAlignment="1">
      <alignment wrapText="1"/>
    </xf>
    <xf numFmtId="0" fontId="50" fillId="0" borderId="3" xfId="1" applyFont="1" applyBorder="1" applyAlignment="1">
      <alignment wrapText="1"/>
    </xf>
    <xf numFmtId="0" fontId="0" fillId="0" borderId="4" xfId="0" applyBorder="1"/>
    <xf numFmtId="0" fontId="47" fillId="0" borderId="3" xfId="1" applyBorder="1"/>
    <xf numFmtId="0" fontId="48" fillId="0" borderId="5" xfId="1" applyFont="1" applyFill="1" applyBorder="1" applyAlignment="1">
      <alignment horizontal="center" vertical="center" wrapText="1"/>
    </xf>
    <xf numFmtId="166" fontId="0" fillId="0" borderId="3" xfId="0" applyNumberFormat="1" applyBorder="1"/>
    <xf numFmtId="166" fontId="0" fillId="0" borderId="0" xfId="0" applyNumberFormat="1"/>
    <xf numFmtId="0" fontId="0" fillId="0" borderId="0" xfId="0" applyBorder="1"/>
    <xf numFmtId="0" fontId="0" fillId="3" borderId="3" xfId="0" applyFill="1" applyBorder="1" applyAlignment="1">
      <alignment wrapText="1"/>
    </xf>
    <xf numFmtId="166" fontId="0" fillId="3" borderId="3" xfId="0" applyNumberFormat="1" applyFill="1" applyBorder="1" applyAlignment="1">
      <alignment wrapText="1"/>
    </xf>
    <xf numFmtId="0" fontId="0" fillId="0" borderId="0" xfId="0" applyBorder="1" applyAlignment="1">
      <alignment wrapText="1"/>
    </xf>
    <xf numFmtId="167" fontId="0" fillId="0" borderId="5" xfId="0" applyNumberFormat="1" applyFill="1" applyBorder="1"/>
    <xf numFmtId="167" fontId="0" fillId="0" borderId="0" xfId="0" applyNumberFormat="1"/>
    <xf numFmtId="0" fontId="47" fillId="0" borderId="0" xfId="1" applyBorder="1"/>
    <xf numFmtId="0" fontId="48" fillId="0" borderId="0" xfId="0" applyFont="1"/>
    <xf numFmtId="0" fontId="51" fillId="0" borderId="0" xfId="0" applyFont="1"/>
    <xf numFmtId="49" fontId="0" fillId="0" borderId="0" xfId="0" applyNumberFormat="1"/>
    <xf numFmtId="49" fontId="51" fillId="0" borderId="0" xfId="0" applyNumberFormat="1" applyFont="1"/>
    <xf numFmtId="1" fontId="51" fillId="0" borderId="0" xfId="0" applyNumberFormat="1" applyFont="1"/>
    <xf numFmtId="1" fontId="0" fillId="0" borderId="0" xfId="0" applyNumberFormat="1"/>
    <xf numFmtId="2" fontId="0" fillId="0" borderId="0" xfId="0" applyNumberFormat="1"/>
    <xf numFmtId="2" fontId="47" fillId="0" borderId="0" xfId="1" applyNumberFormat="1"/>
    <xf numFmtId="2" fontId="48" fillId="0" borderId="3" xfId="1" applyNumberFormat="1" applyFont="1" applyBorder="1" applyAlignment="1">
      <alignment horizontal="center" vertical="center" wrapText="1"/>
    </xf>
    <xf numFmtId="2" fontId="0" fillId="0" borderId="3" xfId="0" applyNumberFormat="1" applyBorder="1"/>
    <xf numFmtId="166" fontId="47" fillId="0" borderId="0" xfId="1" applyNumberFormat="1"/>
    <xf numFmtId="166" fontId="48" fillId="0" borderId="3" xfId="1" applyNumberFormat="1" applyFont="1" applyBorder="1" applyAlignment="1">
      <alignment horizontal="center" vertical="center" wrapText="1"/>
    </xf>
    <xf numFmtId="166" fontId="47" fillId="0" borderId="3" xfId="1" applyNumberFormat="1" applyBorder="1" applyAlignment="1">
      <alignment wrapText="1"/>
    </xf>
    <xf numFmtId="166" fontId="47" fillId="0" borderId="3" xfId="1" applyNumberFormat="1" applyBorder="1"/>
    <xf numFmtId="1" fontId="47" fillId="0" borderId="0" xfId="1" applyNumberFormat="1"/>
    <xf numFmtId="1" fontId="47" fillId="0" borderId="3" xfId="1" applyNumberFormat="1" applyBorder="1"/>
    <xf numFmtId="1" fontId="47" fillId="0" borderId="3" xfId="1" applyNumberFormat="1" applyBorder="1" applyAlignment="1">
      <alignment wrapText="1"/>
    </xf>
    <xf numFmtId="1" fontId="48" fillId="0" borderId="3" xfId="1" applyNumberFormat="1" applyFont="1" applyBorder="1" applyAlignment="1">
      <alignment horizontal="center" vertical="center" wrapText="1"/>
    </xf>
    <xf numFmtId="0" fontId="47" fillId="0" borderId="0" xfId="1" applyBorder="1" applyAlignment="1">
      <alignment wrapText="1"/>
    </xf>
    <xf numFmtId="0" fontId="50" fillId="0" borderId="0" xfId="1" applyFont="1" applyBorder="1" applyAlignment="1">
      <alignment wrapText="1"/>
    </xf>
    <xf numFmtId="166" fontId="0" fillId="35" borderId="0" xfId="0" applyNumberFormat="1" applyFill="1" applyAlignment="1">
      <alignment wrapText="1"/>
    </xf>
    <xf numFmtId="1" fontId="0" fillId="0" borderId="3" xfId="0" applyNumberFormat="1" applyBorder="1" applyAlignment="1">
      <alignment wrapText="1"/>
    </xf>
    <xf numFmtId="1" fontId="0" fillId="3" borderId="3" xfId="0" applyNumberFormat="1" applyFill="1" applyBorder="1" applyAlignment="1">
      <alignment wrapText="1"/>
    </xf>
    <xf numFmtId="0" fontId="0" fillId="36" borderId="3" xfId="0" applyFill="1" applyBorder="1" applyAlignment="1">
      <alignment wrapText="1"/>
    </xf>
    <xf numFmtId="0" fontId="0" fillId="0" borderId="15" xfId="0" applyBorder="1" applyAlignment="1">
      <alignment wrapText="1"/>
    </xf>
    <xf numFmtId="2" fontId="0" fillId="3" borderId="3" xfId="0" applyNumberFormat="1" applyFill="1" applyBorder="1"/>
    <xf numFmtId="0" fontId="47" fillId="3" borderId="3" xfId="1" applyFill="1" applyBorder="1" applyAlignment="1">
      <alignment wrapText="1"/>
    </xf>
    <xf numFmtId="0" fontId="49" fillId="0" borderId="0" xfId="1" applyFont="1" applyBorder="1" applyAlignment="1">
      <alignment wrapText="1"/>
    </xf>
    <xf numFmtId="16" fontId="0" fillId="0" borderId="0" xfId="0" applyNumberFormat="1"/>
    <xf numFmtId="4" fontId="0" fillId="0" borderId="0" xfId="0" applyNumberFormat="1"/>
    <xf numFmtId="166" fontId="0" fillId="0" borderId="4" xfId="0" applyNumberFormat="1" applyBorder="1"/>
    <xf numFmtId="1" fontId="0" fillId="0" borderId="3" xfId="0" applyNumberFormat="1" applyBorder="1"/>
    <xf numFmtId="167" fontId="46" fillId="0" borderId="0" xfId="0" applyNumberFormat="1" applyFont="1" applyBorder="1"/>
    <xf numFmtId="167" fontId="0" fillId="0" borderId="0" xfId="0" applyNumberFormat="1" applyBorder="1"/>
    <xf numFmtId="49" fontId="0" fillId="0" borderId="0" xfId="0" applyNumberFormat="1" applyBorder="1"/>
    <xf numFmtId="0" fontId="68" fillId="0" borderId="0" xfId="0" applyFont="1" applyBorder="1"/>
    <xf numFmtId="0" fontId="71" fillId="0" borderId="0" xfId="340" applyFont="1" applyAlignment="1"/>
    <xf numFmtId="4" fontId="69" fillId="0" borderId="0" xfId="340" applyNumberFormat="1" applyFont="1"/>
    <xf numFmtId="2" fontId="69" fillId="0" borderId="0" xfId="340" applyNumberFormat="1" applyFont="1"/>
    <xf numFmtId="166" fontId="69" fillId="0" borderId="0" xfId="340" applyNumberFormat="1" applyFont="1"/>
    <xf numFmtId="0" fontId="69" fillId="0" borderId="0" xfId="340" applyFont="1"/>
    <xf numFmtId="0" fontId="69" fillId="38" borderId="0" xfId="340" applyFont="1" applyFill="1" applyBorder="1" applyAlignment="1">
      <alignment horizontal="center"/>
    </xf>
    <xf numFmtId="4" fontId="69" fillId="0" borderId="0" xfId="340" applyNumberFormat="1" applyFont="1" applyAlignment="1"/>
    <xf numFmtId="0" fontId="69" fillId="39" borderId="0" xfId="340" applyFont="1" applyFill="1" applyBorder="1" applyAlignment="1">
      <alignment horizontal="center"/>
    </xf>
    <xf numFmtId="0" fontId="69" fillId="40" borderId="0" xfId="340" applyFont="1" applyFill="1" applyBorder="1" applyAlignment="1">
      <alignment horizontal="center"/>
    </xf>
    <xf numFmtId="0" fontId="69" fillId="41" borderId="0" xfId="340" applyFont="1" applyFill="1" applyBorder="1" applyAlignment="1">
      <alignment horizontal="center"/>
    </xf>
    <xf numFmtId="1" fontId="69" fillId="42" borderId="0" xfId="340" applyNumberFormat="1" applyFont="1" applyFill="1" applyBorder="1"/>
    <xf numFmtId="0" fontId="73" fillId="46" borderId="0" xfId="340" applyFont="1" applyFill="1" applyBorder="1" applyAlignment="1"/>
    <xf numFmtId="166" fontId="69" fillId="47" borderId="0" xfId="340" applyNumberFormat="1" applyFont="1" applyFill="1"/>
    <xf numFmtId="0" fontId="69" fillId="47" borderId="0" xfId="340" applyFont="1" applyFill="1"/>
    <xf numFmtId="0" fontId="69" fillId="47" borderId="0" xfId="340" applyFont="1" applyFill="1" applyAlignment="1"/>
    <xf numFmtId="0" fontId="69" fillId="0" borderId="0" xfId="340" applyFont="1" applyAlignment="1"/>
    <xf numFmtId="0" fontId="69" fillId="0" borderId="0" xfId="340" applyFont="1" applyBorder="1"/>
    <xf numFmtId="0" fontId="74" fillId="0" borderId="0" xfId="340" applyFont="1" applyBorder="1" applyAlignment="1"/>
    <xf numFmtId="4" fontId="75" fillId="0" borderId="0" xfId="340" applyNumberFormat="1" applyFont="1" applyAlignment="1"/>
    <xf numFmtId="0" fontId="69" fillId="48" borderId="0" xfId="340" applyFont="1" applyFill="1" applyBorder="1"/>
    <xf numFmtId="2" fontId="71" fillId="0" borderId="0" xfId="340" applyNumberFormat="1" applyFont="1" applyAlignment="1"/>
    <xf numFmtId="0" fontId="74" fillId="0" borderId="0" xfId="340" applyFont="1"/>
    <xf numFmtId="0" fontId="76" fillId="0" borderId="0" xfId="340" applyFont="1"/>
    <xf numFmtId="0" fontId="77" fillId="0" borderId="0" xfId="340" applyFont="1"/>
    <xf numFmtId="0" fontId="76" fillId="49" borderId="0" xfId="340" applyFont="1" applyFill="1" applyBorder="1" applyAlignment="1">
      <alignment horizontal="right" vertical="center" wrapText="1"/>
    </xf>
    <xf numFmtId="0" fontId="77" fillId="0" borderId="0" xfId="340" applyFont="1" applyBorder="1"/>
    <xf numFmtId="0" fontId="79" fillId="0" borderId="0" xfId="340" applyFont="1"/>
    <xf numFmtId="0" fontId="80" fillId="0" borderId="0" xfId="340" applyFont="1" applyAlignment="1"/>
    <xf numFmtId="0" fontId="71" fillId="0" borderId="0" xfId="340" applyFont="1" applyBorder="1" applyAlignment="1"/>
    <xf numFmtId="0" fontId="78" fillId="0" borderId="0" xfId="340" applyFont="1" applyBorder="1" applyAlignment="1"/>
    <xf numFmtId="0" fontId="71" fillId="0" borderId="18" xfId="340" applyFont="1" applyBorder="1" applyAlignment="1"/>
    <xf numFmtId="0" fontId="81" fillId="49" borderId="0" xfId="340" applyFont="1" applyFill="1" applyBorder="1" applyAlignment="1">
      <alignment horizontal="right" vertical="center" wrapText="1"/>
    </xf>
    <xf numFmtId="4" fontId="74" fillId="0" borderId="0" xfId="340" applyNumberFormat="1" applyFont="1" applyAlignment="1"/>
    <xf numFmtId="0" fontId="74" fillId="0" borderId="0" xfId="340" applyFont="1" applyBorder="1"/>
    <xf numFmtId="0" fontId="81" fillId="49" borderId="0" xfId="340" applyFont="1" applyFill="1" applyAlignment="1">
      <alignment horizontal="right" vertical="center" wrapText="1"/>
    </xf>
    <xf numFmtId="0" fontId="69" fillId="49" borderId="0" xfId="340" applyFont="1" applyFill="1" applyBorder="1"/>
    <xf numFmtId="0" fontId="76" fillId="0" borderId="0" xfId="340" applyFont="1" applyAlignment="1"/>
    <xf numFmtId="0" fontId="77" fillId="0" borderId="18" xfId="340" applyFont="1" applyBorder="1"/>
    <xf numFmtId="0" fontId="74" fillId="0" borderId="0" xfId="340" applyFont="1" applyAlignment="1"/>
    <xf numFmtId="0" fontId="79" fillId="0" borderId="0" xfId="340" applyFont="1" applyBorder="1"/>
    <xf numFmtId="4" fontId="79" fillId="0" borderId="0" xfId="340" applyNumberFormat="1" applyFont="1"/>
    <xf numFmtId="0" fontId="69" fillId="0" borderId="0" xfId="340" applyFont="1" applyAlignment="1">
      <alignment wrapText="1"/>
    </xf>
    <xf numFmtId="0" fontId="76" fillId="0" borderId="0" xfId="340" applyFont="1" applyBorder="1"/>
    <xf numFmtId="4" fontId="71" fillId="0" borderId="0" xfId="340" applyNumberFormat="1" applyFont="1" applyAlignment="1"/>
    <xf numFmtId="4" fontId="74" fillId="0" borderId="0" xfId="340" applyNumberFormat="1" applyFont="1" applyBorder="1"/>
    <xf numFmtId="4" fontId="74" fillId="0" borderId="0" xfId="340" applyNumberFormat="1" applyFont="1"/>
    <xf numFmtId="4" fontId="77" fillId="0" borderId="0" xfId="340" applyNumberFormat="1" applyFont="1"/>
    <xf numFmtId="4" fontId="77" fillId="0" borderId="0" xfId="340" applyNumberFormat="1" applyFont="1" applyBorder="1"/>
    <xf numFmtId="4" fontId="81" fillId="49" borderId="0" xfId="340" applyNumberFormat="1" applyFont="1" applyFill="1" applyAlignment="1">
      <alignment horizontal="right" vertical="center" wrapText="1"/>
    </xf>
    <xf numFmtId="4" fontId="69" fillId="48" borderId="0" xfId="340" applyNumberFormat="1" applyFont="1" applyFill="1" applyBorder="1"/>
    <xf numFmtId="4" fontId="69" fillId="0" borderId="0" xfId="340" applyNumberFormat="1" applyFont="1" applyBorder="1"/>
    <xf numFmtId="4" fontId="81" fillId="49" borderId="0" xfId="340" applyNumberFormat="1" applyFont="1" applyFill="1" applyBorder="1" applyAlignment="1">
      <alignment horizontal="right" vertical="center" wrapText="1"/>
    </xf>
    <xf numFmtId="4" fontId="79" fillId="0" borderId="0" xfId="340" applyNumberFormat="1" applyFont="1" applyBorder="1"/>
    <xf numFmtId="0" fontId="69" fillId="0" borderId="0" xfId="340" applyFont="1" applyBorder="1" applyAlignment="1"/>
    <xf numFmtId="4" fontId="74" fillId="0" borderId="0" xfId="340" applyNumberFormat="1" applyFont="1" applyBorder="1" applyAlignment="1"/>
    <xf numFmtId="0" fontId="77" fillId="0" borderId="0" xfId="340" applyFont="1" applyBorder="1" applyAlignment="1"/>
    <xf numFmtId="4" fontId="76" fillId="0" borderId="0" xfId="340" applyNumberFormat="1" applyFont="1"/>
    <xf numFmtId="4" fontId="84" fillId="49" borderId="0" xfId="340" applyNumberFormat="1" applyFont="1" applyFill="1" applyAlignment="1">
      <alignment horizontal="right" vertical="center" wrapText="1"/>
    </xf>
    <xf numFmtId="0" fontId="71" fillId="0" borderId="0" xfId="340"/>
    <xf numFmtId="0" fontId="86" fillId="0" borderId="0" xfId="340" applyFont="1" applyAlignment="1"/>
    <xf numFmtId="0" fontId="88" fillId="0" borderId="0" xfId="340" applyFont="1" applyBorder="1"/>
    <xf numFmtId="0" fontId="88" fillId="0" borderId="0" xfId="340" applyFont="1"/>
    <xf numFmtId="0" fontId="0" fillId="2" borderId="3" xfId="0" applyFill="1" applyBorder="1" applyAlignment="1">
      <alignment wrapText="1"/>
    </xf>
    <xf numFmtId="1" fontId="0" fillId="2" borderId="3" xfId="0" applyNumberFormat="1" applyFill="1" applyBorder="1" applyAlignment="1">
      <alignment wrapText="1"/>
    </xf>
    <xf numFmtId="166" fontId="0" fillId="2" borderId="3" xfId="0" applyNumberFormat="1" applyFill="1" applyBorder="1" applyAlignment="1">
      <alignment wrapText="1"/>
    </xf>
    <xf numFmtId="2" fontId="0" fillId="2" borderId="0" xfId="0" applyNumberFormat="1" applyFill="1" applyAlignment="1">
      <alignment wrapText="1"/>
    </xf>
    <xf numFmtId="2" fontId="0" fillId="0" borderId="3" xfId="0" applyNumberFormat="1" applyBorder="1" applyAlignment="1">
      <alignment wrapText="1"/>
    </xf>
    <xf numFmtId="2" fontId="0" fillId="3" borderId="3" xfId="0" applyNumberFormat="1" applyFill="1" applyBorder="1" applyAlignment="1">
      <alignment wrapText="1"/>
    </xf>
    <xf numFmtId="2" fontId="0" fillId="2" borderId="3" xfId="0" applyNumberFormat="1" applyFill="1" applyBorder="1" applyAlignment="1">
      <alignment wrapText="1"/>
    </xf>
    <xf numFmtId="2" fontId="0" fillId="0" borderId="0" xfId="0" applyNumberFormat="1" applyAlignment="1">
      <alignment wrapText="1"/>
    </xf>
    <xf numFmtId="0" fontId="47" fillId="2" borderId="3" xfId="1" applyFill="1" applyBorder="1"/>
    <xf numFmtId="0" fontId="0" fillId="0" borderId="0" xfId="0" applyFont="1" applyAlignment="1"/>
    <xf numFmtId="0" fontId="77" fillId="0" borderId="0" xfId="0" applyFont="1"/>
    <xf numFmtId="0" fontId="74" fillId="0" borderId="0" xfId="0" applyFont="1"/>
    <xf numFmtId="0" fontId="74" fillId="50" borderId="0" xfId="0" applyFont="1" applyFill="1" applyBorder="1" applyAlignment="1">
      <alignment horizontal="right" vertical="top" wrapText="1"/>
    </xf>
    <xf numFmtId="4" fontId="74" fillId="0" borderId="0" xfId="0" applyNumberFormat="1" applyFont="1"/>
    <xf numFmtId="0" fontId="69" fillId="52" borderId="0" xfId="340" applyFont="1" applyFill="1" applyBorder="1"/>
    <xf numFmtId="0" fontId="69" fillId="52" borderId="0" xfId="340" applyFont="1" applyFill="1"/>
    <xf numFmtId="166" fontId="69" fillId="52" borderId="0" xfId="340" applyNumberFormat="1" applyFont="1" applyFill="1" applyBorder="1"/>
    <xf numFmtId="166" fontId="69" fillId="52" borderId="0" xfId="340" applyNumberFormat="1" applyFont="1" applyFill="1"/>
    <xf numFmtId="0" fontId="0" fillId="53" borderId="0" xfId="0" applyFill="1" applyBorder="1" applyAlignment="1">
      <alignment wrapText="1"/>
    </xf>
    <xf numFmtId="4" fontId="74" fillId="50" borderId="0" xfId="0" applyNumberFormat="1" applyFont="1" applyFill="1" applyBorder="1" applyAlignment="1">
      <alignment horizontal="right" vertical="top" wrapText="1"/>
    </xf>
    <xf numFmtId="0" fontId="74" fillId="0" borderId="17" xfId="0" applyFont="1" applyBorder="1"/>
    <xf numFmtId="0" fontId="74" fillId="0" borderId="0" xfId="0" applyFont="1" applyBorder="1"/>
    <xf numFmtId="4" fontId="74" fillId="0" borderId="0" xfId="0" applyNumberFormat="1" applyFont="1" applyBorder="1"/>
    <xf numFmtId="4" fontId="77" fillId="0" borderId="17" xfId="340" applyNumberFormat="1" applyFont="1" applyBorder="1"/>
    <xf numFmtId="0" fontId="69" fillId="54" borderId="0" xfId="340" applyFont="1" applyFill="1" applyBorder="1"/>
    <xf numFmtId="0" fontId="69" fillId="54" borderId="0" xfId="340" applyFont="1" applyFill="1"/>
    <xf numFmtId="4" fontId="75" fillId="0" borderId="0" xfId="0" applyNumberFormat="1" applyFont="1"/>
    <xf numFmtId="0" fontId="0" fillId="0" borderId="2" xfId="0" applyBorder="1" applyAlignment="1">
      <alignment wrapText="1"/>
    </xf>
    <xf numFmtId="0" fontId="90" fillId="0" borderId="0" xfId="0" applyFont="1"/>
    <xf numFmtId="4" fontId="91" fillId="0" borderId="0" xfId="0" applyNumberFormat="1" applyFont="1"/>
    <xf numFmtId="0" fontId="74" fillId="50" borderId="17" xfId="0" applyFont="1" applyFill="1" applyBorder="1" applyAlignment="1">
      <alignment horizontal="right" vertical="top" wrapText="1"/>
    </xf>
    <xf numFmtId="4" fontId="74" fillId="0" borderId="17" xfId="0" applyNumberFormat="1" applyFont="1" applyBorder="1"/>
    <xf numFmtId="4" fontId="90" fillId="0" borderId="0" xfId="0" applyNumberFormat="1" applyFont="1"/>
    <xf numFmtId="0" fontId="69" fillId="37" borderId="0" xfId="340" applyFont="1" applyFill="1"/>
    <xf numFmtId="0" fontId="69" fillId="54" borderId="2" xfId="340" applyFont="1" applyFill="1" applyBorder="1"/>
    <xf numFmtId="4" fontId="77" fillId="0" borderId="18" xfId="340" applyNumberFormat="1" applyFont="1" applyBorder="1"/>
    <xf numFmtId="4" fontId="47" fillId="0" borderId="3" xfId="1" applyNumberFormat="1" applyBorder="1"/>
    <xf numFmtId="0" fontId="69" fillId="41" borderId="0" xfId="340" applyFont="1" applyFill="1" applyBorder="1" applyAlignment="1">
      <alignment horizontal="center"/>
    </xf>
    <xf numFmtId="0" fontId="69" fillId="38" borderId="0" xfId="340" applyFont="1" applyFill="1" applyBorder="1" applyAlignment="1">
      <alignment horizontal="center"/>
    </xf>
    <xf numFmtId="0" fontId="69" fillId="39" borderId="0" xfId="340" applyFont="1" applyFill="1" applyBorder="1" applyAlignment="1">
      <alignment horizontal="center"/>
    </xf>
    <xf numFmtId="0" fontId="69" fillId="40" borderId="0" xfId="340" applyFont="1" applyFill="1" applyBorder="1" applyAlignment="1">
      <alignment horizontal="center"/>
    </xf>
    <xf numFmtId="4" fontId="95" fillId="0" borderId="0" xfId="0" applyNumberFormat="1" applyFont="1"/>
    <xf numFmtId="0" fontId="96" fillId="0" borderId="0" xfId="0" applyFont="1"/>
    <xf numFmtId="4" fontId="96" fillId="0" borderId="0" xfId="0" applyNumberFormat="1" applyFont="1"/>
    <xf numFmtId="0" fontId="95" fillId="0" borderId="0" xfId="0" applyFont="1"/>
    <xf numFmtId="0" fontId="74" fillId="55" borderId="19" xfId="0" applyFont="1" applyFill="1" applyBorder="1" applyAlignment="1">
      <alignment horizontal="right" vertical="top" wrapText="1"/>
    </xf>
    <xf numFmtId="0" fontId="87" fillId="51" borderId="0" xfId="340" applyFont="1" applyFill="1" applyBorder="1" applyAlignment="1">
      <alignment horizontal="right"/>
    </xf>
    <xf numFmtId="2" fontId="69" fillId="37" borderId="0" xfId="340" applyNumberFormat="1" applyFont="1" applyFill="1"/>
    <xf numFmtId="0" fontId="98" fillId="0" borderId="0" xfId="0" applyFont="1" applyAlignment="1">
      <alignment horizontal="right" vertical="center" wrapText="1"/>
    </xf>
    <xf numFmtId="0" fontId="99" fillId="0" borderId="0" xfId="0" applyFont="1"/>
    <xf numFmtId="2" fontId="0" fillId="0" borderId="0" xfId="0" applyNumberFormat="1" applyBorder="1"/>
    <xf numFmtId="3" fontId="74" fillId="0" borderId="0" xfId="0" applyNumberFormat="1" applyFont="1"/>
    <xf numFmtId="0" fontId="74" fillId="51" borderId="0" xfId="340" applyFont="1" applyFill="1" applyBorder="1" applyAlignment="1">
      <alignment horizontal="right" vertical="top" wrapText="1"/>
    </xf>
    <xf numFmtId="166" fontId="47" fillId="0" borderId="0" xfId="1" applyNumberFormat="1" applyBorder="1" applyAlignment="1">
      <alignment wrapText="1"/>
    </xf>
    <xf numFmtId="1" fontId="47" fillId="0" borderId="0" xfId="1" applyNumberFormat="1" applyBorder="1" applyAlignment="1">
      <alignment wrapText="1"/>
    </xf>
    <xf numFmtId="2" fontId="47" fillId="0" borderId="3" xfId="1" applyNumberFormat="1" applyBorder="1"/>
    <xf numFmtId="166" fontId="0" fillId="0" borderId="0" xfId="0" applyNumberFormat="1" applyBorder="1"/>
    <xf numFmtId="0" fontId="101" fillId="0" borderId="0" xfId="0" applyFont="1"/>
    <xf numFmtId="0" fontId="47" fillId="3" borderId="0" xfId="1" applyFill="1" applyBorder="1" applyAlignment="1">
      <alignment wrapText="1"/>
    </xf>
    <xf numFmtId="0" fontId="102" fillId="0" borderId="0" xfId="0" applyFont="1"/>
    <xf numFmtId="0" fontId="103" fillId="55" borderId="0" xfId="0" applyFont="1" applyFill="1" applyAlignment="1">
      <alignment horizontal="right" vertical="center" wrapText="1"/>
    </xf>
    <xf numFmtId="0" fontId="101" fillId="0" borderId="0" xfId="0" applyFont="1" applyBorder="1"/>
    <xf numFmtId="3" fontId="104" fillId="0" borderId="0" xfId="0" applyNumberFormat="1" applyFont="1"/>
    <xf numFmtId="0" fontId="104" fillId="0" borderId="0" xfId="0" applyFont="1"/>
    <xf numFmtId="0" fontId="102" fillId="0" borderId="0" xfId="0" applyFont="1" applyBorder="1"/>
    <xf numFmtId="0" fontId="105" fillId="0" borderId="0" xfId="0" applyFont="1"/>
    <xf numFmtId="0" fontId="106" fillId="55" borderId="0" xfId="0" applyFont="1" applyFill="1" applyAlignment="1">
      <alignment horizontal="right" vertical="center" wrapText="1"/>
    </xf>
    <xf numFmtId="0" fontId="107" fillId="55" borderId="0" xfId="0" applyFont="1" applyFill="1" applyAlignment="1">
      <alignment horizontal="right" vertical="center" wrapText="1"/>
    </xf>
    <xf numFmtId="0" fontId="108" fillId="0" borderId="0" xfId="0" applyFont="1"/>
    <xf numFmtId="3" fontId="109" fillId="0" borderId="0" xfId="0" applyNumberFormat="1" applyFont="1"/>
    <xf numFmtId="3" fontId="104" fillId="0" borderId="0" xfId="0" applyNumberFormat="1" applyFont="1" applyBorder="1"/>
    <xf numFmtId="0" fontId="0" fillId="0" borderId="2" xfId="0" applyBorder="1"/>
    <xf numFmtId="0" fontId="111" fillId="0" borderId="0" xfId="0" applyFont="1"/>
    <xf numFmtId="0" fontId="112" fillId="55" borderId="0" xfId="0" applyFont="1" applyFill="1" applyAlignment="1">
      <alignment horizontal="right" vertical="center" wrapText="1"/>
    </xf>
    <xf numFmtId="3" fontId="111" fillId="0" borderId="0" xfId="0" applyNumberFormat="1" applyFont="1"/>
    <xf numFmtId="3" fontId="111" fillId="0" borderId="0" xfId="0" applyNumberFormat="1" applyFont="1" applyBorder="1"/>
    <xf numFmtId="0" fontId="103" fillId="55" borderId="0" xfId="0" applyFont="1" applyFill="1" applyBorder="1" applyAlignment="1">
      <alignment horizontal="right" vertical="center" wrapText="1"/>
    </xf>
    <xf numFmtId="0" fontId="108" fillId="0" borderId="0" xfId="0" applyFont="1" applyBorder="1"/>
    <xf numFmtId="0" fontId="111" fillId="0" borderId="0" xfId="0" applyFont="1" applyBorder="1"/>
    <xf numFmtId="0" fontId="109" fillId="0" borderId="0" xfId="0" applyFont="1" applyBorder="1"/>
    <xf numFmtId="2" fontId="0" fillId="0" borderId="0" xfId="0" applyNumberFormat="1" applyBorder="1" applyAlignment="1">
      <alignment wrapText="1"/>
    </xf>
    <xf numFmtId="166" fontId="0" fillId="0" borderId="0" xfId="0" applyNumberFormat="1" applyBorder="1" applyAlignment="1">
      <alignment wrapText="1"/>
    </xf>
    <xf numFmtId="1" fontId="0" fillId="0" borderId="0" xfId="0" applyNumberFormat="1" applyBorder="1" applyAlignment="1">
      <alignment wrapText="1"/>
    </xf>
    <xf numFmtId="0" fontId="0" fillId="3" borderId="0" xfId="0" applyFill="1" applyBorder="1" applyAlignment="1">
      <alignment wrapText="1"/>
    </xf>
    <xf numFmtId="166" fontId="47" fillId="0" borderId="0" xfId="1" applyNumberFormat="1" applyBorder="1"/>
    <xf numFmtId="1" fontId="47" fillId="0" borderId="0" xfId="1" applyNumberFormat="1" applyBorder="1"/>
    <xf numFmtId="2" fontId="47" fillId="0" borderId="0" xfId="1" applyNumberFormat="1" applyBorder="1"/>
    <xf numFmtId="4" fontId="0" fillId="0" borderId="3" xfId="0" applyNumberFormat="1" applyBorder="1" applyAlignment="1">
      <alignment wrapText="1"/>
    </xf>
    <xf numFmtId="0" fontId="114" fillId="0" borderId="0" xfId="0" applyFont="1"/>
    <xf numFmtId="3" fontId="116" fillId="0" borderId="0" xfId="0" applyNumberFormat="1" applyFont="1"/>
    <xf numFmtId="2" fontId="0" fillId="3" borderId="0" xfId="0" applyNumberFormat="1" applyFill="1" applyBorder="1" applyAlignment="1">
      <alignment wrapText="1"/>
    </xf>
    <xf numFmtId="1" fontId="0" fillId="3" borderId="0" xfId="0" applyNumberFormat="1" applyFill="1" applyBorder="1" applyAlignment="1">
      <alignment wrapText="1"/>
    </xf>
    <xf numFmtId="166" fontId="0" fillId="3" borderId="0" xfId="0" applyNumberFormat="1" applyFill="1" applyBorder="1" applyAlignment="1">
      <alignment wrapText="1"/>
    </xf>
    <xf numFmtId="0" fontId="0" fillId="2" borderId="0" xfId="0" applyFill="1"/>
    <xf numFmtId="0" fontId="0" fillId="3" borderId="0" xfId="0" applyFill="1"/>
    <xf numFmtId="4" fontId="47" fillId="0" borderId="0" xfId="1" applyNumberFormat="1" applyBorder="1"/>
    <xf numFmtId="0" fontId="0" fillId="36" borderId="0" xfId="0" applyFill="1" applyBorder="1" applyAlignment="1">
      <alignment wrapText="1"/>
    </xf>
    <xf numFmtId="2" fontId="0" fillId="3" borderId="0" xfId="0" applyNumberFormat="1" applyFill="1" applyBorder="1"/>
    <xf numFmtId="2" fontId="0" fillId="36" borderId="0" xfId="0" applyNumberFormat="1" applyFill="1" applyBorder="1"/>
    <xf numFmtId="0" fontId="47" fillId="36" borderId="0" xfId="1" applyFill="1" applyBorder="1" applyAlignment="1">
      <alignment wrapText="1"/>
    </xf>
    <xf numFmtId="0" fontId="98" fillId="56" borderId="20" xfId="1" applyFont="1" applyFill="1" applyBorder="1" applyAlignment="1">
      <alignment horizontal="left"/>
    </xf>
    <xf numFmtId="0" fontId="98" fillId="57" borderId="20" xfId="1" applyFont="1" applyFill="1" applyBorder="1" applyAlignment="1">
      <alignment horizontal="right"/>
    </xf>
    <xf numFmtId="0" fontId="98" fillId="58" borderId="20" xfId="1" applyFont="1" applyFill="1" applyBorder="1" applyAlignment="1">
      <alignment horizontal="left"/>
    </xf>
    <xf numFmtId="0" fontId="98" fillId="49" borderId="20" xfId="1" applyFont="1" applyFill="1" applyBorder="1" applyAlignment="1">
      <alignment horizontal="right"/>
    </xf>
    <xf numFmtId="0" fontId="0" fillId="0" borderId="0" xfId="0" applyFill="1" applyBorder="1"/>
    <xf numFmtId="0" fontId="119" fillId="0" borderId="0" xfId="0" applyFont="1"/>
    <xf numFmtId="0" fontId="121" fillId="0" borderId="0" xfId="0" applyFont="1"/>
    <xf numFmtId="0" fontId="122" fillId="55" borderId="0" xfId="0" applyFont="1" applyFill="1" applyAlignment="1">
      <alignment horizontal="right" vertical="center" wrapText="1"/>
    </xf>
    <xf numFmtId="3" fontId="122" fillId="55" borderId="0" xfId="0" applyNumberFormat="1" applyFont="1" applyFill="1" applyAlignment="1">
      <alignment horizontal="right" vertical="center" wrapText="1"/>
    </xf>
    <xf numFmtId="0" fontId="121" fillId="0" borderId="0" xfId="0" applyFont="1" applyBorder="1"/>
    <xf numFmtId="0" fontId="122" fillId="55" borderId="0" xfId="0" applyFont="1" applyFill="1" applyBorder="1" applyAlignment="1">
      <alignment horizontal="right" vertical="center" wrapText="1"/>
    </xf>
    <xf numFmtId="0" fontId="124" fillId="55" borderId="0" xfId="0" applyFont="1" applyFill="1" applyAlignment="1">
      <alignment horizontal="right" vertical="center" wrapText="1"/>
    </xf>
    <xf numFmtId="0" fontId="125" fillId="0" borderId="0" xfId="0" applyFont="1"/>
    <xf numFmtId="3" fontId="109" fillId="0" borderId="0" xfId="0" applyNumberFormat="1" applyFont="1" applyBorder="1"/>
    <xf numFmtId="0" fontId="127" fillId="0" borderId="0" xfId="0" applyFont="1"/>
    <xf numFmtId="0" fontId="128" fillId="55" borderId="0" xfId="0" applyFont="1" applyFill="1" applyAlignment="1">
      <alignment horizontal="right" vertical="center" wrapText="1"/>
    </xf>
    <xf numFmtId="0" fontId="48" fillId="0" borderId="3" xfId="0" applyFont="1" applyBorder="1"/>
    <xf numFmtId="0" fontId="73" fillId="0" borderId="3" xfId="0" applyFont="1" applyBorder="1" applyAlignment="1">
      <alignment wrapText="1"/>
    </xf>
    <xf numFmtId="1" fontId="33" fillId="0" borderId="3" xfId="185" applyNumberFormat="1" applyBorder="1" applyAlignment="1">
      <alignment horizontal="left" vertical="center" wrapText="1"/>
    </xf>
    <xf numFmtId="0" fontId="73" fillId="0" borderId="3" xfId="0" applyFont="1" applyBorder="1" applyAlignment="1">
      <alignment horizontal="right" wrapText="1"/>
    </xf>
    <xf numFmtId="0" fontId="44" fillId="0" borderId="3" xfId="42" applyBorder="1" applyAlignment="1">
      <alignment horizontal="left"/>
    </xf>
    <xf numFmtId="0" fontId="110" fillId="0" borderId="3" xfId="0" applyFont="1" applyBorder="1" applyAlignment="1">
      <alignment wrapText="1"/>
    </xf>
    <xf numFmtId="0" fontId="0" fillId="0" borderId="3" xfId="0" applyBorder="1" applyAlignment="1">
      <alignment horizontal="left"/>
    </xf>
    <xf numFmtId="0" fontId="129" fillId="0" borderId="0" xfId="0" applyFont="1"/>
    <xf numFmtId="3" fontId="129" fillId="0" borderId="0" xfId="0" applyNumberFormat="1" applyFont="1"/>
    <xf numFmtId="3" fontId="130" fillId="55" borderId="0" xfId="0" applyNumberFormat="1" applyFont="1" applyFill="1" applyAlignment="1">
      <alignment horizontal="right" vertical="center" wrapText="1"/>
    </xf>
    <xf numFmtId="4" fontId="68" fillId="0" borderId="0" xfId="0" applyNumberFormat="1" applyFont="1" applyBorder="1"/>
    <xf numFmtId="0" fontId="131" fillId="0" borderId="0" xfId="0" applyFont="1"/>
    <xf numFmtId="0" fontId="132" fillId="0" borderId="0" xfId="0" applyFont="1"/>
    <xf numFmtId="0" fontId="112" fillId="55" borderId="0" xfId="0" applyFont="1" applyFill="1" applyBorder="1" applyAlignment="1">
      <alignment horizontal="right" vertical="center" wrapText="1"/>
    </xf>
    <xf numFmtId="0" fontId="129" fillId="0" borderId="0" xfId="0" applyFont="1" applyBorder="1"/>
    <xf numFmtId="0" fontId="0" fillId="0" borderId="5" xfId="0" applyBorder="1"/>
    <xf numFmtId="0" fontId="134" fillId="0" borderId="0" xfId="0" applyFont="1"/>
    <xf numFmtId="4" fontId="0" fillId="0" borderId="0" xfId="0" applyNumberFormat="1" applyBorder="1" applyAlignment="1">
      <alignment wrapText="1"/>
    </xf>
    <xf numFmtId="0" fontId="50" fillId="3" borderId="0" xfId="1" applyFont="1" applyFill="1" applyBorder="1" applyAlignment="1">
      <alignment wrapText="1"/>
    </xf>
    <xf numFmtId="0" fontId="135" fillId="0" borderId="0" xfId="0" applyFont="1"/>
    <xf numFmtId="166" fontId="47" fillId="36" borderId="0" xfId="1" applyNumberFormat="1" applyFill="1" applyBorder="1" applyAlignment="1">
      <alignment wrapText="1"/>
    </xf>
    <xf numFmtId="0" fontId="137" fillId="0" borderId="0" xfId="0" applyFont="1"/>
    <xf numFmtId="0" fontId="138" fillId="55" borderId="0" xfId="0" applyFont="1" applyFill="1" applyAlignment="1">
      <alignment horizontal="right" vertical="center" wrapText="1"/>
    </xf>
    <xf numFmtId="0" fontId="114" fillId="0" borderId="0" xfId="0" applyFont="1" applyBorder="1"/>
    <xf numFmtId="0" fontId="115" fillId="55" borderId="0" xfId="0" applyFont="1" applyFill="1" applyBorder="1" applyAlignment="1">
      <alignment horizontal="right" vertical="center" wrapText="1"/>
    </xf>
    <xf numFmtId="1" fontId="47" fillId="36" borderId="0" xfId="1" applyNumberFormat="1" applyFill="1" applyBorder="1" applyAlignment="1">
      <alignment wrapText="1"/>
    </xf>
    <xf numFmtId="167" fontId="0" fillId="0" borderId="3" xfId="0" applyNumberFormat="1" applyBorder="1"/>
    <xf numFmtId="0" fontId="139" fillId="0" borderId="0" xfId="0" applyFont="1"/>
    <xf numFmtId="0" fontId="131" fillId="0" borderId="0" xfId="0" applyFont="1" applyBorder="1"/>
    <xf numFmtId="0" fontId="31" fillId="2" borderId="0" xfId="1" applyFont="1" applyFill="1" applyBorder="1" applyAlignment="1">
      <alignment wrapText="1"/>
    </xf>
    <xf numFmtId="0" fontId="0" fillId="2" borderId="0" xfId="0" applyFill="1" applyBorder="1" applyAlignment="1">
      <alignment wrapText="1"/>
    </xf>
    <xf numFmtId="2" fontId="0" fillId="2" borderId="0" xfId="0" applyNumberFormat="1" applyFill="1" applyBorder="1" applyAlignment="1">
      <alignment wrapText="1"/>
    </xf>
    <xf numFmtId="1" fontId="0" fillId="2" borderId="0" xfId="0" applyNumberFormat="1" applyFill="1" applyBorder="1" applyAlignment="1">
      <alignment wrapText="1"/>
    </xf>
    <xf numFmtId="166" fontId="0" fillId="2" borderId="0" xfId="0" applyNumberFormat="1" applyFill="1" applyBorder="1" applyAlignment="1">
      <alignment wrapText="1"/>
    </xf>
    <xf numFmtId="0" fontId="140" fillId="0" borderId="0" xfId="0" applyFont="1"/>
    <xf numFmtId="0" fontId="135" fillId="0" borderId="0" xfId="0" applyFont="1" applyBorder="1"/>
    <xf numFmtId="0" fontId="71" fillId="0" borderId="17" xfId="340" applyFont="1" applyBorder="1" applyAlignment="1"/>
    <xf numFmtId="3" fontId="74" fillId="0" borderId="0" xfId="0" applyNumberFormat="1" applyFont="1" applyBorder="1"/>
    <xf numFmtId="0" fontId="129" fillId="0" borderId="17" xfId="0" applyFont="1" applyBorder="1"/>
    <xf numFmtId="0" fontId="102" fillId="0" borderId="17" xfId="0" applyFont="1" applyBorder="1"/>
    <xf numFmtId="0" fontId="30" fillId="2" borderId="0" xfId="1" applyFont="1" applyFill="1" applyBorder="1" applyAlignment="1">
      <alignment wrapText="1"/>
    </xf>
    <xf numFmtId="0" fontId="125" fillId="0" borderId="0" xfId="0" applyFont="1" applyBorder="1"/>
    <xf numFmtId="0" fontId="74" fillId="0" borderId="17" xfId="340" applyFont="1" applyBorder="1" applyAlignment="1"/>
    <xf numFmtId="0" fontId="86" fillId="0" borderId="0" xfId="340" applyFont="1" applyBorder="1" applyAlignment="1"/>
    <xf numFmtId="0" fontId="130" fillId="55" borderId="0" xfId="0" applyFont="1" applyFill="1" applyBorder="1" applyAlignment="1">
      <alignment horizontal="right" vertical="center" wrapText="1"/>
    </xf>
    <xf numFmtId="0" fontId="77" fillId="0" borderId="17" xfId="340" applyFont="1" applyBorder="1"/>
    <xf numFmtId="0" fontId="79" fillId="0" borderId="18" xfId="340" applyFont="1" applyBorder="1"/>
    <xf numFmtId="0" fontId="30" fillId="0" borderId="0" xfId="1" applyFont="1" applyBorder="1" applyAlignment="1">
      <alignment wrapText="1"/>
    </xf>
    <xf numFmtId="4" fontId="0" fillId="36" borderId="0" xfId="0" applyNumberFormat="1" applyFill="1" applyBorder="1" applyAlignment="1">
      <alignment wrapText="1"/>
    </xf>
    <xf numFmtId="2" fontId="0" fillId="36" borderId="0" xfId="0" applyNumberFormat="1" applyFill="1" applyBorder="1" applyAlignment="1">
      <alignment wrapText="1"/>
    </xf>
    <xf numFmtId="1" fontId="0" fillId="36" borderId="0" xfId="0" applyNumberFormat="1" applyFill="1" applyBorder="1" applyAlignment="1">
      <alignment wrapText="1"/>
    </xf>
    <xf numFmtId="166" fontId="0" fillId="36" borderId="0" xfId="0" applyNumberFormat="1" applyFill="1" applyBorder="1" applyAlignment="1">
      <alignment wrapText="1"/>
    </xf>
    <xf numFmtId="0" fontId="49" fillId="36" borderId="0" xfId="1" applyFont="1" applyFill="1" applyBorder="1" applyAlignment="1">
      <alignment wrapText="1"/>
    </xf>
    <xf numFmtId="0" fontId="141" fillId="0" borderId="0" xfId="0" applyFont="1"/>
    <xf numFmtId="0" fontId="142" fillId="0" borderId="0" xfId="0" applyFont="1"/>
    <xf numFmtId="0" fontId="143" fillId="55" borderId="0" xfId="0" applyFont="1" applyFill="1" applyAlignment="1">
      <alignment horizontal="right" vertical="center" wrapText="1"/>
    </xf>
    <xf numFmtId="0" fontId="144" fillId="0" borderId="0" xfId="0" applyFont="1"/>
    <xf numFmtId="0" fontId="145" fillId="55" borderId="0" xfId="0" applyFont="1" applyFill="1" applyAlignment="1">
      <alignment horizontal="right" vertical="center" wrapText="1"/>
    </xf>
    <xf numFmtId="4" fontId="47" fillId="0" borderId="0" xfId="1" applyNumberFormat="1"/>
    <xf numFmtId="0" fontId="34" fillId="0" borderId="0" xfId="171"/>
    <xf numFmtId="0" fontId="117" fillId="0" borderId="0" xfId="625"/>
    <xf numFmtId="0" fontId="0" fillId="3" borderId="0" xfId="0" applyFill="1" applyBorder="1" applyAlignment="1">
      <alignment horizontal="left"/>
    </xf>
    <xf numFmtId="4" fontId="47" fillId="3" borderId="0" xfId="1" applyNumberFormat="1" applyFill="1" applyBorder="1"/>
    <xf numFmtId="166" fontId="47" fillId="3" borderId="0" xfId="1" applyNumberFormat="1" applyFill="1" applyBorder="1" applyAlignment="1">
      <alignment wrapText="1"/>
    </xf>
    <xf numFmtId="0" fontId="114" fillId="53" borderId="0" xfId="0" applyFont="1" applyFill="1" applyBorder="1"/>
    <xf numFmtId="0" fontId="71" fillId="53" borderId="0" xfId="340" applyFont="1" applyFill="1" applyBorder="1" applyAlignment="1"/>
    <xf numFmtId="0" fontId="102" fillId="53" borderId="0" xfId="0" applyFont="1" applyFill="1" applyBorder="1"/>
    <xf numFmtId="0" fontId="112" fillId="53" borderId="0" xfId="0" applyFont="1" applyFill="1" applyBorder="1" applyAlignment="1">
      <alignment horizontal="right" vertical="center" wrapText="1"/>
    </xf>
    <xf numFmtId="3" fontId="122" fillId="53" borderId="0" xfId="0" applyNumberFormat="1" applyFont="1" applyFill="1" applyAlignment="1">
      <alignment horizontal="right" vertical="center" wrapText="1"/>
    </xf>
    <xf numFmtId="0" fontId="108" fillId="53" borderId="0" xfId="0" applyFont="1" applyFill="1"/>
    <xf numFmtId="0" fontId="74" fillId="53" borderId="0" xfId="340" applyFont="1" applyFill="1" applyBorder="1" applyAlignment="1"/>
    <xf numFmtId="3" fontId="104" fillId="53" borderId="0" xfId="0" applyNumberFormat="1" applyFont="1" applyFill="1" applyBorder="1"/>
    <xf numFmtId="4" fontId="74" fillId="53" borderId="0" xfId="0" applyNumberFormat="1" applyFont="1" applyFill="1" applyBorder="1"/>
    <xf numFmtId="0" fontId="135" fillId="53" borderId="0" xfId="0" applyFont="1" applyFill="1" applyBorder="1"/>
    <xf numFmtId="0" fontId="121" fillId="53" borderId="0" xfId="0" applyFont="1" applyFill="1" applyBorder="1"/>
    <xf numFmtId="0" fontId="74" fillId="53" borderId="0" xfId="0" applyFont="1" applyFill="1" applyBorder="1"/>
    <xf numFmtId="0" fontId="71" fillId="53" borderId="0" xfId="340" applyFont="1" applyFill="1" applyAlignment="1"/>
    <xf numFmtId="0" fontId="131" fillId="53" borderId="0" xfId="0" applyFont="1" applyFill="1" applyBorder="1"/>
    <xf numFmtId="0" fontId="129" fillId="53" borderId="0" xfId="0" applyFont="1" applyFill="1"/>
    <xf numFmtId="0" fontId="129" fillId="53" borderId="0" xfId="0" applyFont="1" applyFill="1" applyBorder="1"/>
    <xf numFmtId="0" fontId="131" fillId="53" borderId="0" xfId="0" applyFont="1" applyFill="1"/>
    <xf numFmtId="0" fontId="102" fillId="53" borderId="0" xfId="0" applyFont="1" applyFill="1"/>
    <xf numFmtId="0" fontId="135" fillId="53" borderId="0" xfId="0" applyFont="1" applyFill="1"/>
    <xf numFmtId="0" fontId="125" fillId="53" borderId="0" xfId="0" applyFont="1" applyFill="1"/>
    <xf numFmtId="0" fontId="132" fillId="53" borderId="0" xfId="0" applyFont="1" applyFill="1"/>
    <xf numFmtId="0" fontId="102" fillId="53" borderId="17" xfId="0" applyFont="1" applyFill="1" applyBorder="1"/>
    <xf numFmtId="0" fontId="121" fillId="53" borderId="0" xfId="0" applyFont="1" applyFill="1"/>
    <xf numFmtId="4" fontId="74" fillId="53" borderId="0" xfId="0" applyNumberFormat="1" applyFont="1" applyFill="1"/>
    <xf numFmtId="3" fontId="74" fillId="53" borderId="0" xfId="0" applyNumberFormat="1" applyFont="1" applyFill="1" applyBorder="1"/>
    <xf numFmtId="0" fontId="74" fillId="53" borderId="17" xfId="340" applyFont="1" applyFill="1" applyBorder="1" applyAlignment="1"/>
    <xf numFmtId="4" fontId="74" fillId="53" borderId="0" xfId="0" applyNumberFormat="1" applyFont="1" applyFill="1" applyBorder="1" applyAlignment="1">
      <alignment horizontal="right" vertical="top" wrapText="1"/>
    </xf>
    <xf numFmtId="0" fontId="127" fillId="53" borderId="0" xfId="0" applyFont="1" applyFill="1"/>
    <xf numFmtId="0" fontId="134" fillId="53" borderId="0" xfId="0" applyFont="1" applyFill="1"/>
    <xf numFmtId="0" fontId="76" fillId="53" borderId="0" xfId="340" applyFont="1" applyFill="1" applyBorder="1"/>
    <xf numFmtId="0" fontId="78" fillId="53" borderId="0" xfId="340" applyFont="1" applyFill="1" applyBorder="1" applyAlignment="1"/>
    <xf numFmtId="0" fontId="101" fillId="53" borderId="0" xfId="0" applyFont="1" applyFill="1" applyBorder="1"/>
    <xf numFmtId="3" fontId="109" fillId="53" borderId="0" xfId="0" applyNumberFormat="1" applyFont="1" applyFill="1" applyBorder="1"/>
    <xf numFmtId="0" fontId="142" fillId="53" borderId="0" xfId="0" applyFont="1" applyFill="1"/>
    <xf numFmtId="0" fontId="140" fillId="53" borderId="0" xfId="0" applyFont="1" applyFill="1"/>
    <xf numFmtId="3" fontId="74" fillId="53" borderId="0" xfId="0" applyNumberFormat="1" applyFont="1" applyFill="1"/>
    <xf numFmtId="0" fontId="124" fillId="53" borderId="0" xfId="0" applyFont="1" applyFill="1" applyAlignment="1">
      <alignment horizontal="right" vertical="center" wrapText="1"/>
    </xf>
    <xf numFmtId="0" fontId="74" fillId="53" borderId="0" xfId="0" applyFont="1" applyFill="1" applyBorder="1" applyAlignment="1">
      <alignment horizontal="right" vertical="top" wrapText="1"/>
    </xf>
    <xf numFmtId="0" fontId="144" fillId="53" borderId="0" xfId="0" applyFont="1" applyFill="1"/>
    <xf numFmtId="0" fontId="71" fillId="59" borderId="0" xfId="340" applyFont="1" applyFill="1" applyAlignment="1"/>
    <xf numFmtId="0" fontId="133" fillId="59" borderId="0" xfId="0" applyFont="1" applyFill="1"/>
    <xf numFmtId="0" fontId="74" fillId="59" borderId="0" xfId="0" applyFont="1" applyFill="1"/>
    <xf numFmtId="0" fontId="79" fillId="59" borderId="0" xfId="340" applyFont="1" applyFill="1"/>
    <xf numFmtId="4" fontId="82" fillId="60" borderId="0" xfId="340" applyNumberFormat="1" applyFont="1" applyFill="1" applyAlignment="1">
      <alignment horizontal="right"/>
    </xf>
    <xf numFmtId="0" fontId="90" fillId="59" borderId="0" xfId="0" applyFont="1" applyFill="1"/>
    <xf numFmtId="3" fontId="71" fillId="59" borderId="0" xfId="340" applyNumberFormat="1" applyFont="1" applyFill="1" applyAlignment="1"/>
    <xf numFmtId="0" fontId="69" fillId="59" borderId="0" xfId="340" applyFont="1" applyFill="1"/>
    <xf numFmtId="4" fontId="74" fillId="59" borderId="0" xfId="340" applyNumberFormat="1" applyFont="1" applyFill="1" applyAlignment="1"/>
    <xf numFmtId="4" fontId="79" fillId="59" borderId="0" xfId="340" applyNumberFormat="1" applyFont="1" applyFill="1"/>
    <xf numFmtId="0" fontId="79" fillId="59" borderId="0" xfId="340" applyFont="1" applyFill="1" applyAlignment="1"/>
    <xf numFmtId="4" fontId="79" fillId="59" borderId="0" xfId="340" applyNumberFormat="1" applyFont="1" applyFill="1" applyAlignment="1"/>
    <xf numFmtId="0" fontId="82" fillId="60" borderId="0" xfId="340" applyFont="1" applyFill="1" applyAlignment="1">
      <alignment horizontal="right"/>
    </xf>
    <xf numFmtId="0" fontId="74" fillId="59" borderId="0" xfId="340" applyFont="1" applyFill="1" applyAlignment="1"/>
    <xf numFmtId="4" fontId="69" fillId="59" borderId="0" xfId="340" applyNumberFormat="1" applyFont="1" applyFill="1"/>
    <xf numFmtId="4" fontId="90" fillId="59" borderId="0" xfId="0" applyNumberFormat="1" applyFont="1" applyFill="1"/>
    <xf numFmtId="0" fontId="125" fillId="59" borderId="0" xfId="0" applyFont="1" applyFill="1"/>
    <xf numFmtId="3" fontId="132" fillId="59" borderId="0" xfId="0" applyNumberFormat="1" applyFont="1" applyFill="1"/>
    <xf numFmtId="0" fontId="101" fillId="59" borderId="0" xfId="0" applyFont="1" applyFill="1"/>
    <xf numFmtId="3" fontId="125" fillId="59" borderId="0" xfId="0" applyNumberFormat="1" applyFont="1" applyFill="1"/>
    <xf numFmtId="3" fontId="102" fillId="59" borderId="0" xfId="0" applyNumberFormat="1" applyFont="1" applyFill="1"/>
    <xf numFmtId="4" fontId="91" fillId="59" borderId="0" xfId="0" applyNumberFormat="1" applyFont="1" applyFill="1"/>
    <xf numFmtId="4" fontId="69" fillId="59" borderId="0" xfId="340" applyNumberFormat="1" applyFont="1" applyFill="1" applyAlignment="1"/>
    <xf numFmtId="0" fontId="69" fillId="59" borderId="0" xfId="340" applyFont="1" applyFill="1" applyAlignment="1"/>
    <xf numFmtId="0" fontId="121" fillId="59" borderId="0" xfId="0" applyFont="1" applyFill="1"/>
    <xf numFmtId="3" fontId="129" fillId="59" borderId="0" xfId="0" applyNumberFormat="1" applyFont="1" applyFill="1"/>
    <xf numFmtId="4" fontId="74" fillId="59" borderId="0" xfId="0" applyNumberFormat="1" applyFont="1" applyFill="1"/>
    <xf numFmtId="0" fontId="85" fillId="61" borderId="0" xfId="340" applyFont="1" applyFill="1" applyAlignment="1">
      <alignment horizontal="right"/>
    </xf>
    <xf numFmtId="4" fontId="71" fillId="59" borderId="0" xfId="340" applyNumberFormat="1" applyFont="1" applyFill="1" applyAlignment="1"/>
    <xf numFmtId="0" fontId="97" fillId="59" borderId="0" xfId="0" applyFont="1" applyFill="1"/>
    <xf numFmtId="0" fontId="83" fillId="62" borderId="0" xfId="340" applyFont="1" applyFill="1" applyAlignment="1">
      <alignment horizontal="right"/>
    </xf>
    <xf numFmtId="4" fontId="76" fillId="59" borderId="0" xfId="340" applyNumberFormat="1" applyFont="1" applyFill="1"/>
    <xf numFmtId="3" fontId="121" fillId="59" borderId="0" xfId="0" applyNumberFormat="1" applyFont="1" applyFill="1"/>
    <xf numFmtId="4" fontId="83" fillId="62" borderId="0" xfId="340" applyNumberFormat="1" applyFont="1" applyFill="1" applyAlignment="1">
      <alignment horizontal="right"/>
    </xf>
    <xf numFmtId="0" fontId="76" fillId="59" borderId="0" xfId="340" applyFont="1" applyFill="1" applyAlignment="1"/>
    <xf numFmtId="0" fontId="76" fillId="59" borderId="0" xfId="340" applyFont="1" applyFill="1"/>
    <xf numFmtId="3" fontId="116" fillId="59" borderId="0" xfId="0" applyNumberFormat="1" applyFont="1" applyFill="1"/>
    <xf numFmtId="0" fontId="75" fillId="59" borderId="0" xfId="340" applyFont="1" applyFill="1" applyAlignment="1"/>
    <xf numFmtId="4" fontId="75" fillId="59" borderId="0" xfId="340" applyNumberFormat="1" applyFont="1" applyFill="1" applyAlignment="1"/>
    <xf numFmtId="0" fontId="80" fillId="59" borderId="0" xfId="340" applyFont="1" applyFill="1" applyAlignment="1"/>
    <xf numFmtId="3" fontId="126" fillId="59" borderId="0" xfId="0" applyNumberFormat="1" applyFont="1" applyFill="1"/>
    <xf numFmtId="4" fontId="75" fillId="59" borderId="0" xfId="0" applyNumberFormat="1" applyFont="1" applyFill="1"/>
    <xf numFmtId="4" fontId="75" fillId="59" borderId="0" xfId="340" applyNumberFormat="1" applyFont="1" applyFill="1" applyAlignment="1">
      <alignment horizontal="right" vertical="center" wrapText="1"/>
    </xf>
    <xf numFmtId="0" fontId="86" fillId="59" borderId="0" xfId="340" applyFont="1" applyFill="1" applyAlignment="1"/>
    <xf numFmtId="0" fontId="0" fillId="63" borderId="0" xfId="0" applyFill="1"/>
    <xf numFmtId="0" fontId="146" fillId="0" borderId="0" xfId="0" applyFont="1"/>
    <xf numFmtId="0" fontId="147" fillId="55" borderId="0" xfId="0" applyFont="1" applyFill="1" applyAlignment="1">
      <alignment horizontal="right" vertical="center" wrapText="1"/>
    </xf>
    <xf numFmtId="3" fontId="146" fillId="0" borderId="0" xfId="0" applyNumberFormat="1" applyFont="1"/>
    <xf numFmtId="3" fontId="71" fillId="53" borderId="0" xfId="340" applyNumberFormat="1" applyFont="1" applyFill="1" applyAlignment="1"/>
    <xf numFmtId="3" fontId="147" fillId="55" borderId="0" xfId="0" applyNumberFormat="1" applyFont="1" applyFill="1" applyAlignment="1">
      <alignment horizontal="right" vertical="center" wrapText="1"/>
    </xf>
    <xf numFmtId="0" fontId="69" fillId="64" borderId="0" xfId="340" applyFont="1" applyFill="1" applyBorder="1"/>
    <xf numFmtId="0" fontId="0" fillId="63" borderId="0" xfId="0" applyFill="1" applyBorder="1"/>
    <xf numFmtId="0" fontId="71" fillId="63" borderId="0" xfId="340" applyFont="1" applyFill="1" applyBorder="1" applyAlignment="1"/>
    <xf numFmtId="0" fontId="0" fillId="63" borderId="2" xfId="0" applyFill="1" applyBorder="1"/>
    <xf numFmtId="0" fontId="69" fillId="64" borderId="0" xfId="340" applyFont="1" applyFill="1" applyBorder="1" applyAlignment="1"/>
    <xf numFmtId="0" fontId="148" fillId="0" borderId="0" xfId="0" applyFont="1"/>
    <xf numFmtId="0" fontId="0" fillId="0" borderId="4" xfId="0" applyBorder="1" applyAlignment="1">
      <alignment wrapText="1"/>
    </xf>
    <xf numFmtId="1" fontId="47" fillId="3" borderId="0" xfId="1" applyNumberFormat="1" applyFill="1" applyBorder="1" applyAlignment="1">
      <alignment wrapText="1"/>
    </xf>
    <xf numFmtId="0" fontId="0" fillId="63" borderId="0" xfId="0" applyFill="1" applyBorder="1" applyAlignment="1">
      <alignment wrapText="1"/>
    </xf>
    <xf numFmtId="0" fontId="69" fillId="64" borderId="3" xfId="340" applyFont="1" applyFill="1" applyBorder="1"/>
    <xf numFmtId="0" fontId="71" fillId="63" borderId="2" xfId="340" applyFont="1" applyFill="1" applyBorder="1" applyAlignment="1"/>
    <xf numFmtId="0" fontId="135" fillId="53" borderId="17" xfId="0" applyFont="1" applyFill="1" applyBorder="1"/>
    <xf numFmtId="0" fontId="74" fillId="53" borderId="17" xfId="0" applyFont="1" applyFill="1" applyBorder="1"/>
    <xf numFmtId="0" fontId="125" fillId="53" borderId="17" xfId="0" applyFont="1" applyFill="1" applyBorder="1"/>
    <xf numFmtId="0" fontId="139" fillId="53" borderId="0" xfId="0" applyFont="1" applyFill="1" applyBorder="1"/>
    <xf numFmtId="3" fontId="129" fillId="53" borderId="0" xfId="0" applyNumberFormat="1" applyFont="1" applyFill="1" applyBorder="1"/>
    <xf numFmtId="0" fontId="135" fillId="0" borderId="17" xfId="0" applyFont="1" applyBorder="1"/>
    <xf numFmtId="0" fontId="125" fillId="0" borderId="17" xfId="0" applyFont="1" applyBorder="1"/>
    <xf numFmtId="0" fontId="139" fillId="0" borderId="0" xfId="0" applyFont="1" applyBorder="1"/>
    <xf numFmtId="3" fontId="129" fillId="0" borderId="0" xfId="0" applyNumberFormat="1" applyFont="1" applyBorder="1"/>
    <xf numFmtId="3" fontId="74" fillId="0" borderId="17" xfId="0" applyNumberFormat="1" applyFont="1" applyBorder="1"/>
    <xf numFmtId="3" fontId="129" fillId="0" borderId="18" xfId="0" applyNumberFormat="1" applyFont="1" applyBorder="1"/>
    <xf numFmtId="0" fontId="121" fillId="0" borderId="17" xfId="0" applyFont="1" applyBorder="1"/>
    <xf numFmtId="3" fontId="111" fillId="0" borderId="17" xfId="0" applyNumberFormat="1" applyFont="1" applyBorder="1"/>
    <xf numFmtId="0" fontId="74" fillId="0" borderId="18" xfId="0" applyFont="1" applyBorder="1"/>
    <xf numFmtId="0" fontId="129" fillId="0" borderId="18" xfId="0" applyFont="1" applyBorder="1"/>
    <xf numFmtId="0" fontId="76" fillId="0" borderId="17" xfId="340" applyFont="1" applyBorder="1"/>
    <xf numFmtId="0" fontId="104" fillId="0" borderId="0" xfId="0" applyFont="1" applyBorder="1"/>
    <xf numFmtId="166" fontId="69" fillId="64" borderId="2" xfId="340" applyNumberFormat="1" applyFont="1" applyFill="1" applyBorder="1"/>
    <xf numFmtId="0" fontId="69" fillId="64" borderId="0" xfId="340" applyFont="1" applyFill="1"/>
    <xf numFmtId="0" fontId="69" fillId="64" borderId="2" xfId="340" applyFont="1" applyFill="1" applyBorder="1"/>
    <xf numFmtId="0" fontId="0" fillId="63" borderId="2" xfId="0" applyFill="1" applyBorder="1" applyAlignment="1">
      <alignment wrapText="1"/>
    </xf>
    <xf numFmtId="0" fontId="2" fillId="63" borderId="0" xfId="1" applyFont="1" applyFill="1" applyBorder="1" applyAlignment="1">
      <alignment wrapText="1"/>
    </xf>
    <xf numFmtId="0" fontId="0" fillId="36" borderId="0" xfId="0" applyFill="1"/>
    <xf numFmtId="166" fontId="69" fillId="64" borderId="0" xfId="340" applyNumberFormat="1" applyFont="1" applyFill="1" applyBorder="1"/>
    <xf numFmtId="0" fontId="0" fillId="63" borderId="3" xfId="0" applyFill="1" applyBorder="1" applyAlignment="1">
      <alignment wrapText="1"/>
    </xf>
    <xf numFmtId="0" fontId="0" fillId="63" borderId="5" xfId="0" applyFill="1" applyBorder="1" applyAlignment="1">
      <alignment wrapText="1"/>
    </xf>
    <xf numFmtId="0" fontId="71" fillId="63" borderId="5" xfId="340" applyFont="1" applyFill="1" applyBorder="1" applyAlignment="1"/>
    <xf numFmtId="0" fontId="71" fillId="63" borderId="0" xfId="340" applyFont="1" applyFill="1" applyAlignment="1"/>
    <xf numFmtId="0" fontId="6" fillId="63" borderId="0" xfId="1" applyFont="1" applyFill="1" applyBorder="1" applyAlignment="1">
      <alignment wrapText="1"/>
    </xf>
    <xf numFmtId="0" fontId="0" fillId="63" borderId="0" xfId="0" applyFill="1" applyBorder="1" applyAlignment="1">
      <alignment horizontal="left"/>
    </xf>
    <xf numFmtId="0" fontId="1" fillId="3" borderId="0" xfId="1" applyFont="1" applyFill="1" applyBorder="1" applyAlignment="1">
      <alignment wrapText="1"/>
    </xf>
    <xf numFmtId="1" fontId="149" fillId="0" borderId="0" xfId="0" applyNumberFormat="1" applyFont="1"/>
    <xf numFmtId="0" fontId="149" fillId="0" borderId="0" xfId="0" applyFont="1"/>
    <xf numFmtId="0" fontId="0" fillId="0" borderId="0" xfId="1" applyFont="1" applyBorder="1" applyAlignment="1">
      <alignment wrapText="1"/>
    </xf>
    <xf numFmtId="0" fontId="0" fillId="0" borderId="5" xfId="0" applyBorder="1" applyAlignment="1">
      <alignment wrapText="1"/>
    </xf>
    <xf numFmtId="0" fontId="73" fillId="0" borderId="0" xfId="0" applyFont="1" applyBorder="1" applyAlignment="1">
      <alignment horizontal="right" wrapText="1"/>
    </xf>
    <xf numFmtId="0" fontId="73" fillId="0" borderId="0" xfId="0" applyFont="1" applyBorder="1" applyAlignment="1">
      <alignment wrapText="1"/>
    </xf>
    <xf numFmtId="0" fontId="73" fillId="0" borderId="5" xfId="0" applyFont="1" applyBorder="1" applyAlignment="1">
      <alignment wrapText="1"/>
    </xf>
    <xf numFmtId="1" fontId="0" fillId="0" borderId="3" xfId="0" applyNumberFormat="1" applyBorder="1" applyAlignment="1">
      <alignment horizontal="left" vertical="center" wrapText="1"/>
    </xf>
    <xf numFmtId="1" fontId="0" fillId="0" borderId="5" xfId="0" applyNumberFormat="1" applyBorder="1" applyAlignment="1">
      <alignment horizontal="left" vertical="center" wrapText="1"/>
    </xf>
    <xf numFmtId="0" fontId="0" fillId="0" borderId="3" xfId="0" applyFill="1" applyBorder="1"/>
    <xf numFmtId="0" fontId="92" fillId="0" borderId="0" xfId="625" applyFont="1"/>
    <xf numFmtId="0" fontId="28" fillId="3" borderId="0" xfId="1" applyFont="1" applyFill="1" applyBorder="1" applyAlignment="1">
      <alignment wrapText="1"/>
    </xf>
    <xf numFmtId="4" fontId="0" fillId="3" borderId="0" xfId="0" applyNumberFormat="1" applyFill="1" applyBorder="1" applyAlignment="1">
      <alignment wrapText="1"/>
    </xf>
    <xf numFmtId="0" fontId="0" fillId="3" borderId="0" xfId="0" applyFill="1" applyBorder="1"/>
    <xf numFmtId="0" fontId="0" fillId="0" borderId="1" xfId="0" applyBorder="1"/>
    <xf numFmtId="0" fontId="47" fillId="36" borderId="5" xfId="1" applyFill="1" applyBorder="1" applyAlignment="1">
      <alignment wrapText="1"/>
    </xf>
    <xf numFmtId="0" fontId="0" fillId="2" borderId="2" xfId="0" applyFill="1" applyBorder="1" applyAlignment="1">
      <alignment wrapText="1"/>
    </xf>
    <xf numFmtId="0" fontId="4" fillId="3" borderId="3" xfId="1" applyFont="1" applyFill="1" applyBorder="1" applyAlignment="1">
      <alignment wrapText="1"/>
    </xf>
    <xf numFmtId="0" fontId="47" fillId="2" borderId="0" xfId="1" applyFill="1" applyBorder="1" applyAlignment="1">
      <alignment wrapText="1"/>
    </xf>
    <xf numFmtId="0" fontId="5" fillId="36" borderId="0" xfId="1" applyFont="1" applyFill="1" applyBorder="1" applyAlignment="1">
      <alignment wrapText="1"/>
    </xf>
    <xf numFmtId="0" fontId="0" fillId="0" borderId="16" xfId="0" applyBorder="1" applyAlignment="1">
      <alignment wrapText="1"/>
    </xf>
    <xf numFmtId="0" fontId="45" fillId="3" borderId="0" xfId="1" applyFont="1" applyFill="1" applyBorder="1" applyAlignment="1">
      <alignment wrapText="1"/>
    </xf>
    <xf numFmtId="4" fontId="47" fillId="2" borderId="3" xfId="1" applyNumberFormat="1" applyFill="1" applyBorder="1"/>
    <xf numFmtId="4" fontId="0" fillId="2" borderId="3" xfId="0" applyNumberFormat="1" applyFill="1" applyBorder="1" applyAlignment="1">
      <alignment wrapText="1"/>
    </xf>
    <xf numFmtId="4" fontId="0" fillId="36" borderId="3" xfId="0" applyNumberFormat="1" applyFill="1" applyBorder="1" applyAlignment="1">
      <alignment wrapText="1"/>
    </xf>
    <xf numFmtId="4" fontId="47" fillId="0" borderId="4" xfId="1" applyNumberFormat="1" applyBorder="1"/>
    <xf numFmtId="165" fontId="0" fillId="0" borderId="3" xfId="0" applyNumberFormat="1" applyBorder="1"/>
    <xf numFmtId="0" fontId="117" fillId="0" borderId="3" xfId="625" applyBorder="1"/>
    <xf numFmtId="3" fontId="149" fillId="0" borderId="0" xfId="0" applyNumberFormat="1" applyFont="1"/>
    <xf numFmtId="3" fontId="0" fillId="0" borderId="0" xfId="0" applyNumberFormat="1"/>
    <xf numFmtId="0" fontId="0" fillId="0" borderId="21" xfId="0" applyBorder="1" applyAlignment="1">
      <alignment wrapText="1"/>
    </xf>
    <xf numFmtId="0" fontId="6" fillId="3" borderId="21" xfId="1" applyFont="1" applyFill="1" applyBorder="1" applyAlignment="1">
      <alignment wrapText="1"/>
    </xf>
    <xf numFmtId="0" fontId="0" fillId="3" borderId="21" xfId="0" applyFill="1" applyBorder="1" applyAlignment="1">
      <alignment wrapText="1"/>
    </xf>
    <xf numFmtId="0" fontId="32" fillId="2" borderId="3" xfId="1" applyFont="1" applyFill="1" applyBorder="1" applyAlignment="1">
      <alignment wrapText="1"/>
    </xf>
    <xf numFmtId="0" fontId="21" fillId="2" borderId="3" xfId="1" applyFont="1" applyFill="1" applyBorder="1" applyAlignment="1">
      <alignment wrapText="1"/>
    </xf>
    <xf numFmtId="0" fontId="151" fillId="0" borderId="0" xfId="0" applyFont="1"/>
    <xf numFmtId="0" fontId="0" fillId="2" borderId="2" xfId="0" applyFill="1" applyBorder="1"/>
    <xf numFmtId="0" fontId="152" fillId="55" borderId="0" xfId="0" applyFont="1" applyFill="1" applyAlignment="1">
      <alignment horizontal="right" vertical="center" wrapText="1"/>
    </xf>
    <xf numFmtId="0" fontId="151" fillId="53" borderId="0" xfId="0" applyFont="1" applyFill="1"/>
    <xf numFmtId="3" fontId="71" fillId="0" borderId="0" xfId="340" applyNumberFormat="1" applyFont="1" applyAlignment="1"/>
    <xf numFmtId="3" fontId="69" fillId="0" borderId="0" xfId="340" applyNumberFormat="1" applyFont="1"/>
    <xf numFmtId="0" fontId="0" fillId="2" borderId="0" xfId="0" applyFill="1" applyAlignment="1">
      <alignment wrapText="1"/>
    </xf>
    <xf numFmtId="0" fontId="0" fillId="0" borderId="16" xfId="0" applyBorder="1"/>
    <xf numFmtId="0" fontId="30" fillId="0" borderId="3" xfId="1" applyFont="1" applyBorder="1" applyAlignment="1">
      <alignment wrapText="1"/>
    </xf>
    <xf numFmtId="2" fontId="0" fillId="0" borderId="4" xfId="0" applyNumberFormat="1" applyBorder="1" applyAlignment="1">
      <alignment wrapText="1"/>
    </xf>
    <xf numFmtId="166" fontId="0" fillId="0" borderId="4" xfId="0" applyNumberFormat="1" applyBorder="1" applyAlignment="1">
      <alignment wrapText="1"/>
    </xf>
    <xf numFmtId="2" fontId="0" fillId="0" borderId="4" xfId="0" applyNumberFormat="1" applyBorder="1"/>
    <xf numFmtId="0" fontId="47" fillId="0" borderId="4" xfId="1" applyBorder="1"/>
    <xf numFmtId="166" fontId="47" fillId="0" borderId="4" xfId="1" applyNumberFormat="1" applyBorder="1"/>
    <xf numFmtId="1" fontId="47" fillId="0" borderId="4" xfId="1" applyNumberFormat="1" applyBorder="1"/>
    <xf numFmtId="165" fontId="0" fillId="0" borderId="4" xfId="0" applyNumberFormat="1" applyBorder="1"/>
    <xf numFmtId="4" fontId="68" fillId="0" borderId="3" xfId="0" applyNumberFormat="1" applyFont="1" applyBorder="1"/>
    <xf numFmtId="167" fontId="46" fillId="0" borderId="3" xfId="0" applyNumberFormat="1" applyFont="1" applyBorder="1"/>
    <xf numFmtId="0" fontId="4" fillId="3" borderId="0" xfId="1" applyFont="1" applyFill="1" applyBorder="1" applyAlignment="1">
      <alignment wrapText="1"/>
    </xf>
    <xf numFmtId="0" fontId="0" fillId="2" borderId="0" xfId="0" applyFill="1" applyBorder="1"/>
    <xf numFmtId="0" fontId="28" fillId="3" borderId="3" xfId="1" applyFont="1" applyFill="1" applyBorder="1" applyAlignment="1">
      <alignment wrapText="1"/>
    </xf>
    <xf numFmtId="0" fontId="31" fillId="2" borderId="3" xfId="1" applyFont="1" applyFill="1" applyBorder="1" applyAlignment="1">
      <alignment wrapText="1"/>
    </xf>
    <xf numFmtId="0" fontId="32" fillId="2" borderId="2" xfId="1" applyFont="1" applyFill="1" applyBorder="1" applyAlignment="1">
      <alignment wrapText="1"/>
    </xf>
    <xf numFmtId="0" fontId="47" fillId="3" borderId="2" xfId="1" applyFill="1" applyBorder="1" applyAlignment="1">
      <alignment wrapText="1"/>
    </xf>
    <xf numFmtId="0" fontId="6" fillId="3" borderId="3" xfId="1" applyFont="1" applyFill="1" applyBorder="1" applyAlignment="1">
      <alignment wrapText="1"/>
    </xf>
    <xf numFmtId="2" fontId="0" fillId="36" borderId="3" xfId="0" applyNumberFormat="1" applyFill="1" applyBorder="1" applyAlignment="1">
      <alignment wrapText="1"/>
    </xf>
    <xf numFmtId="1" fontId="0" fillId="36" borderId="3" xfId="0" applyNumberFormat="1" applyFill="1" applyBorder="1" applyAlignment="1">
      <alignment wrapText="1"/>
    </xf>
    <xf numFmtId="166" fontId="0" fillId="36" borderId="3" xfId="0" applyNumberFormat="1" applyFill="1" applyBorder="1" applyAlignment="1">
      <alignment wrapText="1"/>
    </xf>
    <xf numFmtId="2" fontId="0" fillId="36" borderId="3" xfId="0" applyNumberFormat="1" applyFill="1" applyBorder="1"/>
    <xf numFmtId="0" fontId="47" fillId="36" borderId="3" xfId="1" applyFill="1" applyBorder="1" applyAlignment="1">
      <alignment wrapText="1"/>
    </xf>
    <xf numFmtId="166" fontId="47" fillId="36" borderId="3" xfId="1" applyNumberFormat="1" applyFill="1" applyBorder="1" applyAlignment="1">
      <alignment wrapText="1"/>
    </xf>
    <xf numFmtId="166" fontId="47" fillId="3" borderId="3" xfId="1" applyNumberFormat="1" applyFill="1" applyBorder="1" applyAlignment="1">
      <alignment wrapText="1"/>
    </xf>
    <xf numFmtId="1" fontId="47" fillId="36" borderId="3" xfId="1" applyNumberFormat="1" applyFill="1" applyBorder="1" applyAlignment="1">
      <alignment wrapText="1"/>
    </xf>
    <xf numFmtId="1" fontId="47" fillId="3" borderId="3" xfId="1" applyNumberFormat="1" applyFill="1" applyBorder="1" applyAlignment="1">
      <alignment wrapText="1"/>
    </xf>
    <xf numFmtId="1" fontId="0" fillId="36" borderId="3" xfId="0" applyNumberFormat="1" applyFill="1" applyBorder="1"/>
    <xf numFmtId="0" fontId="89" fillId="0" borderId="5" xfId="0" applyFont="1" applyBorder="1"/>
    <xf numFmtId="0" fontId="69" fillId="44" borderId="0" xfId="340" applyFont="1" applyFill="1" applyBorder="1" applyAlignment="1">
      <alignment horizontal="center"/>
    </xf>
    <xf numFmtId="0" fontId="72" fillId="0" borderId="0" xfId="340" applyFont="1" applyBorder="1"/>
    <xf numFmtId="0" fontId="69" fillId="45" borderId="0" xfId="340" applyFont="1" applyFill="1" applyBorder="1" applyAlignment="1">
      <alignment horizontal="center"/>
    </xf>
    <xf numFmtId="0" fontId="69" fillId="41" borderId="0" xfId="340" applyFont="1" applyFill="1" applyBorder="1" applyAlignment="1">
      <alignment horizontal="center"/>
    </xf>
    <xf numFmtId="0" fontId="69" fillId="38" borderId="0" xfId="340" applyFont="1" applyFill="1" applyBorder="1" applyAlignment="1">
      <alignment horizontal="center"/>
    </xf>
    <xf numFmtId="0" fontId="69" fillId="39" borderId="0" xfId="340" applyFont="1" applyFill="1" applyBorder="1" applyAlignment="1">
      <alignment horizontal="center"/>
    </xf>
    <xf numFmtId="0" fontId="69" fillId="40" borderId="0" xfId="340" applyFont="1" applyFill="1" applyBorder="1" applyAlignment="1">
      <alignment horizontal="center"/>
    </xf>
    <xf numFmtId="0" fontId="69" fillId="43" borderId="0" xfId="340" applyFont="1" applyFill="1" applyBorder="1" applyAlignment="1">
      <alignment horizontal="center"/>
    </xf>
  </cellXfs>
  <cellStyles count="651">
    <cellStyle name="20% - Accent1" xfId="19" builtinId="30" customBuiltin="1"/>
    <cellStyle name="20% - Accent1 10" xfId="159" xr:uid="{00000000-0005-0000-0000-000001000000}"/>
    <cellStyle name="20% - Accent1 11" xfId="173" xr:uid="{00000000-0005-0000-0000-000002000000}"/>
    <cellStyle name="20% - Accent1 12" xfId="187" xr:uid="{00000000-0005-0000-0000-000003000000}"/>
    <cellStyle name="20% - Accent1 13" xfId="202" xr:uid="{6991FC40-DA46-46D2-888B-C0E13054517A}"/>
    <cellStyle name="20% - Accent1 14" xfId="222" xr:uid="{C8C3C46D-F65A-412B-89CA-B63E7023811A}"/>
    <cellStyle name="20% - Accent1 15" xfId="242" xr:uid="{2B2D5954-D004-441E-B8A7-C317300793AA}"/>
    <cellStyle name="20% - Accent1 16" xfId="262" xr:uid="{F15A5C97-D9E4-4B36-BA67-93B4DDDD03E9}"/>
    <cellStyle name="20% - Accent1 17" xfId="282" xr:uid="{2A9FF3E0-9FE6-478C-8006-B7BA9615577D}"/>
    <cellStyle name="20% - Accent1 18" xfId="302" xr:uid="{F86197DE-884E-4D06-A2E5-6F40C67F077B}"/>
    <cellStyle name="20% - Accent1 19" xfId="322" xr:uid="{ED749BBA-A861-490B-9D26-35D083830B2D}"/>
    <cellStyle name="20% - Accent1 2" xfId="46" xr:uid="{00000000-0005-0000-0000-000004000000}"/>
    <cellStyle name="20% - Accent1 20" xfId="343" xr:uid="{16DF34EC-8F4F-4385-A6E1-F4317C0C2087}"/>
    <cellStyle name="20% - Accent1 21" xfId="363" xr:uid="{9153D252-3E04-4A84-B4E3-AE412BE20474}"/>
    <cellStyle name="20% - Accent1 22" xfId="383" xr:uid="{E5271B7E-FBAE-46F1-87DB-32A618146FC2}"/>
    <cellStyle name="20% - Accent1 23" xfId="403" xr:uid="{514687C3-DFF0-43F3-9468-BBC84117AFBE}"/>
    <cellStyle name="20% - Accent1 24" xfId="423" xr:uid="{08CA6D02-D316-4751-9B80-389704286F35}"/>
    <cellStyle name="20% - Accent1 25" xfId="443" xr:uid="{43F40F79-D8AB-448F-BCEF-5C4098945F53}"/>
    <cellStyle name="20% - Accent1 26" xfId="463" xr:uid="{C611E55A-76E6-419C-A4B3-6875E1BFC0D4}"/>
    <cellStyle name="20% - Accent1 27" xfId="483" xr:uid="{0FE8ADF6-D56B-4C1D-8C29-0A30E3B6DC2E}"/>
    <cellStyle name="20% - Accent1 28" xfId="503" xr:uid="{2027D05B-BE64-49B8-B500-00C940E7FD8F}"/>
    <cellStyle name="20% - Accent1 29" xfId="523" xr:uid="{EF013B84-4496-482C-86D0-1B9B2DD329D1}"/>
    <cellStyle name="20% - Accent1 3" xfId="60" xr:uid="{00000000-0005-0000-0000-000005000000}"/>
    <cellStyle name="20% - Accent1 30" xfId="543" xr:uid="{6368FA63-9320-4741-A457-D344F8A9F9E1}"/>
    <cellStyle name="20% - Accent1 31" xfId="563" xr:uid="{5C13988B-1448-48CD-B87D-993D89D6E6DE}"/>
    <cellStyle name="20% - Accent1 32" xfId="583" xr:uid="{E42B429C-0BCD-4BA0-B41E-CDB1B2721420}"/>
    <cellStyle name="20% - Accent1 33" xfId="603" xr:uid="{00A1C73E-4C7F-4205-A569-8D07AD50D7CA}"/>
    <cellStyle name="20% - Accent1 34" xfId="629" xr:uid="{C1B53800-48EE-41D4-A091-50C7E1042E4E}"/>
    <cellStyle name="20% - Accent1 4" xfId="75" xr:uid="{00000000-0005-0000-0000-000006000000}"/>
    <cellStyle name="20% - Accent1 5" xfId="89" xr:uid="{00000000-0005-0000-0000-000007000000}"/>
    <cellStyle name="20% - Accent1 6" xfId="103" xr:uid="{00000000-0005-0000-0000-000008000000}"/>
    <cellStyle name="20% - Accent1 7" xfId="117" xr:uid="{00000000-0005-0000-0000-000009000000}"/>
    <cellStyle name="20% - Accent1 8" xfId="131" xr:uid="{00000000-0005-0000-0000-00000A000000}"/>
    <cellStyle name="20% - Accent1 9" xfId="145" xr:uid="{00000000-0005-0000-0000-00000B000000}"/>
    <cellStyle name="20% - Accent2" xfId="23" builtinId="34" customBuiltin="1"/>
    <cellStyle name="20% - Accent2 10" xfId="161" xr:uid="{00000000-0005-0000-0000-00000D000000}"/>
    <cellStyle name="20% - Accent2 11" xfId="175" xr:uid="{00000000-0005-0000-0000-00000E000000}"/>
    <cellStyle name="20% - Accent2 12" xfId="189" xr:uid="{00000000-0005-0000-0000-00000F000000}"/>
    <cellStyle name="20% - Accent2 13" xfId="205" xr:uid="{6B7F2A1C-82F7-439B-9DE0-10343FC23FA7}"/>
    <cellStyle name="20% - Accent2 14" xfId="225" xr:uid="{3421956A-F2C3-4A62-825E-A08657AAB589}"/>
    <cellStyle name="20% - Accent2 15" xfId="245" xr:uid="{79865E29-4A5F-4B88-933D-B8B8667FE03C}"/>
    <cellStyle name="20% - Accent2 16" xfId="265" xr:uid="{23257A15-680B-4659-8066-2F9ECC2C01ED}"/>
    <cellStyle name="20% - Accent2 17" xfId="285" xr:uid="{337AE34B-FF84-406E-8D46-158DC8D0C754}"/>
    <cellStyle name="20% - Accent2 18" xfId="305" xr:uid="{0FBB1AA2-E47C-40EB-AFE2-4DFE59D9C683}"/>
    <cellStyle name="20% - Accent2 19" xfId="325" xr:uid="{9D8AC61C-39B9-403C-8315-4C25FA0DD99D}"/>
    <cellStyle name="20% - Accent2 2" xfId="48" xr:uid="{00000000-0005-0000-0000-000010000000}"/>
    <cellStyle name="20% - Accent2 20" xfId="346" xr:uid="{A2FE761A-0882-4455-997A-14F342556031}"/>
    <cellStyle name="20% - Accent2 21" xfId="366" xr:uid="{36A94EE7-1438-4E8A-A559-BFCB8F80B542}"/>
    <cellStyle name="20% - Accent2 22" xfId="386" xr:uid="{BADCD2F0-7588-4612-90ED-61AAF7C83DD5}"/>
    <cellStyle name="20% - Accent2 23" xfId="406" xr:uid="{6B0F289F-5E5A-4E30-9596-2123A7C4F497}"/>
    <cellStyle name="20% - Accent2 24" xfId="426" xr:uid="{28DEB66C-8FCD-4805-A953-9A281E1767AC}"/>
    <cellStyle name="20% - Accent2 25" xfId="446" xr:uid="{B1803137-6701-4A48-BE03-79C71FEC7914}"/>
    <cellStyle name="20% - Accent2 26" xfId="466" xr:uid="{6104460B-1EE6-490E-987F-E1395CE9691E}"/>
    <cellStyle name="20% - Accent2 27" xfId="486" xr:uid="{DA58D834-B63F-4692-9EAC-E0B81D956C30}"/>
    <cellStyle name="20% - Accent2 28" xfId="506" xr:uid="{48B33AF0-E5A6-4D35-B2F9-8C7E419C42D3}"/>
    <cellStyle name="20% - Accent2 29" xfId="526" xr:uid="{C72058DC-6764-47D2-AFEE-709C1EB2EF22}"/>
    <cellStyle name="20% - Accent2 3" xfId="62" xr:uid="{00000000-0005-0000-0000-000011000000}"/>
    <cellStyle name="20% - Accent2 30" xfId="546" xr:uid="{909282E5-032D-49B9-8E3C-D146B66BC8A7}"/>
    <cellStyle name="20% - Accent2 31" xfId="566" xr:uid="{3F924254-2944-4356-8C4C-B9A4C8E6B12B}"/>
    <cellStyle name="20% - Accent2 32" xfId="586" xr:uid="{A9794673-BEB0-47A6-81CA-87AD2646FEB9}"/>
    <cellStyle name="20% - Accent2 33" xfId="606" xr:uid="{B40F9EAC-4DF0-44E9-BF65-59D100492EFF}"/>
    <cellStyle name="20% - Accent2 34" xfId="632" xr:uid="{A7F3039E-96EE-4D2B-BEEC-54324295449B}"/>
    <cellStyle name="20% - Accent2 4" xfId="77" xr:uid="{00000000-0005-0000-0000-000012000000}"/>
    <cellStyle name="20% - Accent2 5" xfId="91" xr:uid="{00000000-0005-0000-0000-000013000000}"/>
    <cellStyle name="20% - Accent2 6" xfId="105" xr:uid="{00000000-0005-0000-0000-000014000000}"/>
    <cellStyle name="20% - Accent2 7" xfId="119" xr:uid="{00000000-0005-0000-0000-000015000000}"/>
    <cellStyle name="20% - Accent2 8" xfId="133" xr:uid="{00000000-0005-0000-0000-000016000000}"/>
    <cellStyle name="20% - Accent2 9" xfId="147" xr:uid="{00000000-0005-0000-0000-000017000000}"/>
    <cellStyle name="20% - Accent3" xfId="27" builtinId="38" customBuiltin="1"/>
    <cellStyle name="20% - Accent3 10" xfId="163" xr:uid="{00000000-0005-0000-0000-000019000000}"/>
    <cellStyle name="20% - Accent3 11" xfId="177" xr:uid="{00000000-0005-0000-0000-00001A000000}"/>
    <cellStyle name="20% - Accent3 12" xfId="191" xr:uid="{00000000-0005-0000-0000-00001B000000}"/>
    <cellStyle name="20% - Accent3 13" xfId="208" xr:uid="{D190E1B1-B666-4ECA-A463-5C993BF2D6A3}"/>
    <cellStyle name="20% - Accent3 14" xfId="228" xr:uid="{0A2C6EC3-BDE0-4EA7-9A2D-10664834E1CA}"/>
    <cellStyle name="20% - Accent3 15" xfId="248" xr:uid="{8A014D57-8A05-4ED6-AEAC-B0E041EEFC44}"/>
    <cellStyle name="20% - Accent3 16" xfId="268" xr:uid="{8A9EA2BA-A6D1-4146-9949-8BDFD2AA73D4}"/>
    <cellStyle name="20% - Accent3 17" xfId="288" xr:uid="{7943D8FD-44C5-4163-8704-281C6436FFF9}"/>
    <cellStyle name="20% - Accent3 18" xfId="308" xr:uid="{E6D3EA01-455E-417B-87EB-6357F948395D}"/>
    <cellStyle name="20% - Accent3 19" xfId="328" xr:uid="{001DB535-A6CE-451F-B4C3-32EE55EAC178}"/>
    <cellStyle name="20% - Accent3 2" xfId="50" xr:uid="{00000000-0005-0000-0000-00001C000000}"/>
    <cellStyle name="20% - Accent3 20" xfId="349" xr:uid="{F9AC5E98-5E0D-4D80-A3DB-A68D07F2DEB2}"/>
    <cellStyle name="20% - Accent3 21" xfId="369" xr:uid="{205C42B8-9802-486F-AF86-BEBC9C0ADB02}"/>
    <cellStyle name="20% - Accent3 22" xfId="389" xr:uid="{34DD2198-0A0F-47C1-AB7E-0ED0E106F0A2}"/>
    <cellStyle name="20% - Accent3 23" xfId="409" xr:uid="{9EC81887-BCD7-4DBC-A8ED-CB422F316E95}"/>
    <cellStyle name="20% - Accent3 24" xfId="429" xr:uid="{46F90AEC-27E9-4036-B2A7-D4A0F79564A4}"/>
    <cellStyle name="20% - Accent3 25" xfId="449" xr:uid="{7D4EA573-B41D-4393-93CF-0EA547097458}"/>
    <cellStyle name="20% - Accent3 26" xfId="469" xr:uid="{FE745DAA-10AB-47BB-8B86-2F9F682D443E}"/>
    <cellStyle name="20% - Accent3 27" xfId="489" xr:uid="{CFBCE115-9336-4B90-AF13-CCBB16C8BEB4}"/>
    <cellStyle name="20% - Accent3 28" xfId="509" xr:uid="{EEE3CC6B-5B64-42E6-AB13-5D5FC46EA732}"/>
    <cellStyle name="20% - Accent3 29" xfId="529" xr:uid="{3BCEFA37-79E5-47A2-9F2A-479C21072675}"/>
    <cellStyle name="20% - Accent3 3" xfId="64" xr:uid="{00000000-0005-0000-0000-00001D000000}"/>
    <cellStyle name="20% - Accent3 30" xfId="549" xr:uid="{2914D1BD-448E-4F50-9FD7-FDEFE6B05F7B}"/>
    <cellStyle name="20% - Accent3 31" xfId="569" xr:uid="{2C356E1E-1A68-43DE-9D3C-6D389733402E}"/>
    <cellStyle name="20% - Accent3 32" xfId="589" xr:uid="{62FED45F-1594-4CAB-A505-001F3DB17F58}"/>
    <cellStyle name="20% - Accent3 33" xfId="609" xr:uid="{0076937D-41ED-4A8E-83FF-3831853E10C8}"/>
    <cellStyle name="20% - Accent3 34" xfId="635" xr:uid="{2EFCBE57-7531-4CD2-94B5-C3255CB9DFCD}"/>
    <cellStyle name="20% - Accent3 4" xfId="79" xr:uid="{00000000-0005-0000-0000-00001E000000}"/>
    <cellStyle name="20% - Accent3 5" xfId="93" xr:uid="{00000000-0005-0000-0000-00001F000000}"/>
    <cellStyle name="20% - Accent3 6" xfId="107" xr:uid="{00000000-0005-0000-0000-000020000000}"/>
    <cellStyle name="20% - Accent3 7" xfId="121" xr:uid="{00000000-0005-0000-0000-000021000000}"/>
    <cellStyle name="20% - Accent3 8" xfId="135" xr:uid="{00000000-0005-0000-0000-000022000000}"/>
    <cellStyle name="20% - Accent3 9" xfId="149" xr:uid="{00000000-0005-0000-0000-000023000000}"/>
    <cellStyle name="20% - Accent4" xfId="31" builtinId="42" customBuiltin="1"/>
    <cellStyle name="20% - Accent4 10" xfId="165" xr:uid="{00000000-0005-0000-0000-000025000000}"/>
    <cellStyle name="20% - Accent4 11" xfId="179" xr:uid="{00000000-0005-0000-0000-000026000000}"/>
    <cellStyle name="20% - Accent4 12" xfId="193" xr:uid="{00000000-0005-0000-0000-000027000000}"/>
    <cellStyle name="20% - Accent4 13" xfId="211" xr:uid="{B7D5B9ED-A4F3-4CC6-9A6C-378F863C597D}"/>
    <cellStyle name="20% - Accent4 14" xfId="231" xr:uid="{1154BB0C-F79E-4848-9E8D-C38F98AEFE00}"/>
    <cellStyle name="20% - Accent4 15" xfId="251" xr:uid="{34D6BFAE-78E3-4C1A-9F30-7BC09E3623FC}"/>
    <cellStyle name="20% - Accent4 16" xfId="271" xr:uid="{C1190DD7-58C7-4DBB-BB51-13D9A67A8500}"/>
    <cellStyle name="20% - Accent4 17" xfId="291" xr:uid="{9F9D513E-6F6B-42BB-A260-73B63D6A529A}"/>
    <cellStyle name="20% - Accent4 18" xfId="311" xr:uid="{D2C83D56-D1B5-425B-9E5F-3A6A9181C219}"/>
    <cellStyle name="20% - Accent4 19" xfId="331" xr:uid="{1FFF8C01-76A5-45BC-A20F-5B0DA902768A}"/>
    <cellStyle name="20% - Accent4 2" xfId="52" xr:uid="{00000000-0005-0000-0000-000028000000}"/>
    <cellStyle name="20% - Accent4 20" xfId="352" xr:uid="{10B5BF16-44A1-451A-9E25-80D3AFDD1D04}"/>
    <cellStyle name="20% - Accent4 21" xfId="372" xr:uid="{2B7C1FBA-EE9E-494B-8D2C-EB934993787D}"/>
    <cellStyle name="20% - Accent4 22" xfId="392" xr:uid="{B0C736E0-A096-4B8C-A0AD-35967BA9CB05}"/>
    <cellStyle name="20% - Accent4 23" xfId="412" xr:uid="{E9B44E59-5E3A-4863-9D62-93606B1CE9F1}"/>
    <cellStyle name="20% - Accent4 24" xfId="432" xr:uid="{072D1CAE-DD02-44B2-AFF5-48087CE2047A}"/>
    <cellStyle name="20% - Accent4 25" xfId="452" xr:uid="{B6388EAC-2D0D-4044-8B6F-CE1E3C865C45}"/>
    <cellStyle name="20% - Accent4 26" xfId="472" xr:uid="{99B002C2-2F2E-487B-A4CC-7EB1188F4C1A}"/>
    <cellStyle name="20% - Accent4 27" xfId="492" xr:uid="{4FE6252F-910A-49D9-B491-C8E745C1458D}"/>
    <cellStyle name="20% - Accent4 28" xfId="512" xr:uid="{5D00671A-241D-49EF-B3A9-CE9F094BFF55}"/>
    <cellStyle name="20% - Accent4 29" xfId="532" xr:uid="{FBBE5130-21DB-4A3F-8119-7EF12F433E9E}"/>
    <cellStyle name="20% - Accent4 3" xfId="66" xr:uid="{00000000-0005-0000-0000-000029000000}"/>
    <cellStyle name="20% - Accent4 30" xfId="552" xr:uid="{FE6BDF21-D793-4B9F-A817-E1F01481DC22}"/>
    <cellStyle name="20% - Accent4 31" xfId="572" xr:uid="{1D3AB007-F496-4434-B52D-AD26BD767F5A}"/>
    <cellStyle name="20% - Accent4 32" xfId="592" xr:uid="{0BC89A05-BA79-43B6-ADC1-9ABFF2C77DDB}"/>
    <cellStyle name="20% - Accent4 33" xfId="612" xr:uid="{F7FD25C7-EFD1-439B-B0BB-1C51D3781413}"/>
    <cellStyle name="20% - Accent4 34" xfId="638" xr:uid="{5BC6300B-97B1-4FA6-A424-CBD84150ED80}"/>
    <cellStyle name="20% - Accent4 4" xfId="81" xr:uid="{00000000-0005-0000-0000-00002A000000}"/>
    <cellStyle name="20% - Accent4 5" xfId="95" xr:uid="{00000000-0005-0000-0000-00002B000000}"/>
    <cellStyle name="20% - Accent4 6" xfId="109" xr:uid="{00000000-0005-0000-0000-00002C000000}"/>
    <cellStyle name="20% - Accent4 7" xfId="123" xr:uid="{00000000-0005-0000-0000-00002D000000}"/>
    <cellStyle name="20% - Accent4 8" xfId="137" xr:uid="{00000000-0005-0000-0000-00002E000000}"/>
    <cellStyle name="20% - Accent4 9" xfId="151" xr:uid="{00000000-0005-0000-0000-00002F000000}"/>
    <cellStyle name="20% - Accent5" xfId="35" builtinId="46" customBuiltin="1"/>
    <cellStyle name="20% - Accent5 10" xfId="167" xr:uid="{00000000-0005-0000-0000-000031000000}"/>
    <cellStyle name="20% - Accent5 11" xfId="181" xr:uid="{00000000-0005-0000-0000-000032000000}"/>
    <cellStyle name="20% - Accent5 12" xfId="195" xr:uid="{00000000-0005-0000-0000-000033000000}"/>
    <cellStyle name="20% - Accent5 13" xfId="214" xr:uid="{B1E508D7-1442-43E2-A40F-4D20F5E6E421}"/>
    <cellStyle name="20% - Accent5 14" xfId="234" xr:uid="{55381CBB-37CC-4ED1-A0DC-76CAA24A779A}"/>
    <cellStyle name="20% - Accent5 15" xfId="254" xr:uid="{315C9E18-1EFA-4A38-8EF5-4357398EA138}"/>
    <cellStyle name="20% - Accent5 16" xfId="274" xr:uid="{94A3ABD3-869D-4D42-8941-C34C78288BC4}"/>
    <cellStyle name="20% - Accent5 17" xfId="294" xr:uid="{168E01C9-9899-4F3B-932F-D659B117A8A4}"/>
    <cellStyle name="20% - Accent5 18" xfId="314" xr:uid="{B0300C3D-500B-4AA2-931D-55F038B6034D}"/>
    <cellStyle name="20% - Accent5 19" xfId="334" xr:uid="{DDA498CA-2EAF-449B-BEAE-7BCCAE5BF31E}"/>
    <cellStyle name="20% - Accent5 2" xfId="54" xr:uid="{00000000-0005-0000-0000-000034000000}"/>
    <cellStyle name="20% - Accent5 20" xfId="355" xr:uid="{7647A7CC-EFB3-49B3-A11F-5FB28C943E52}"/>
    <cellStyle name="20% - Accent5 21" xfId="375" xr:uid="{7A96258A-72BB-4FEE-A914-B239ACEDE3D6}"/>
    <cellStyle name="20% - Accent5 22" xfId="395" xr:uid="{FC6593C3-1C14-4BBD-B73C-C4CEAE8CFF55}"/>
    <cellStyle name="20% - Accent5 23" xfId="415" xr:uid="{A6FB5EE4-A9E1-48A6-B25F-F45FCAA44905}"/>
    <cellStyle name="20% - Accent5 24" xfId="435" xr:uid="{825B12D1-7247-4310-80D8-294BB49434A4}"/>
    <cellStyle name="20% - Accent5 25" xfId="455" xr:uid="{C5801277-6C1B-4C73-BA2F-29435F0FF7FE}"/>
    <cellStyle name="20% - Accent5 26" xfId="475" xr:uid="{5D9C04FD-A55F-41FB-A9FD-7552F50943F8}"/>
    <cellStyle name="20% - Accent5 27" xfId="495" xr:uid="{526F82C7-BA84-4F4B-8A63-DB9623152AF9}"/>
    <cellStyle name="20% - Accent5 28" xfId="515" xr:uid="{0377CF98-9402-4916-8B38-9BB0442D54BF}"/>
    <cellStyle name="20% - Accent5 29" xfId="535" xr:uid="{DAC384AA-FB10-4E59-B2E3-A77F8750766B}"/>
    <cellStyle name="20% - Accent5 3" xfId="68" xr:uid="{00000000-0005-0000-0000-000035000000}"/>
    <cellStyle name="20% - Accent5 30" xfId="555" xr:uid="{9FA027D5-6FD8-4B3A-AB87-9352256F12C1}"/>
    <cellStyle name="20% - Accent5 31" xfId="575" xr:uid="{0E367EEF-1248-4F0F-8CE6-E7B9A998B44C}"/>
    <cellStyle name="20% - Accent5 32" xfId="595" xr:uid="{B934878A-E3B8-45F5-8DB7-EDCA9C8ACF8E}"/>
    <cellStyle name="20% - Accent5 33" xfId="615" xr:uid="{D15733E2-E6B8-4A10-8A20-BA286A37B809}"/>
    <cellStyle name="20% - Accent5 34" xfId="641" xr:uid="{C0AF6404-5537-404B-A29B-C874D8A3A803}"/>
    <cellStyle name="20% - Accent5 4" xfId="83" xr:uid="{00000000-0005-0000-0000-000036000000}"/>
    <cellStyle name="20% - Accent5 5" xfId="97" xr:uid="{00000000-0005-0000-0000-000037000000}"/>
    <cellStyle name="20% - Accent5 6" xfId="111" xr:uid="{00000000-0005-0000-0000-000038000000}"/>
    <cellStyle name="20% - Accent5 7" xfId="125" xr:uid="{00000000-0005-0000-0000-000039000000}"/>
    <cellStyle name="20% - Accent5 8" xfId="139" xr:uid="{00000000-0005-0000-0000-00003A000000}"/>
    <cellStyle name="20% - Accent5 9" xfId="153" xr:uid="{00000000-0005-0000-0000-00003B000000}"/>
    <cellStyle name="20% - Accent6" xfId="39" builtinId="50" customBuiltin="1"/>
    <cellStyle name="20% - Accent6 10" xfId="169" xr:uid="{00000000-0005-0000-0000-00003D000000}"/>
    <cellStyle name="20% - Accent6 11" xfId="183" xr:uid="{00000000-0005-0000-0000-00003E000000}"/>
    <cellStyle name="20% - Accent6 12" xfId="197" xr:uid="{00000000-0005-0000-0000-00003F000000}"/>
    <cellStyle name="20% - Accent6 13" xfId="217" xr:uid="{AECCB8BF-0032-46DB-B41C-D9CFAF251CD8}"/>
    <cellStyle name="20% - Accent6 14" xfId="237" xr:uid="{3EAD979C-1CA3-4A32-BE58-5B3BFEBAE79B}"/>
    <cellStyle name="20% - Accent6 15" xfId="257" xr:uid="{D0066B86-A99D-4D21-A70C-F0923F65148F}"/>
    <cellStyle name="20% - Accent6 16" xfId="277" xr:uid="{6C6DEC2D-841F-4CB2-815B-724940790E31}"/>
    <cellStyle name="20% - Accent6 17" xfId="297" xr:uid="{053494CD-64D6-4DB6-A6CD-70BD19C6186D}"/>
    <cellStyle name="20% - Accent6 18" xfId="317" xr:uid="{AF378BA5-5CA6-4265-967A-CC396661AE11}"/>
    <cellStyle name="20% - Accent6 19" xfId="337" xr:uid="{67FF2BB8-A5E1-44D6-971F-62A1571CE96C}"/>
    <cellStyle name="20% - Accent6 2" xfId="56" xr:uid="{00000000-0005-0000-0000-000040000000}"/>
    <cellStyle name="20% - Accent6 20" xfId="358" xr:uid="{02BCE91E-D5ED-4E44-96F0-95CA76530241}"/>
    <cellStyle name="20% - Accent6 21" xfId="378" xr:uid="{7FAA5821-7DD7-4918-8BC4-D674629D8A99}"/>
    <cellStyle name="20% - Accent6 22" xfId="398" xr:uid="{1A61FC97-72FB-4CEE-A012-9BC209B3D88A}"/>
    <cellStyle name="20% - Accent6 23" xfId="418" xr:uid="{A279D9A8-B3E9-474E-84E7-D0CEB36DB789}"/>
    <cellStyle name="20% - Accent6 24" xfId="438" xr:uid="{F31C2C06-971B-4148-9C5C-3E887DB541D2}"/>
    <cellStyle name="20% - Accent6 25" xfId="458" xr:uid="{2B87E857-8EC7-497A-BC6B-AF57ACA9DD78}"/>
    <cellStyle name="20% - Accent6 26" xfId="478" xr:uid="{6DEB2658-8B8A-4412-9501-7125B3D64A52}"/>
    <cellStyle name="20% - Accent6 27" xfId="498" xr:uid="{78F0A636-100F-4D2F-ADC0-42875084BA05}"/>
    <cellStyle name="20% - Accent6 28" xfId="518" xr:uid="{D35C932A-7255-4B84-8441-E97B5BA11285}"/>
    <cellStyle name="20% - Accent6 29" xfId="538" xr:uid="{30DA0946-20FC-41EE-BA9F-94F63A3718EE}"/>
    <cellStyle name="20% - Accent6 3" xfId="70" xr:uid="{00000000-0005-0000-0000-000041000000}"/>
    <cellStyle name="20% - Accent6 30" xfId="558" xr:uid="{72F5D31D-FDDF-4FD7-9025-B1B99507F06D}"/>
    <cellStyle name="20% - Accent6 31" xfId="578" xr:uid="{5CF27A45-C284-4E05-B8C8-A864D10D9B6B}"/>
    <cellStyle name="20% - Accent6 32" xfId="598" xr:uid="{B9FE3851-BE4B-4E1E-8BD1-D0AA87EBEFF3}"/>
    <cellStyle name="20% - Accent6 33" xfId="618" xr:uid="{410E6B69-D640-44ED-92F5-1C5EFA256DE7}"/>
    <cellStyle name="20% - Accent6 34" xfId="644" xr:uid="{B55603FB-6ACC-4CD9-80BA-9C19EC924A18}"/>
    <cellStyle name="20% - Accent6 4" xfId="85" xr:uid="{00000000-0005-0000-0000-000042000000}"/>
    <cellStyle name="20% - Accent6 5" xfId="99" xr:uid="{00000000-0005-0000-0000-000043000000}"/>
    <cellStyle name="20% - Accent6 6" xfId="113" xr:uid="{00000000-0005-0000-0000-000044000000}"/>
    <cellStyle name="20% - Accent6 7" xfId="127" xr:uid="{00000000-0005-0000-0000-000045000000}"/>
    <cellStyle name="20% - Accent6 8" xfId="141" xr:uid="{00000000-0005-0000-0000-000046000000}"/>
    <cellStyle name="20% - Accent6 9" xfId="155" xr:uid="{00000000-0005-0000-0000-000047000000}"/>
    <cellStyle name="40% - Accent1" xfId="20" builtinId="31" customBuiltin="1"/>
    <cellStyle name="40% - Accent1 10" xfId="160" xr:uid="{00000000-0005-0000-0000-000049000000}"/>
    <cellStyle name="40% - Accent1 11" xfId="174" xr:uid="{00000000-0005-0000-0000-00004A000000}"/>
    <cellStyle name="40% - Accent1 12" xfId="188" xr:uid="{00000000-0005-0000-0000-00004B000000}"/>
    <cellStyle name="40% - Accent1 13" xfId="203" xr:uid="{4FB381D0-E7F8-4196-9A6B-B4D716581888}"/>
    <cellStyle name="40% - Accent1 14" xfId="223" xr:uid="{4106B04D-BAB8-4E76-994B-DB4432DEA802}"/>
    <cellStyle name="40% - Accent1 15" xfId="243" xr:uid="{9FB8FBE1-1893-4F38-A01C-99B779F6B9D8}"/>
    <cellStyle name="40% - Accent1 16" xfId="263" xr:uid="{8F9BAC5D-51B9-4015-8BDF-0E6D89617AD2}"/>
    <cellStyle name="40% - Accent1 17" xfId="283" xr:uid="{006967F1-FFDB-4F72-9C56-C8FED7122ED5}"/>
    <cellStyle name="40% - Accent1 18" xfId="303" xr:uid="{F5B3E8D3-F25C-4729-A1A2-81ADFAD3D1B3}"/>
    <cellStyle name="40% - Accent1 19" xfId="323" xr:uid="{6BF21A57-7DCC-482D-87AC-7C9482147B25}"/>
    <cellStyle name="40% - Accent1 2" xfId="47" xr:uid="{00000000-0005-0000-0000-00004C000000}"/>
    <cellStyle name="40% - Accent1 20" xfId="344" xr:uid="{32B4B527-99F5-45BE-920D-E3C8BC0475ED}"/>
    <cellStyle name="40% - Accent1 21" xfId="364" xr:uid="{A0ADDCCC-3C6F-417A-B728-25223FC9120C}"/>
    <cellStyle name="40% - Accent1 22" xfId="384" xr:uid="{0401A072-8921-4AB3-9041-090751843230}"/>
    <cellStyle name="40% - Accent1 23" xfId="404" xr:uid="{60767CB5-889D-46F9-B598-3DD3EDFC2052}"/>
    <cellStyle name="40% - Accent1 24" xfId="424" xr:uid="{3EE4F2D9-38EE-409C-A257-6474C0CEA924}"/>
    <cellStyle name="40% - Accent1 25" xfId="444" xr:uid="{4B16B036-75AA-4B75-91CB-CFAB4CD0E44A}"/>
    <cellStyle name="40% - Accent1 26" xfId="464" xr:uid="{9D0BE56F-C67E-4D18-8700-0DD452EA9462}"/>
    <cellStyle name="40% - Accent1 27" xfId="484" xr:uid="{DAB7A0B6-C135-4449-AF16-3163D1E6078E}"/>
    <cellStyle name="40% - Accent1 28" xfId="504" xr:uid="{D9ABBB9E-5C2A-4739-AD3F-57D450470E09}"/>
    <cellStyle name="40% - Accent1 29" xfId="524" xr:uid="{49AE48F7-0600-4A45-A50C-83B0BCD0C077}"/>
    <cellStyle name="40% - Accent1 3" xfId="61" xr:uid="{00000000-0005-0000-0000-00004D000000}"/>
    <cellStyle name="40% - Accent1 30" xfId="544" xr:uid="{7DA82AD7-9BCC-4E27-A10E-A3B38E5A960A}"/>
    <cellStyle name="40% - Accent1 31" xfId="564" xr:uid="{BBA16B01-D3B6-4789-89DA-68546035F939}"/>
    <cellStyle name="40% - Accent1 32" xfId="584" xr:uid="{1CF2159D-F4F2-4100-82C5-A0065E8411E1}"/>
    <cellStyle name="40% - Accent1 33" xfId="604" xr:uid="{C1B78C84-FFA7-4810-B080-80FDBA43209C}"/>
    <cellStyle name="40% - Accent1 34" xfId="630" xr:uid="{6D57259F-D04C-49F6-8583-8781EEBC08EB}"/>
    <cellStyle name="40% - Accent1 4" xfId="76" xr:uid="{00000000-0005-0000-0000-00004E000000}"/>
    <cellStyle name="40% - Accent1 5" xfId="90" xr:uid="{00000000-0005-0000-0000-00004F000000}"/>
    <cellStyle name="40% - Accent1 6" xfId="104" xr:uid="{00000000-0005-0000-0000-000050000000}"/>
    <cellStyle name="40% - Accent1 7" xfId="118" xr:uid="{00000000-0005-0000-0000-000051000000}"/>
    <cellStyle name="40% - Accent1 8" xfId="132" xr:uid="{00000000-0005-0000-0000-000052000000}"/>
    <cellStyle name="40% - Accent1 9" xfId="146" xr:uid="{00000000-0005-0000-0000-000053000000}"/>
    <cellStyle name="40% - Accent2" xfId="24" builtinId="35" customBuiltin="1"/>
    <cellStyle name="40% - Accent2 10" xfId="162" xr:uid="{00000000-0005-0000-0000-000055000000}"/>
    <cellStyle name="40% - Accent2 11" xfId="176" xr:uid="{00000000-0005-0000-0000-000056000000}"/>
    <cellStyle name="40% - Accent2 12" xfId="190" xr:uid="{00000000-0005-0000-0000-000057000000}"/>
    <cellStyle name="40% - Accent2 13" xfId="206" xr:uid="{F917E703-94FF-497E-819E-4AECAD422B56}"/>
    <cellStyle name="40% - Accent2 14" xfId="226" xr:uid="{6BD50ED3-23A0-46A2-89D6-A72AABE6DDAA}"/>
    <cellStyle name="40% - Accent2 15" xfId="246" xr:uid="{535D7C3D-6ABD-4830-BDB1-A858FDAA6072}"/>
    <cellStyle name="40% - Accent2 16" xfId="266" xr:uid="{B3354E5F-6693-44E6-AFA4-49897300A0C1}"/>
    <cellStyle name="40% - Accent2 17" xfId="286" xr:uid="{0CBD8588-1499-4CD5-93A9-F26980B30697}"/>
    <cellStyle name="40% - Accent2 18" xfId="306" xr:uid="{159C6E6F-CCB0-49E4-83D2-3A6F1EA8A0BB}"/>
    <cellStyle name="40% - Accent2 19" xfId="326" xr:uid="{6E5BE151-3078-4E36-9102-95AB3C0FDEB1}"/>
    <cellStyle name="40% - Accent2 2" xfId="49" xr:uid="{00000000-0005-0000-0000-000058000000}"/>
    <cellStyle name="40% - Accent2 20" xfId="347" xr:uid="{EDECEFCC-4161-4344-A00E-D63929F8B022}"/>
    <cellStyle name="40% - Accent2 21" xfId="367" xr:uid="{CA1CA1C2-8114-4DE5-9647-2C5AA928FC3D}"/>
    <cellStyle name="40% - Accent2 22" xfId="387" xr:uid="{F56DCBED-9269-4C87-A743-5F4C3B37D0C0}"/>
    <cellStyle name="40% - Accent2 23" xfId="407" xr:uid="{A5D45DC9-2893-4834-A9B9-CCDFDA6AD896}"/>
    <cellStyle name="40% - Accent2 24" xfId="427" xr:uid="{3C312290-3956-4B1C-8CB4-3A8F02F6764D}"/>
    <cellStyle name="40% - Accent2 25" xfId="447" xr:uid="{67C3A8D6-1D20-4DF3-8817-58501D2C8E5D}"/>
    <cellStyle name="40% - Accent2 26" xfId="467" xr:uid="{BC5CA65A-5B84-4244-A8F0-298EDDBCEBA9}"/>
    <cellStyle name="40% - Accent2 27" xfId="487" xr:uid="{8AA47C4C-0A90-48BC-B274-713607395EAC}"/>
    <cellStyle name="40% - Accent2 28" xfId="507" xr:uid="{63976589-07E1-4373-BA0D-E336F8709B6C}"/>
    <cellStyle name="40% - Accent2 29" xfId="527" xr:uid="{6973F419-4AD9-468F-A17E-2C553EE5F4C7}"/>
    <cellStyle name="40% - Accent2 3" xfId="63" xr:uid="{00000000-0005-0000-0000-000059000000}"/>
    <cellStyle name="40% - Accent2 30" xfId="547" xr:uid="{C9DAA26D-57CC-4BF5-8434-DB4D2E6F5803}"/>
    <cellStyle name="40% - Accent2 31" xfId="567" xr:uid="{523D6A2F-D4F3-430E-8BE9-D47B6669C38D}"/>
    <cellStyle name="40% - Accent2 32" xfId="587" xr:uid="{00859C23-EE9F-41EF-AFA4-983136DA967B}"/>
    <cellStyle name="40% - Accent2 33" xfId="607" xr:uid="{68A71CD7-19B8-44F9-AA2C-07659716CF64}"/>
    <cellStyle name="40% - Accent2 34" xfId="633" xr:uid="{0467186D-55C4-46F2-A594-EFC3BA57539E}"/>
    <cellStyle name="40% - Accent2 4" xfId="78" xr:uid="{00000000-0005-0000-0000-00005A000000}"/>
    <cellStyle name="40% - Accent2 5" xfId="92" xr:uid="{00000000-0005-0000-0000-00005B000000}"/>
    <cellStyle name="40% - Accent2 6" xfId="106" xr:uid="{00000000-0005-0000-0000-00005C000000}"/>
    <cellStyle name="40% - Accent2 7" xfId="120" xr:uid="{00000000-0005-0000-0000-00005D000000}"/>
    <cellStyle name="40% - Accent2 8" xfId="134" xr:uid="{00000000-0005-0000-0000-00005E000000}"/>
    <cellStyle name="40% - Accent2 9" xfId="148" xr:uid="{00000000-0005-0000-0000-00005F000000}"/>
    <cellStyle name="40% - Accent3" xfId="28" builtinId="39" customBuiltin="1"/>
    <cellStyle name="40% - Accent3 10" xfId="164" xr:uid="{00000000-0005-0000-0000-000061000000}"/>
    <cellStyle name="40% - Accent3 11" xfId="178" xr:uid="{00000000-0005-0000-0000-000062000000}"/>
    <cellStyle name="40% - Accent3 12" xfId="192" xr:uid="{00000000-0005-0000-0000-000063000000}"/>
    <cellStyle name="40% - Accent3 13" xfId="209" xr:uid="{CDF666F0-2502-41CB-B9E2-2E5B654189B9}"/>
    <cellStyle name="40% - Accent3 14" xfId="229" xr:uid="{504694C5-6ED6-4EAD-8D3F-F29A567878ED}"/>
    <cellStyle name="40% - Accent3 15" xfId="249" xr:uid="{9CC6AB75-FD67-4408-BFDF-46CB31703A23}"/>
    <cellStyle name="40% - Accent3 16" xfId="269" xr:uid="{1AED7D63-AF9A-4AFB-96FD-2128CAE8CAAB}"/>
    <cellStyle name="40% - Accent3 17" xfId="289" xr:uid="{E143CE32-0C8D-47F3-AFA8-C19B348E91CA}"/>
    <cellStyle name="40% - Accent3 18" xfId="309" xr:uid="{3E39E80F-AE5C-49B6-AE7E-25408F9D8CA5}"/>
    <cellStyle name="40% - Accent3 19" xfId="329" xr:uid="{48667D29-67E4-4EEE-969A-2051B79A013D}"/>
    <cellStyle name="40% - Accent3 2" xfId="51" xr:uid="{00000000-0005-0000-0000-000064000000}"/>
    <cellStyle name="40% - Accent3 20" xfId="350" xr:uid="{0C57DF99-ECFD-4D21-A0B3-E47061B666FA}"/>
    <cellStyle name="40% - Accent3 21" xfId="370" xr:uid="{9CA072D5-AC92-4721-8C7E-C2BA0DBECAFD}"/>
    <cellStyle name="40% - Accent3 22" xfId="390" xr:uid="{AAF72E1D-2CF7-4722-A2A3-A54CC2B00A5B}"/>
    <cellStyle name="40% - Accent3 23" xfId="410" xr:uid="{FD0430BB-A72A-44DE-950D-CB19F7E2EEF1}"/>
    <cellStyle name="40% - Accent3 24" xfId="430" xr:uid="{61A72995-09E7-470C-92E8-C8A7A2311BCC}"/>
    <cellStyle name="40% - Accent3 25" xfId="450" xr:uid="{32A80B6F-CC23-4949-B501-6D3ABA0BDCE6}"/>
    <cellStyle name="40% - Accent3 26" xfId="470" xr:uid="{5062B13D-127A-44D6-9698-66F9A1646F45}"/>
    <cellStyle name="40% - Accent3 27" xfId="490" xr:uid="{F4C119D7-3FCA-4CA4-9AEC-DE9806AD389E}"/>
    <cellStyle name="40% - Accent3 28" xfId="510" xr:uid="{15DFEE75-3369-483F-9712-1A63F3B0D61B}"/>
    <cellStyle name="40% - Accent3 29" xfId="530" xr:uid="{BD59F585-A239-4950-BD8D-0391356CCDA5}"/>
    <cellStyle name="40% - Accent3 3" xfId="65" xr:uid="{00000000-0005-0000-0000-000065000000}"/>
    <cellStyle name="40% - Accent3 30" xfId="550" xr:uid="{3C3178D6-845F-46EC-9557-497CAB804A21}"/>
    <cellStyle name="40% - Accent3 31" xfId="570" xr:uid="{002A3095-EE90-405C-8202-997F9233D449}"/>
    <cellStyle name="40% - Accent3 32" xfId="590" xr:uid="{FB0255ED-41C8-492C-A7FC-E697C5CF83B3}"/>
    <cellStyle name="40% - Accent3 33" xfId="610" xr:uid="{7A1CDA8F-32F8-4F40-8CAF-6B60D9DD4723}"/>
    <cellStyle name="40% - Accent3 34" xfId="636" xr:uid="{4AF24483-9E98-43D0-A991-47C2C1FEDD0A}"/>
    <cellStyle name="40% - Accent3 4" xfId="80" xr:uid="{00000000-0005-0000-0000-000066000000}"/>
    <cellStyle name="40% - Accent3 5" xfId="94" xr:uid="{00000000-0005-0000-0000-000067000000}"/>
    <cellStyle name="40% - Accent3 6" xfId="108" xr:uid="{00000000-0005-0000-0000-000068000000}"/>
    <cellStyle name="40% - Accent3 7" xfId="122" xr:uid="{00000000-0005-0000-0000-000069000000}"/>
    <cellStyle name="40% - Accent3 8" xfId="136" xr:uid="{00000000-0005-0000-0000-00006A000000}"/>
    <cellStyle name="40% - Accent3 9" xfId="150" xr:uid="{00000000-0005-0000-0000-00006B000000}"/>
    <cellStyle name="40% - Accent4" xfId="32" builtinId="43" customBuiltin="1"/>
    <cellStyle name="40% - Accent4 10" xfId="166" xr:uid="{00000000-0005-0000-0000-00006D000000}"/>
    <cellStyle name="40% - Accent4 11" xfId="180" xr:uid="{00000000-0005-0000-0000-00006E000000}"/>
    <cellStyle name="40% - Accent4 12" xfId="194" xr:uid="{00000000-0005-0000-0000-00006F000000}"/>
    <cellStyle name="40% - Accent4 13" xfId="212" xr:uid="{998A25AA-B79D-44E6-8BBA-660C890D35D9}"/>
    <cellStyle name="40% - Accent4 14" xfId="232" xr:uid="{E57EAC24-2ECD-40DE-A412-2CF859F47F52}"/>
    <cellStyle name="40% - Accent4 15" xfId="252" xr:uid="{B0975B74-CDC1-4E29-A218-A837BE7DB3C4}"/>
    <cellStyle name="40% - Accent4 16" xfId="272" xr:uid="{65AB3810-8B22-4E5C-B0EE-4AF0617D05F2}"/>
    <cellStyle name="40% - Accent4 17" xfId="292" xr:uid="{B45B4E39-22B4-455C-A1A2-5D4BB0AE4405}"/>
    <cellStyle name="40% - Accent4 18" xfId="312" xr:uid="{0FFD85CE-D0D3-47E0-999A-6D69A89F05F2}"/>
    <cellStyle name="40% - Accent4 19" xfId="332" xr:uid="{61501672-BEC1-492B-9299-D939876C49C7}"/>
    <cellStyle name="40% - Accent4 2" xfId="53" xr:uid="{00000000-0005-0000-0000-000070000000}"/>
    <cellStyle name="40% - Accent4 20" xfId="353" xr:uid="{903EA874-6443-46AA-9C88-6387387D8F44}"/>
    <cellStyle name="40% - Accent4 21" xfId="373" xr:uid="{3E02F430-5C84-42DB-B9CD-76180CCC7DB6}"/>
    <cellStyle name="40% - Accent4 22" xfId="393" xr:uid="{BA22E5B5-D9AE-4B58-B3D3-4CC10C836662}"/>
    <cellStyle name="40% - Accent4 23" xfId="413" xr:uid="{836BDF79-FE68-44E0-B32F-A81BB1390EE7}"/>
    <cellStyle name="40% - Accent4 24" xfId="433" xr:uid="{44344A64-FA2F-4515-BFD3-778B016511FE}"/>
    <cellStyle name="40% - Accent4 25" xfId="453" xr:uid="{FAE6B106-C9D6-4CC7-9CFA-CA7055076D46}"/>
    <cellStyle name="40% - Accent4 26" xfId="473" xr:uid="{969EB2C0-18FA-4D41-9E56-5856069A5DBB}"/>
    <cellStyle name="40% - Accent4 27" xfId="493" xr:uid="{8BDF08F1-E208-43F8-98F2-82CF14CBADA0}"/>
    <cellStyle name="40% - Accent4 28" xfId="513" xr:uid="{CC5CCEE7-9C12-47FB-AF2D-FCA97B3FB7CA}"/>
    <cellStyle name="40% - Accent4 29" xfId="533" xr:uid="{7330BA4D-3486-4CD6-A783-EA68689994D6}"/>
    <cellStyle name="40% - Accent4 3" xfId="67" xr:uid="{00000000-0005-0000-0000-000071000000}"/>
    <cellStyle name="40% - Accent4 30" xfId="553" xr:uid="{ECF64979-938A-4272-AFB5-ACB3B6A4CD48}"/>
    <cellStyle name="40% - Accent4 31" xfId="573" xr:uid="{B9FDCDD7-2D38-4F08-81D9-CB8363605348}"/>
    <cellStyle name="40% - Accent4 32" xfId="593" xr:uid="{1352F198-48F1-45B2-9406-4E9E1F5DB030}"/>
    <cellStyle name="40% - Accent4 33" xfId="613" xr:uid="{162F7B67-F1D7-40DA-A411-3B5807B2DACC}"/>
    <cellStyle name="40% - Accent4 34" xfId="639" xr:uid="{7B782FAD-B18B-4275-9B39-C7C849EBC3FC}"/>
    <cellStyle name="40% - Accent4 4" xfId="82" xr:uid="{00000000-0005-0000-0000-000072000000}"/>
    <cellStyle name="40% - Accent4 5" xfId="96" xr:uid="{00000000-0005-0000-0000-000073000000}"/>
    <cellStyle name="40% - Accent4 6" xfId="110" xr:uid="{00000000-0005-0000-0000-000074000000}"/>
    <cellStyle name="40% - Accent4 7" xfId="124" xr:uid="{00000000-0005-0000-0000-000075000000}"/>
    <cellStyle name="40% - Accent4 8" xfId="138" xr:uid="{00000000-0005-0000-0000-000076000000}"/>
    <cellStyle name="40% - Accent4 9" xfId="152" xr:uid="{00000000-0005-0000-0000-000077000000}"/>
    <cellStyle name="40% - Accent5" xfId="36" builtinId="47" customBuiltin="1"/>
    <cellStyle name="40% - Accent5 10" xfId="168" xr:uid="{00000000-0005-0000-0000-000079000000}"/>
    <cellStyle name="40% - Accent5 11" xfId="182" xr:uid="{00000000-0005-0000-0000-00007A000000}"/>
    <cellStyle name="40% - Accent5 12" xfId="196" xr:uid="{00000000-0005-0000-0000-00007B000000}"/>
    <cellStyle name="40% - Accent5 13" xfId="215" xr:uid="{C113BFFC-A15E-45B2-9305-EA675B3D5D49}"/>
    <cellStyle name="40% - Accent5 14" xfId="235" xr:uid="{39D2D5F2-86C9-49D5-9357-006C6F26EF2F}"/>
    <cellStyle name="40% - Accent5 15" xfId="255" xr:uid="{CFC5E203-3DE4-421F-9933-FE1A75B7F87A}"/>
    <cellStyle name="40% - Accent5 16" xfId="275" xr:uid="{5AAFA8C3-5CB2-4A31-9F16-0053D1145CC9}"/>
    <cellStyle name="40% - Accent5 17" xfId="295" xr:uid="{19B2F361-45E7-46B2-A71B-BA86AD8A4E7D}"/>
    <cellStyle name="40% - Accent5 18" xfId="315" xr:uid="{8F7D469A-C1AA-4289-A4CB-CB307E96DA4E}"/>
    <cellStyle name="40% - Accent5 19" xfId="335" xr:uid="{1E8BCFA1-84E2-45E7-9A6E-157DA28FCAAC}"/>
    <cellStyle name="40% - Accent5 2" xfId="55" xr:uid="{00000000-0005-0000-0000-00007C000000}"/>
    <cellStyle name="40% - Accent5 20" xfId="356" xr:uid="{1EFE2BB8-7AA6-48CF-AAC1-6006E11853C3}"/>
    <cellStyle name="40% - Accent5 21" xfId="376" xr:uid="{16A7D292-E008-4687-8C24-1A9D27C0E88C}"/>
    <cellStyle name="40% - Accent5 22" xfId="396" xr:uid="{983FE7FD-3D8E-41A5-884B-174E8D0C9EDC}"/>
    <cellStyle name="40% - Accent5 23" xfId="416" xr:uid="{3A990681-B36F-4FAF-9FCD-5DAD58B14FEE}"/>
    <cellStyle name="40% - Accent5 24" xfId="436" xr:uid="{74F2D7F8-8C5E-4FB1-BC27-011866B64DA4}"/>
    <cellStyle name="40% - Accent5 25" xfId="456" xr:uid="{BE37279A-7A58-495E-843F-0036A68A4445}"/>
    <cellStyle name="40% - Accent5 26" xfId="476" xr:uid="{920569F3-8355-4A61-A572-D4210DCDEF7B}"/>
    <cellStyle name="40% - Accent5 27" xfId="496" xr:uid="{915D4583-1E78-45A6-B781-D1E3501FDF5D}"/>
    <cellStyle name="40% - Accent5 28" xfId="516" xr:uid="{1532BC05-1284-4FC8-83C5-EE1CB92BA893}"/>
    <cellStyle name="40% - Accent5 29" xfId="536" xr:uid="{6963C3B0-C128-4675-A94B-D4D649C18CD5}"/>
    <cellStyle name="40% - Accent5 3" xfId="69" xr:uid="{00000000-0005-0000-0000-00007D000000}"/>
    <cellStyle name="40% - Accent5 30" xfId="556" xr:uid="{A2723B08-F954-476C-BD4C-88D4AEC542C2}"/>
    <cellStyle name="40% - Accent5 31" xfId="576" xr:uid="{AF3E4365-1D2D-4A18-97BB-85548B466914}"/>
    <cellStyle name="40% - Accent5 32" xfId="596" xr:uid="{B54B78F2-F532-414A-A76F-E6844C226F35}"/>
    <cellStyle name="40% - Accent5 33" xfId="616" xr:uid="{46502B0F-38CD-45A3-B02A-A9EF2D1D2D08}"/>
    <cellStyle name="40% - Accent5 34" xfId="642" xr:uid="{1E6C2A5A-0560-44E8-B709-F1809784D02B}"/>
    <cellStyle name="40% - Accent5 4" xfId="84" xr:uid="{00000000-0005-0000-0000-00007E000000}"/>
    <cellStyle name="40% - Accent5 5" xfId="98" xr:uid="{00000000-0005-0000-0000-00007F000000}"/>
    <cellStyle name="40% - Accent5 6" xfId="112" xr:uid="{00000000-0005-0000-0000-000080000000}"/>
    <cellStyle name="40% - Accent5 7" xfId="126" xr:uid="{00000000-0005-0000-0000-000081000000}"/>
    <cellStyle name="40% - Accent5 8" xfId="140" xr:uid="{00000000-0005-0000-0000-000082000000}"/>
    <cellStyle name="40% - Accent5 9" xfId="154" xr:uid="{00000000-0005-0000-0000-000083000000}"/>
    <cellStyle name="40% - Accent6" xfId="40" builtinId="51" customBuiltin="1"/>
    <cellStyle name="40% - Accent6 10" xfId="170" xr:uid="{00000000-0005-0000-0000-000085000000}"/>
    <cellStyle name="40% - Accent6 11" xfId="184" xr:uid="{00000000-0005-0000-0000-000086000000}"/>
    <cellStyle name="40% - Accent6 12" xfId="198" xr:uid="{00000000-0005-0000-0000-000087000000}"/>
    <cellStyle name="40% - Accent6 13" xfId="218" xr:uid="{D85E84EB-0D91-4F9E-A467-96A29CF3BA51}"/>
    <cellStyle name="40% - Accent6 14" xfId="238" xr:uid="{73E2AD15-9DCB-4ABB-98B7-A4F54E51E7B1}"/>
    <cellStyle name="40% - Accent6 15" xfId="258" xr:uid="{10CFD042-4BCB-4A44-94A9-4745947F510B}"/>
    <cellStyle name="40% - Accent6 16" xfId="278" xr:uid="{D53A52E3-DF26-4A09-8D7A-566412E677AE}"/>
    <cellStyle name="40% - Accent6 17" xfId="298" xr:uid="{442AFD29-4633-4B97-B4EC-B2612052099C}"/>
    <cellStyle name="40% - Accent6 18" xfId="318" xr:uid="{697E33E5-3F49-4395-B5FE-502D9437CD6D}"/>
    <cellStyle name="40% - Accent6 19" xfId="338" xr:uid="{7002471B-9902-4AE6-86B0-742A0CEE4119}"/>
    <cellStyle name="40% - Accent6 2" xfId="57" xr:uid="{00000000-0005-0000-0000-000088000000}"/>
    <cellStyle name="40% - Accent6 20" xfId="359" xr:uid="{B5A5C778-57F8-4252-AC75-6180A208B8E4}"/>
    <cellStyle name="40% - Accent6 21" xfId="379" xr:uid="{E0C0BFEB-A7D3-41A9-9D50-7EED59D9F386}"/>
    <cellStyle name="40% - Accent6 22" xfId="399" xr:uid="{2C9E14F7-8D53-4F5A-9CD9-BBFCD0B6D400}"/>
    <cellStyle name="40% - Accent6 23" xfId="419" xr:uid="{6826064E-6BB4-4A0C-B6D4-DD642E3BEE9E}"/>
    <cellStyle name="40% - Accent6 24" xfId="439" xr:uid="{7953506A-7BEE-4CE8-8F84-7202E8CA8119}"/>
    <cellStyle name="40% - Accent6 25" xfId="459" xr:uid="{56DB5A30-65A5-4324-BCC3-36BD5D56887C}"/>
    <cellStyle name="40% - Accent6 26" xfId="479" xr:uid="{DC80CC9F-F7C6-454C-BA78-B11BD820361C}"/>
    <cellStyle name="40% - Accent6 27" xfId="499" xr:uid="{86C4D0A9-5F48-4A78-A689-9CA685CED99E}"/>
    <cellStyle name="40% - Accent6 28" xfId="519" xr:uid="{01FE0EC5-7EE4-4B2C-84DF-ECFE05293214}"/>
    <cellStyle name="40% - Accent6 29" xfId="539" xr:uid="{546534B1-D683-40DE-8F0B-41AE91301A7B}"/>
    <cellStyle name="40% - Accent6 3" xfId="71" xr:uid="{00000000-0005-0000-0000-000089000000}"/>
    <cellStyle name="40% - Accent6 30" xfId="559" xr:uid="{0A525CDA-6CED-4168-A5CE-517BDB1EFFF0}"/>
    <cellStyle name="40% - Accent6 31" xfId="579" xr:uid="{00F9EDC7-6FDF-4AD2-A40D-D2B1D173F7B9}"/>
    <cellStyle name="40% - Accent6 32" xfId="599" xr:uid="{D6D0C1AA-90A8-4CC6-AA16-6EA5C59F843C}"/>
    <cellStyle name="40% - Accent6 33" xfId="619" xr:uid="{746ACFDC-7AEB-4264-B81F-020CDFB12A35}"/>
    <cellStyle name="40% - Accent6 34" xfId="645" xr:uid="{89C8E312-5887-4F42-8F85-B02E1E00AEB0}"/>
    <cellStyle name="40% - Accent6 4" xfId="86" xr:uid="{00000000-0005-0000-0000-00008A000000}"/>
    <cellStyle name="40% - Accent6 5" xfId="100" xr:uid="{00000000-0005-0000-0000-00008B000000}"/>
    <cellStyle name="40% - Accent6 6" xfId="114" xr:uid="{00000000-0005-0000-0000-00008C000000}"/>
    <cellStyle name="40% - Accent6 7" xfId="128" xr:uid="{00000000-0005-0000-0000-00008D000000}"/>
    <cellStyle name="40% - Accent6 8" xfId="142" xr:uid="{00000000-0005-0000-0000-00008E000000}"/>
    <cellStyle name="40% - Accent6 9" xfId="156" xr:uid="{00000000-0005-0000-0000-00008F000000}"/>
    <cellStyle name="60% - Accent1" xfId="21" builtinId="32" customBuiltin="1"/>
    <cellStyle name="60% - Accent1 10" xfId="365" xr:uid="{C687AD98-29C6-44CF-AFCA-12E0AF39C97B}"/>
    <cellStyle name="60% - Accent1 11" xfId="385" xr:uid="{27A3683E-9C2D-4981-AF15-A8DF222EDAF3}"/>
    <cellStyle name="60% - Accent1 12" xfId="405" xr:uid="{DDE8441B-FAF8-4D33-A225-AED38D4D9157}"/>
    <cellStyle name="60% - Accent1 13" xfId="425" xr:uid="{FD1E0CD2-D646-4DF7-9B36-99C721079668}"/>
    <cellStyle name="60% - Accent1 14" xfId="445" xr:uid="{FDA99639-D2A1-4624-AA1B-7A59900E6493}"/>
    <cellStyle name="60% - Accent1 15" xfId="465" xr:uid="{C13343A6-80A0-4C80-BF50-2265400E265C}"/>
    <cellStyle name="60% - Accent1 16" xfId="485" xr:uid="{4F54B4B9-7DEE-487D-80EE-24A81784E3A7}"/>
    <cellStyle name="60% - Accent1 17" xfId="505" xr:uid="{0C9FEB30-CD97-4194-93C4-F9D17B0B0244}"/>
    <cellStyle name="60% - Accent1 18" xfId="525" xr:uid="{895E0CEC-B7CC-44B1-807B-5AB8EA5D0872}"/>
    <cellStyle name="60% - Accent1 19" xfId="545" xr:uid="{0FB28421-548F-4008-88D4-1010A53B0B3D}"/>
    <cellStyle name="60% - Accent1 2" xfId="204" xr:uid="{E19F6A7A-F4A8-433E-839D-EF737E5CC564}"/>
    <cellStyle name="60% - Accent1 20" xfId="565" xr:uid="{63A34F4B-88EF-469A-A102-9689CFA2FDB9}"/>
    <cellStyle name="60% - Accent1 21" xfId="585" xr:uid="{026FA25F-334D-4A6B-B858-1B6A70834FCD}"/>
    <cellStyle name="60% - Accent1 22" xfId="605" xr:uid="{88488403-40F7-4E12-90B3-162109596466}"/>
    <cellStyle name="60% - Accent1 23" xfId="631" xr:uid="{54F50CD3-818A-4CC8-BF1A-B8D931C111C0}"/>
    <cellStyle name="60% - Accent1 3" xfId="224" xr:uid="{F815BCA9-A917-490B-8D70-FC276B16785B}"/>
    <cellStyle name="60% - Accent1 4" xfId="244" xr:uid="{17190445-3DE1-4F16-B9CD-21E950901264}"/>
    <cellStyle name="60% - Accent1 5" xfId="264" xr:uid="{4E7CDDB0-493B-453C-8956-69AEB1C8A3B2}"/>
    <cellStyle name="60% - Accent1 6" xfId="284" xr:uid="{97C038B5-F819-4FEF-8981-9C99FD7536A6}"/>
    <cellStyle name="60% - Accent1 7" xfId="304" xr:uid="{35EE7E7C-095F-43E6-B87C-FC72B10CDAA2}"/>
    <cellStyle name="60% - Accent1 8" xfId="324" xr:uid="{2729E7D6-35E8-42AF-B5BE-2131E7A50C7E}"/>
    <cellStyle name="60% - Accent1 9" xfId="345" xr:uid="{DFE2536A-307B-4179-B927-F03F939346BC}"/>
    <cellStyle name="60% - Accent2" xfId="25" builtinId="36" customBuiltin="1"/>
    <cellStyle name="60% - Accent2 10" xfId="368" xr:uid="{80F72D68-FF1F-4E4D-912B-2777FF9EF847}"/>
    <cellStyle name="60% - Accent2 11" xfId="388" xr:uid="{53BC0D11-99CB-4A90-86FD-590E633DB582}"/>
    <cellStyle name="60% - Accent2 12" xfId="408" xr:uid="{E112DD2B-C23B-40A8-982E-D354F81BE9CB}"/>
    <cellStyle name="60% - Accent2 13" xfId="428" xr:uid="{4D5F57C8-E039-404E-AC29-25467413FDD4}"/>
    <cellStyle name="60% - Accent2 14" xfId="448" xr:uid="{EDD59839-1D31-4C52-A1D3-BDD88D202F35}"/>
    <cellStyle name="60% - Accent2 15" xfId="468" xr:uid="{DF0B0BB1-DE96-44FF-82E4-DA1A3BF025DF}"/>
    <cellStyle name="60% - Accent2 16" xfId="488" xr:uid="{27ADCA25-6E6B-498A-B708-DA82F35CD41E}"/>
    <cellStyle name="60% - Accent2 17" xfId="508" xr:uid="{0005FB78-3863-4DB3-AF64-68B7F7A240DE}"/>
    <cellStyle name="60% - Accent2 18" xfId="528" xr:uid="{470DD267-F9B9-45A5-9516-AF05C9FE24B3}"/>
    <cellStyle name="60% - Accent2 19" xfId="548" xr:uid="{5636ADA0-77F2-407F-96EB-37B7F1D3DDF9}"/>
    <cellStyle name="60% - Accent2 2" xfId="207" xr:uid="{5A816D89-D3F3-45BD-AF51-8C2D37DDC92B}"/>
    <cellStyle name="60% - Accent2 20" xfId="568" xr:uid="{61F81863-E2AB-471B-A112-F6A07F53AF11}"/>
    <cellStyle name="60% - Accent2 21" xfId="588" xr:uid="{61ACD1E3-387A-4B27-BC81-38CBE71AE190}"/>
    <cellStyle name="60% - Accent2 22" xfId="608" xr:uid="{425712B5-D8C2-41EE-AC8A-70993CEF039B}"/>
    <cellStyle name="60% - Accent2 23" xfId="634" xr:uid="{CBEB3D8B-1631-456E-A9FF-E3A26519DBC0}"/>
    <cellStyle name="60% - Accent2 3" xfId="227" xr:uid="{080E4B27-8750-4EBC-AAFE-BD3CB90BD242}"/>
    <cellStyle name="60% - Accent2 4" xfId="247" xr:uid="{C6C63629-DC4D-4B6C-99DF-B0825677581D}"/>
    <cellStyle name="60% - Accent2 5" xfId="267" xr:uid="{69BF6773-41BE-4F76-AFDC-FB73C56CDDFB}"/>
    <cellStyle name="60% - Accent2 6" xfId="287" xr:uid="{D160F631-6B73-46CD-8320-BB11DCBA696B}"/>
    <cellStyle name="60% - Accent2 7" xfId="307" xr:uid="{972928F9-525D-4846-B1A5-3836985FB9CE}"/>
    <cellStyle name="60% - Accent2 8" xfId="327" xr:uid="{DD4FC495-87A1-4C2B-BA38-E27443B5465C}"/>
    <cellStyle name="60% - Accent2 9" xfId="348" xr:uid="{CBFA4781-8464-412A-95D9-1582EBBC7E0D}"/>
    <cellStyle name="60% - Accent3" xfId="29" builtinId="40" customBuiltin="1"/>
    <cellStyle name="60% - Accent3 10" xfId="371" xr:uid="{79F7E1E5-519A-4A3C-BA26-425901F8629A}"/>
    <cellStyle name="60% - Accent3 11" xfId="391" xr:uid="{A6F3F4F3-0E11-4A8F-80A5-58978F47C2BA}"/>
    <cellStyle name="60% - Accent3 12" xfId="411" xr:uid="{7F05E695-A0E6-411A-901B-B9C9FBFD9E00}"/>
    <cellStyle name="60% - Accent3 13" xfId="431" xr:uid="{5F2577DC-92EE-4150-9CA1-F3ABFE989057}"/>
    <cellStyle name="60% - Accent3 14" xfId="451" xr:uid="{4D6FC99D-FC37-4B70-96C3-C76DA5C271DE}"/>
    <cellStyle name="60% - Accent3 15" xfId="471" xr:uid="{61526019-30AE-4C62-8CF4-9607D0CC66BB}"/>
    <cellStyle name="60% - Accent3 16" xfId="491" xr:uid="{99BD2D05-A428-4EEE-8A0C-A0D720FC4203}"/>
    <cellStyle name="60% - Accent3 17" xfId="511" xr:uid="{C034DD27-CEA0-40B5-B9F7-F6AA9EFCF84B}"/>
    <cellStyle name="60% - Accent3 18" xfId="531" xr:uid="{DBED6CE8-866C-40A4-828F-EBC4A1B07137}"/>
    <cellStyle name="60% - Accent3 19" xfId="551" xr:uid="{A81844FE-8D18-412F-BEEE-EB6081955D96}"/>
    <cellStyle name="60% - Accent3 2" xfId="210" xr:uid="{CD8BC4AA-C94D-4743-8D0A-8A9D9AF4A2BE}"/>
    <cellStyle name="60% - Accent3 20" xfId="571" xr:uid="{6AB65CB5-B4FA-4E59-B1AD-BEFFFA9AEB40}"/>
    <cellStyle name="60% - Accent3 21" xfId="591" xr:uid="{A79783F0-C81F-4399-9181-50C8E1D88238}"/>
    <cellStyle name="60% - Accent3 22" xfId="611" xr:uid="{E3892C56-3454-44F7-898B-30AC84D48D44}"/>
    <cellStyle name="60% - Accent3 23" xfId="637" xr:uid="{3EBA803D-4D33-4056-954D-28C9D4D6A1DA}"/>
    <cellStyle name="60% - Accent3 3" xfId="230" xr:uid="{1A3829FF-0898-4FC2-9E71-99D7E8A819EC}"/>
    <cellStyle name="60% - Accent3 4" xfId="250" xr:uid="{63068BDB-727B-473C-954B-9390A6C389B5}"/>
    <cellStyle name="60% - Accent3 5" xfId="270" xr:uid="{F1ADA8BB-5174-41AA-A97D-ECE65030B7CF}"/>
    <cellStyle name="60% - Accent3 6" xfId="290" xr:uid="{B2BA7A44-775C-49F9-BEC4-331804362734}"/>
    <cellStyle name="60% - Accent3 7" xfId="310" xr:uid="{4C44D4CF-084B-41CB-8D66-6DB494B9BB5C}"/>
    <cellStyle name="60% - Accent3 8" xfId="330" xr:uid="{50FC6EDA-6C8C-485E-AE88-B60A4B6E5E0D}"/>
    <cellStyle name="60% - Accent3 9" xfId="351" xr:uid="{4740997F-9E99-42B4-BAA5-DD19B00ADE45}"/>
    <cellStyle name="60% - Accent4" xfId="33" builtinId="44" customBuiltin="1"/>
    <cellStyle name="60% - Accent4 10" xfId="374" xr:uid="{8876603F-5706-4DAA-A5E0-C56146DBAF01}"/>
    <cellStyle name="60% - Accent4 11" xfId="394" xr:uid="{89FE751F-9EFF-4E75-8898-094E51BE1FD3}"/>
    <cellStyle name="60% - Accent4 12" xfId="414" xr:uid="{B2E7AD41-19CD-49CC-B2BE-CEC271904FEF}"/>
    <cellStyle name="60% - Accent4 13" xfId="434" xr:uid="{564A46D0-32F0-4F47-9006-50E177600AB7}"/>
    <cellStyle name="60% - Accent4 14" xfId="454" xr:uid="{F2C36C58-4DFC-40AE-94D2-C7018C55AA59}"/>
    <cellStyle name="60% - Accent4 15" xfId="474" xr:uid="{13B03D59-0DB2-4110-A67D-8E199246B0CD}"/>
    <cellStyle name="60% - Accent4 16" xfId="494" xr:uid="{517A266D-0004-4EFB-9B9C-94ED294FDE0C}"/>
    <cellStyle name="60% - Accent4 17" xfId="514" xr:uid="{54E4C968-58FE-4EFC-AC11-CF7F284E4CFF}"/>
    <cellStyle name="60% - Accent4 18" xfId="534" xr:uid="{CD7CEE98-ADB8-4868-92B3-2E0D91041B5C}"/>
    <cellStyle name="60% - Accent4 19" xfId="554" xr:uid="{90E370F3-1E8E-408A-99E7-82019451D8F4}"/>
    <cellStyle name="60% - Accent4 2" xfId="213" xr:uid="{1772D850-5EAC-4209-A1EC-8281FFDC6DD3}"/>
    <cellStyle name="60% - Accent4 20" xfId="574" xr:uid="{EAF74CDB-3C3E-47F5-A55C-3F86F8A51C89}"/>
    <cellStyle name="60% - Accent4 21" xfId="594" xr:uid="{959CCE42-5330-4F5B-AFD9-F311F1CF4135}"/>
    <cellStyle name="60% - Accent4 22" xfId="614" xr:uid="{9B84E5C2-CA84-4C51-A83C-CDF3F19B9227}"/>
    <cellStyle name="60% - Accent4 23" xfId="640" xr:uid="{F0671D78-6459-4961-AFF0-64DC3CAFF338}"/>
    <cellStyle name="60% - Accent4 3" xfId="233" xr:uid="{52A54447-66AF-4060-B924-CC9F7ED7511A}"/>
    <cellStyle name="60% - Accent4 4" xfId="253" xr:uid="{E22B8003-CC3E-4754-A0EF-23C89B17BE63}"/>
    <cellStyle name="60% - Accent4 5" xfId="273" xr:uid="{AB11B1DE-1646-4E62-96DC-9F7E3A31C565}"/>
    <cellStyle name="60% - Accent4 6" xfId="293" xr:uid="{A77E8BE9-C9D4-4479-A952-970C52E9319A}"/>
    <cellStyle name="60% - Accent4 7" xfId="313" xr:uid="{C57A886C-79C3-4267-849B-C5E6FCCB786B}"/>
    <cellStyle name="60% - Accent4 8" xfId="333" xr:uid="{7F368F0C-8971-4302-B54D-5781DEFB1F25}"/>
    <cellStyle name="60% - Accent4 9" xfId="354" xr:uid="{D1FCE835-D098-4C1C-9797-613938093C54}"/>
    <cellStyle name="60% - Accent5" xfId="37" builtinId="48" customBuiltin="1"/>
    <cellStyle name="60% - Accent5 10" xfId="377" xr:uid="{1DE58F6D-F622-4271-ACC8-F3B8C1CA60C4}"/>
    <cellStyle name="60% - Accent5 11" xfId="397" xr:uid="{C2E1BEE7-9908-435A-B9C0-639555E6032A}"/>
    <cellStyle name="60% - Accent5 12" xfId="417" xr:uid="{3915967B-062B-4D98-8890-611769059B15}"/>
    <cellStyle name="60% - Accent5 13" xfId="437" xr:uid="{5CA57479-7CB4-4205-B6A4-A39B111D2CD5}"/>
    <cellStyle name="60% - Accent5 14" xfId="457" xr:uid="{E461D2D3-9FE6-4406-80AE-37735C3AC62D}"/>
    <cellStyle name="60% - Accent5 15" xfId="477" xr:uid="{F6491FE5-F757-4849-90DB-3888BB627ECF}"/>
    <cellStyle name="60% - Accent5 16" xfId="497" xr:uid="{894E4C62-55D1-495E-B5CF-6303B837DD9F}"/>
    <cellStyle name="60% - Accent5 17" xfId="517" xr:uid="{4685E77E-FB89-4A6D-AABC-016CB2E24A57}"/>
    <cellStyle name="60% - Accent5 18" xfId="537" xr:uid="{B043F91F-7353-4501-B91F-6E8E9C3B32E5}"/>
    <cellStyle name="60% - Accent5 19" xfId="557" xr:uid="{AA7288D0-D1BD-4E9C-84CF-509E1E1A24B2}"/>
    <cellStyle name="60% - Accent5 2" xfId="216" xr:uid="{AB57B169-0E42-468D-A12C-97965B585C12}"/>
    <cellStyle name="60% - Accent5 20" xfId="577" xr:uid="{B6A0A5B3-7F98-46B7-B945-0B335D35198C}"/>
    <cellStyle name="60% - Accent5 21" xfId="597" xr:uid="{466AA3DB-A0F1-49D3-BAF9-C502108DD75F}"/>
    <cellStyle name="60% - Accent5 22" xfId="617" xr:uid="{E4228294-11B4-4425-AF62-EF96C1B40174}"/>
    <cellStyle name="60% - Accent5 23" xfId="643" xr:uid="{605C2A95-ADE7-41B1-B5B0-311CFADC38D9}"/>
    <cellStyle name="60% - Accent5 3" xfId="236" xr:uid="{40A813F3-E6B7-41BB-B420-6E224674980C}"/>
    <cellStyle name="60% - Accent5 4" xfId="256" xr:uid="{0905150E-777C-4D27-BCB4-DD404F4091C0}"/>
    <cellStyle name="60% - Accent5 5" xfId="276" xr:uid="{141410F5-7EB1-4665-B969-F0E78F78082B}"/>
    <cellStyle name="60% - Accent5 6" xfId="296" xr:uid="{940B83BC-0C31-4EB1-828C-83C9111B5EA4}"/>
    <cellStyle name="60% - Accent5 7" xfId="316" xr:uid="{FECD9CD9-0388-40A8-8BCC-85D5E31C4567}"/>
    <cellStyle name="60% - Accent5 8" xfId="336" xr:uid="{6073E753-82B9-4321-BAB3-E876CC228FF9}"/>
    <cellStyle name="60% - Accent5 9" xfId="357" xr:uid="{795C3354-5A3C-442D-870E-9F536F1142DB}"/>
    <cellStyle name="60% - Accent6" xfId="41" builtinId="52" customBuiltin="1"/>
    <cellStyle name="60% - Accent6 10" xfId="380" xr:uid="{807B643E-12C1-4EFC-B35A-5EA65C24F29B}"/>
    <cellStyle name="60% - Accent6 11" xfId="400" xr:uid="{59A705E7-D4C6-4C43-BC70-3826D6D4324C}"/>
    <cellStyle name="60% - Accent6 12" xfId="420" xr:uid="{6D176184-CC7C-4156-A330-F5B528D60CD7}"/>
    <cellStyle name="60% - Accent6 13" xfId="440" xr:uid="{6DB3F1F1-3793-4A7A-BA0E-EA02871FBEDF}"/>
    <cellStyle name="60% - Accent6 14" xfId="460" xr:uid="{D2190D6C-ACAD-4B02-ABC8-9B93665B6337}"/>
    <cellStyle name="60% - Accent6 15" xfId="480" xr:uid="{C2EF1282-7B3A-4E17-8166-E5D3B8467303}"/>
    <cellStyle name="60% - Accent6 16" xfId="500" xr:uid="{5C6CB56C-E654-4DEF-BBDB-90EBC57C4889}"/>
    <cellStyle name="60% - Accent6 17" xfId="520" xr:uid="{60D2ABAF-F4FD-44B6-B5B9-AE372DF3CF13}"/>
    <cellStyle name="60% - Accent6 18" xfId="540" xr:uid="{45150E09-A60B-489E-8B6A-019A745FD66B}"/>
    <cellStyle name="60% - Accent6 19" xfId="560" xr:uid="{5E468F06-7A47-46B2-9ED7-00582B2D4025}"/>
    <cellStyle name="60% - Accent6 2" xfId="219" xr:uid="{D40F19CA-0AB0-4A1C-A635-88E08BA32481}"/>
    <cellStyle name="60% - Accent6 20" xfId="580" xr:uid="{06E503E8-558C-4AC0-B4E5-72B18D591B94}"/>
    <cellStyle name="60% - Accent6 21" xfId="600" xr:uid="{72495C44-4D6E-41C7-AD15-9E0C5FD79735}"/>
    <cellStyle name="60% - Accent6 22" xfId="620" xr:uid="{E66B4089-AAB3-4FE4-992D-BC10C9374367}"/>
    <cellStyle name="60% - Accent6 23" xfId="646" xr:uid="{66CB3F4F-B7C3-4E34-B6D4-527A939087D8}"/>
    <cellStyle name="60% - Accent6 3" xfId="239" xr:uid="{220FFE88-A75D-4AC8-AEBE-41AD2A11A719}"/>
    <cellStyle name="60% - Accent6 4" xfId="259" xr:uid="{426A21E0-8FAB-4C95-8134-2C19247EB3D7}"/>
    <cellStyle name="60% - Accent6 5" xfId="279" xr:uid="{AC776607-EF14-4094-B6AE-5A73F4BABB4F}"/>
    <cellStyle name="60% - Accent6 6" xfId="299" xr:uid="{E36905F8-AA4B-44FE-BC59-89287AF46D4A}"/>
    <cellStyle name="60% - Accent6 7" xfId="319" xr:uid="{5DFA800B-CD84-4F88-97AD-0DF0D6AC03EE}"/>
    <cellStyle name="60% - Accent6 8" xfId="339" xr:uid="{5688182F-44F1-4692-BCF2-95CE91136901}"/>
    <cellStyle name="60% - Accent6 9" xfId="360" xr:uid="{F3E0D753-7CC9-4FD8-BFE8-781ECD2CBA6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2" builtinId="22" customBuiltin="1"/>
    <cellStyle name="Check Cell" xfId="14" builtinId="23" customBuiltin="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eutral 2" xfId="200" xr:uid="{B7EF250C-F70E-470D-B02C-D493D391BF8C}"/>
    <cellStyle name="Normal" xfId="0" builtinId="0"/>
    <cellStyle name="Normal 10" xfId="129" xr:uid="{00000000-0005-0000-0000-0000A9000000}"/>
    <cellStyle name="Normal 11" xfId="143" xr:uid="{00000000-0005-0000-0000-0000AA000000}"/>
    <cellStyle name="Normal 12" xfId="157" xr:uid="{00000000-0005-0000-0000-0000AB000000}"/>
    <cellStyle name="Normal 13" xfId="171" xr:uid="{00000000-0005-0000-0000-0000AC000000}"/>
    <cellStyle name="Normal 14" xfId="185" xr:uid="{00000000-0005-0000-0000-0000AD000000}"/>
    <cellStyle name="Normal 15" xfId="199" xr:uid="{24C17681-B7A1-48A4-A9AC-9122CC4961DD}"/>
    <cellStyle name="Normal 16" xfId="220" xr:uid="{0418DADF-7C6F-4A04-ADC7-263BF63F21C1}"/>
    <cellStyle name="Normal 17" xfId="240" xr:uid="{E8827B12-D0AE-401B-A6E1-6B9F2F5C90CD}"/>
    <cellStyle name="Normal 18" xfId="260" xr:uid="{9343D2F4-3521-4408-84A8-C1ACC3917C24}"/>
    <cellStyle name="Normal 19" xfId="280" xr:uid="{58C08D7D-6EAE-40B7-94B2-C16A9A61CB71}"/>
    <cellStyle name="Normal 2" xfId="1" xr:uid="{00000000-0005-0000-0000-0000AE000000}"/>
    <cellStyle name="Normal 20" xfId="300" xr:uid="{B167BB24-D08D-4ADA-8BA2-037DD490C78F}"/>
    <cellStyle name="Normal 21" xfId="320" xr:uid="{3EE7D5A4-5794-49A5-B4F5-BA8278D66372}"/>
    <cellStyle name="Normal 22" xfId="340" xr:uid="{57451883-2444-47E5-99C9-28468A4BDF51}"/>
    <cellStyle name="Normal 23" xfId="341" xr:uid="{F57D633A-8E61-4322-8471-F5ECDFC935A9}"/>
    <cellStyle name="Normal 24" xfId="361" xr:uid="{54571976-41D6-4AE7-83EF-0F7AEA3CBA97}"/>
    <cellStyle name="Normal 25" xfId="381" xr:uid="{1CBAB139-8FEC-4356-BA00-46B1D262788F}"/>
    <cellStyle name="Normal 26" xfId="401" xr:uid="{1B1BB148-57C1-49EA-A02F-65B2397FDE26}"/>
    <cellStyle name="Normal 27" xfId="421" xr:uid="{D4DEC9C0-8695-449A-9D3C-3F24E12C4DE9}"/>
    <cellStyle name="Normal 28" xfId="441" xr:uid="{B6A2F278-B77A-4BB2-8D2D-EEB6AD97C997}"/>
    <cellStyle name="Normal 29" xfId="461" xr:uid="{370C2974-B50B-48CD-8169-9BE2F3F229F8}"/>
    <cellStyle name="Normal 3" xfId="42" xr:uid="{00000000-0005-0000-0000-0000AF000000}"/>
    <cellStyle name="Normal 30" xfId="481" xr:uid="{FFE55B19-6E5D-4F9A-9B5C-A0E770134074}"/>
    <cellStyle name="Normal 31" xfId="501" xr:uid="{F080D549-66F3-420A-93AD-2868E1C99924}"/>
    <cellStyle name="Normal 32" xfId="521" xr:uid="{69F68508-1209-4AB9-A5D2-391A641B7995}"/>
    <cellStyle name="Normal 33" xfId="541" xr:uid="{65267EA5-5EF0-4F6B-B6ED-7A7A2C331005}"/>
    <cellStyle name="Normal 34" xfId="561" xr:uid="{F09D2C5A-2026-46D2-8236-5295291FAECB}"/>
    <cellStyle name="Normal 35" xfId="581" xr:uid="{E72A51CE-3974-4253-BC90-4E79B1C0EECD}"/>
    <cellStyle name="Normal 36" xfId="601" xr:uid="{D2085B7A-59B9-4F70-9F6E-77B76E43E3DD}"/>
    <cellStyle name="Normal 37" xfId="621" xr:uid="{F72F3CF4-82F9-4267-97A3-EA2C064702E9}"/>
    <cellStyle name="Normal 38" xfId="622" xr:uid="{8885374B-44CB-4121-A002-8D3D9C02E7B2}"/>
    <cellStyle name="Normal 39" xfId="623" xr:uid="{2ABBE976-DD31-4661-990E-15EF634E1C02}"/>
    <cellStyle name="Normal 4" xfId="44" xr:uid="{00000000-0005-0000-0000-0000B0000000}"/>
    <cellStyle name="Normal 40" xfId="624" xr:uid="{28606CCA-FF9D-46AA-A115-B19CA51848B0}"/>
    <cellStyle name="Normal 41" xfId="625" xr:uid="{8A4E4626-3BCF-4059-A133-91FD6D27A240}"/>
    <cellStyle name="Normal 42" xfId="626" xr:uid="{C1EFCA45-694E-4878-8950-6161C5FB04E0}"/>
    <cellStyle name="Normal 43" xfId="627" xr:uid="{182947A4-FC0A-49E9-ABF6-02A5D98FAD18}"/>
    <cellStyle name="Normal 44" xfId="647" xr:uid="{11A1EB4F-42F8-4CC3-B2E2-78F18511657E}"/>
    <cellStyle name="Normal 45" xfId="648" xr:uid="{137D1CA4-58FD-434A-9323-8E929BDA1D51}"/>
    <cellStyle name="Normal 46" xfId="649" xr:uid="{938423EA-407C-4792-8773-F6CDD3F79387}"/>
    <cellStyle name="Normal 47" xfId="650" xr:uid="{52F1A886-F356-4DB7-B8F3-2F12187D94A1}"/>
    <cellStyle name="Normal 5" xfId="58" xr:uid="{00000000-0005-0000-0000-0000B1000000}"/>
    <cellStyle name="Normal 6" xfId="72" xr:uid="{00000000-0005-0000-0000-0000B2000000}"/>
    <cellStyle name="Normal 7" xfId="87" xr:uid="{00000000-0005-0000-0000-0000B3000000}"/>
    <cellStyle name="Normal 8" xfId="101" xr:uid="{00000000-0005-0000-0000-0000B4000000}"/>
    <cellStyle name="Normal 9" xfId="115" xr:uid="{00000000-0005-0000-0000-0000B5000000}"/>
    <cellStyle name="Note 10" xfId="144" xr:uid="{00000000-0005-0000-0000-0000B6000000}"/>
    <cellStyle name="Note 11" xfId="158" xr:uid="{00000000-0005-0000-0000-0000B7000000}"/>
    <cellStyle name="Note 12" xfId="172" xr:uid="{00000000-0005-0000-0000-0000B8000000}"/>
    <cellStyle name="Note 13" xfId="186" xr:uid="{00000000-0005-0000-0000-0000B9000000}"/>
    <cellStyle name="Note 14" xfId="201" xr:uid="{E676AA2F-96D4-4457-BEFE-DB201AF369CC}"/>
    <cellStyle name="Note 15" xfId="221" xr:uid="{9F6716B6-0C7A-42D6-873B-604E53DDE0BD}"/>
    <cellStyle name="Note 16" xfId="241" xr:uid="{F43D7D9F-FFBE-4232-9B87-2F89EBAFB9A9}"/>
    <cellStyle name="Note 17" xfId="261" xr:uid="{C6AD982C-7E77-41FD-A6F2-4924F9049753}"/>
    <cellStyle name="Note 18" xfId="281" xr:uid="{4AB9C0B3-0BC7-4899-8CBF-03353F6C732A}"/>
    <cellStyle name="Note 19" xfId="301" xr:uid="{DD38CE3D-B4DE-4170-8A67-4EEBC44EFE22}"/>
    <cellStyle name="Note 2" xfId="43" xr:uid="{00000000-0005-0000-0000-0000BA000000}"/>
    <cellStyle name="Note 20" xfId="321" xr:uid="{F75C46AB-DEC7-4623-AE2E-AA2B50053985}"/>
    <cellStyle name="Note 21" xfId="342" xr:uid="{AA484824-944B-4651-8C21-EF44B7F26F58}"/>
    <cellStyle name="Note 22" xfId="362" xr:uid="{E25C7CE0-ADF0-48D2-AD48-D7D36B5C5310}"/>
    <cellStyle name="Note 23" xfId="382" xr:uid="{49C48252-0AEC-4A05-95FD-102F3ECE7101}"/>
    <cellStyle name="Note 24" xfId="402" xr:uid="{F22BB5E5-F322-44D9-98FD-A69BC191D392}"/>
    <cellStyle name="Note 25" xfId="422" xr:uid="{2FB24D38-4F59-46E6-9C2D-5EA540EAEDC0}"/>
    <cellStyle name="Note 26" xfId="442" xr:uid="{1AD0AEEF-5599-4889-8932-F74593364DE6}"/>
    <cellStyle name="Note 27" xfId="462" xr:uid="{77B25765-B6BC-49A6-82C4-4235F0650423}"/>
    <cellStyle name="Note 28" xfId="482" xr:uid="{0063BBF0-8458-4F77-9ECE-59E3E82C0C87}"/>
    <cellStyle name="Note 29" xfId="502" xr:uid="{A87AC666-7878-430F-B218-AE4BDC3AE038}"/>
    <cellStyle name="Note 3" xfId="45" xr:uid="{00000000-0005-0000-0000-0000BB000000}"/>
    <cellStyle name="Note 30" xfId="522" xr:uid="{57EDCF54-AEF7-43FA-A59A-5C5626C70F66}"/>
    <cellStyle name="Note 31" xfId="542" xr:uid="{1F9CD99D-4E1E-47D5-B678-EBAB710B6438}"/>
    <cellStyle name="Note 32" xfId="562" xr:uid="{62E29A93-1DDF-4D53-B003-DF149FE4AD8C}"/>
    <cellStyle name="Note 33" xfId="582" xr:uid="{D6F38E45-87AE-40BB-A464-488AA379EBFF}"/>
    <cellStyle name="Note 34" xfId="602" xr:uid="{F5993372-3509-492B-AA7B-02D9C1E78833}"/>
    <cellStyle name="Note 35" xfId="628" xr:uid="{8B5D8566-54F8-49A4-B403-F93551C13CB1}"/>
    <cellStyle name="Note 4" xfId="59" xr:uid="{00000000-0005-0000-0000-0000BC000000}"/>
    <cellStyle name="Note 5" xfId="74" xr:uid="{00000000-0005-0000-0000-0000BD000000}"/>
    <cellStyle name="Note 6" xfId="88" xr:uid="{00000000-0005-0000-0000-0000BE000000}"/>
    <cellStyle name="Note 7" xfId="102" xr:uid="{00000000-0005-0000-0000-0000BF000000}"/>
    <cellStyle name="Note 8" xfId="116" xr:uid="{00000000-0005-0000-0000-0000C0000000}"/>
    <cellStyle name="Note 9" xfId="130" xr:uid="{00000000-0005-0000-0000-0000C1000000}"/>
    <cellStyle name="Output" xfId="11" builtinId="21" customBuiltin="1"/>
    <cellStyle name="Title" xfId="2" builtinId="15" customBuiltin="1"/>
    <cellStyle name="Title 2" xfId="73" xr:uid="{00000000-0005-0000-0000-0000C4000000}"/>
    <cellStyle name="Total" xfId="17" builtinId="25" customBuiltin="1"/>
    <cellStyle name="Warning Text" xfId="15" builtinId="11" customBuiltin="1"/>
  </cellStyles>
  <dxfs count="37">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ichStyles" Target="richData/rich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17/06/relationships/rdSupportingPropertyBag" Target="richData/rdsupportingpropertybag.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0.14222139871612799"/>
          <c:y val="0.13767581754983327"/>
          <c:w val="0.85748344952108702"/>
          <c:h val="0.6961861388948003"/>
        </c:manualLayout>
      </c:layout>
      <c:lineChart>
        <c:grouping val="standard"/>
        <c:varyColors val="1"/>
        <c:ser>
          <c:idx val="0"/>
          <c:order val="0"/>
          <c:marker>
            <c:symbol val="circle"/>
            <c:size val="5"/>
            <c:spPr>
              <a:solidFill>
                <a:schemeClr val="accent1"/>
              </a:solidFill>
              <a:ln cmpd="sng">
                <a:solidFill>
                  <a:schemeClr val="accent1"/>
                </a:solidFill>
              </a:ln>
            </c:spPr>
          </c:marker>
          <c:cat>
            <c:strRef>
              <c:f>SA!$G$10:$AA$10</c:f>
              <c:strCache>
                <c:ptCount val="21"/>
                <c:pt idx="0">
                  <c:v>Curr</c:v>
                </c:pt>
                <c:pt idx="1">
                  <c:v>19-Q1</c:v>
                </c:pt>
                <c:pt idx="2">
                  <c:v>18-Q4</c:v>
                </c:pt>
                <c:pt idx="3">
                  <c:v>18-Q3</c:v>
                </c:pt>
                <c:pt idx="4">
                  <c:v>18-Q2</c:v>
                </c:pt>
                <c:pt idx="5">
                  <c:v>18-Q1</c:v>
                </c:pt>
                <c:pt idx="6">
                  <c:v>17-Q4</c:v>
                </c:pt>
                <c:pt idx="7">
                  <c:v>17-Q3</c:v>
                </c:pt>
                <c:pt idx="8">
                  <c:v>17-Q2</c:v>
                </c:pt>
                <c:pt idx="9">
                  <c:v>17-Q1</c:v>
                </c:pt>
                <c:pt idx="10">
                  <c:v>16-Q4</c:v>
                </c:pt>
                <c:pt idx="11">
                  <c:v>16-Q3</c:v>
                </c:pt>
                <c:pt idx="12">
                  <c:v>16-Q2</c:v>
                </c:pt>
                <c:pt idx="13">
                  <c:v>16-Q1</c:v>
                </c:pt>
                <c:pt idx="14">
                  <c:v>15-Q4</c:v>
                </c:pt>
                <c:pt idx="15">
                  <c:v>15-Q3</c:v>
                </c:pt>
                <c:pt idx="16">
                  <c:v>15-Q2</c:v>
                </c:pt>
                <c:pt idx="17">
                  <c:v>15-Q1</c:v>
                </c:pt>
                <c:pt idx="18">
                  <c:v>14-Q4</c:v>
                </c:pt>
                <c:pt idx="19">
                  <c:v>14-Q3</c:v>
                </c:pt>
                <c:pt idx="20">
                  <c:v>14-Q2</c:v>
                </c:pt>
              </c:strCache>
            </c:strRef>
          </c:cat>
          <c:val>
            <c:numRef>
              <c:f>SA!$G$12:$AA$12</c:f>
              <c:numCache>
                <c:formatCode>General</c:formatCode>
                <c:ptCount val="21"/>
                <c:pt idx="0">
                  <c:v>4219538.9999999991</c:v>
                </c:pt>
                <c:pt idx="1">
                  <c:v>579604.5</c:v>
                </c:pt>
                <c:pt idx="2">
                  <c:v>847458.90000000014</c:v>
                </c:pt>
                <c:pt idx="3">
                  <c:v>830484.29999999993</c:v>
                </c:pt>
                <c:pt idx="4">
                  <c:v>790793.29999999993</c:v>
                </c:pt>
                <c:pt idx="5">
                  <c:v>828742</c:v>
                </c:pt>
                <c:pt idx="6">
                  <c:v>767989.5</c:v>
                </c:pt>
                <c:pt idx="7">
                  <c:v>783613.19999999972</c:v>
                </c:pt>
                <c:pt idx="8">
                  <c:v>827938.67999999993</c:v>
                </c:pt>
                <c:pt idx="9">
                  <c:v>691735.27999999991</c:v>
                </c:pt>
                <c:pt idx="10">
                  <c:v>641859.5199999999</c:v>
                </c:pt>
                <c:pt idx="11">
                  <c:v>540664.37999999989</c:v>
                </c:pt>
                <c:pt idx="12">
                  <c:v>506470.46000000008</c:v>
                </c:pt>
                <c:pt idx="13">
                  <c:v>440682.96</c:v>
                </c:pt>
                <c:pt idx="14">
                  <c:v>363946.14</c:v>
                </c:pt>
                <c:pt idx="15">
                  <c:v>341774.28</c:v>
                </c:pt>
                <c:pt idx="16">
                  <c:v>328209.03999999998</c:v>
                </c:pt>
                <c:pt idx="17">
                  <c:v>292699.17999999993</c:v>
                </c:pt>
                <c:pt idx="18">
                  <c:v>292267.50000000006</c:v>
                </c:pt>
                <c:pt idx="19">
                  <c:v>258535.27999999997</c:v>
                </c:pt>
                <c:pt idx="20">
                  <c:v>245039.58</c:v>
                </c:pt>
              </c:numCache>
            </c:numRef>
          </c:val>
          <c:smooth val="0"/>
          <c:extLst>
            <c:ext xmlns:c16="http://schemas.microsoft.com/office/drawing/2014/chart" uri="{C3380CC4-5D6E-409C-BE32-E72D297353CC}">
              <c16:uniqueId val="{00000000-62A7-4228-A6E1-08A6D812B78F}"/>
            </c:ext>
          </c:extLst>
        </c:ser>
        <c:ser>
          <c:idx val="1"/>
          <c:order val="1"/>
          <c:marker>
            <c:symbol val="circle"/>
            <c:size val="5"/>
            <c:spPr>
              <a:solidFill>
                <a:schemeClr val="accent2"/>
              </a:solidFill>
              <a:ln cmpd="sng">
                <a:solidFill>
                  <a:schemeClr val="accent2"/>
                </a:solidFill>
              </a:ln>
            </c:spPr>
          </c:marker>
          <c:cat>
            <c:strRef>
              <c:f>SA!$G$10:$AA$10</c:f>
              <c:strCache>
                <c:ptCount val="21"/>
                <c:pt idx="0">
                  <c:v>Curr</c:v>
                </c:pt>
                <c:pt idx="1">
                  <c:v>19-Q1</c:v>
                </c:pt>
                <c:pt idx="2">
                  <c:v>18-Q4</c:v>
                </c:pt>
                <c:pt idx="3">
                  <c:v>18-Q3</c:v>
                </c:pt>
                <c:pt idx="4">
                  <c:v>18-Q2</c:v>
                </c:pt>
                <c:pt idx="5">
                  <c:v>18-Q1</c:v>
                </c:pt>
                <c:pt idx="6">
                  <c:v>17-Q4</c:v>
                </c:pt>
                <c:pt idx="7">
                  <c:v>17-Q3</c:v>
                </c:pt>
                <c:pt idx="8">
                  <c:v>17-Q2</c:v>
                </c:pt>
                <c:pt idx="9">
                  <c:v>17-Q1</c:v>
                </c:pt>
                <c:pt idx="10">
                  <c:v>16-Q4</c:v>
                </c:pt>
                <c:pt idx="11">
                  <c:v>16-Q3</c:v>
                </c:pt>
                <c:pt idx="12">
                  <c:v>16-Q2</c:v>
                </c:pt>
                <c:pt idx="13">
                  <c:v>16-Q1</c:v>
                </c:pt>
                <c:pt idx="14">
                  <c:v>15-Q4</c:v>
                </c:pt>
                <c:pt idx="15">
                  <c:v>15-Q3</c:v>
                </c:pt>
                <c:pt idx="16">
                  <c:v>15-Q2</c:v>
                </c:pt>
                <c:pt idx="17">
                  <c:v>15-Q1</c:v>
                </c:pt>
                <c:pt idx="18">
                  <c:v>14-Q4</c:v>
                </c:pt>
                <c:pt idx="19">
                  <c:v>14-Q3</c:v>
                </c:pt>
                <c:pt idx="20">
                  <c:v>14-Q2</c:v>
                </c:pt>
              </c:strCache>
            </c:strRef>
          </c:cat>
          <c:val>
            <c:numRef>
              <c:f>SA!$G$13:$AA$13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1-62A7-4228-A6E1-08A6D812B78F}"/>
            </c:ext>
          </c:extLst>
        </c:ser>
        <c:ser>
          <c:idx val="2"/>
          <c:order val="2"/>
          <c:marker>
            <c:symbol val="circle"/>
            <c:size val="5"/>
            <c:spPr>
              <a:solidFill>
                <a:schemeClr val="accent3"/>
              </a:solidFill>
              <a:ln cmpd="sng">
                <a:solidFill>
                  <a:schemeClr val="accent3"/>
                </a:solidFill>
              </a:ln>
            </c:spPr>
          </c:marker>
          <c:cat>
            <c:strRef>
              <c:f>SA!$G$10:$AA$10</c:f>
              <c:strCache>
                <c:ptCount val="21"/>
                <c:pt idx="0">
                  <c:v>Curr</c:v>
                </c:pt>
                <c:pt idx="1">
                  <c:v>19-Q1</c:v>
                </c:pt>
                <c:pt idx="2">
                  <c:v>18-Q4</c:v>
                </c:pt>
                <c:pt idx="3">
                  <c:v>18-Q3</c:v>
                </c:pt>
                <c:pt idx="4">
                  <c:v>18-Q2</c:v>
                </c:pt>
                <c:pt idx="5">
                  <c:v>18-Q1</c:v>
                </c:pt>
                <c:pt idx="6">
                  <c:v>17-Q4</c:v>
                </c:pt>
                <c:pt idx="7">
                  <c:v>17-Q3</c:v>
                </c:pt>
                <c:pt idx="8">
                  <c:v>17-Q2</c:v>
                </c:pt>
                <c:pt idx="9">
                  <c:v>17-Q1</c:v>
                </c:pt>
                <c:pt idx="10">
                  <c:v>16-Q4</c:v>
                </c:pt>
                <c:pt idx="11">
                  <c:v>16-Q3</c:v>
                </c:pt>
                <c:pt idx="12">
                  <c:v>16-Q2</c:v>
                </c:pt>
                <c:pt idx="13">
                  <c:v>16-Q1</c:v>
                </c:pt>
                <c:pt idx="14">
                  <c:v>15-Q4</c:v>
                </c:pt>
                <c:pt idx="15">
                  <c:v>15-Q3</c:v>
                </c:pt>
                <c:pt idx="16">
                  <c:v>15-Q2</c:v>
                </c:pt>
                <c:pt idx="17">
                  <c:v>15-Q1</c:v>
                </c:pt>
                <c:pt idx="18">
                  <c:v>14-Q4</c:v>
                </c:pt>
                <c:pt idx="19">
                  <c:v>14-Q3</c:v>
                </c:pt>
                <c:pt idx="20">
                  <c:v>14-Q2</c:v>
                </c:pt>
              </c:strCache>
            </c:strRef>
          </c:cat>
          <c:val>
            <c:numRef>
              <c:f>SA!$G$14:$AA$14</c:f>
              <c:numCache>
                <c:formatCode>General</c:formatCode>
                <c:ptCount val="21"/>
                <c:pt idx="0">
                  <c:v>47195139.34201993</c:v>
                </c:pt>
                <c:pt idx="1">
                  <c:v>44898442.480765052</c:v>
                </c:pt>
                <c:pt idx="2">
                  <c:v>38037236.478208527</c:v>
                </c:pt>
                <c:pt idx="3">
                  <c:v>32717119.469251953</c:v>
                </c:pt>
                <c:pt idx="4">
                  <c:v>36696924.984317623</c:v>
                </c:pt>
                <c:pt idx="5">
                  <c:v>36594665.353215814</c:v>
                </c:pt>
                <c:pt idx="6">
                  <c:v>31587685.191722102</c:v>
                </c:pt>
                <c:pt idx="7">
                  <c:v>27684433.703628819</c:v>
                </c:pt>
                <c:pt idx="8">
                  <c:v>30754793.197095815</c:v>
                </c:pt>
                <c:pt idx="9">
                  <c:v>30449763.501704544</c:v>
                </c:pt>
                <c:pt idx="10">
                  <c:v>29154429.209831778</c:v>
                </c:pt>
                <c:pt idx="11">
                  <c:v>17822425.442921162</c:v>
                </c:pt>
                <c:pt idx="12">
                  <c:v>18958172.043358531</c:v>
                </c:pt>
                <c:pt idx="13">
                  <c:v>17941872.844831388</c:v>
                </c:pt>
                <c:pt idx="14">
                  <c:v>17450591.597626701</c:v>
                </c:pt>
                <c:pt idx="15">
                  <c:v>15955179.485210566</c:v>
                </c:pt>
                <c:pt idx="16">
                  <c:v>9172246.2867072821</c:v>
                </c:pt>
                <c:pt idx="17">
                  <c:v>7627537.2139459234</c:v>
                </c:pt>
                <c:pt idx="18">
                  <c:v>7839098.8990559885</c:v>
                </c:pt>
                <c:pt idx="19">
                  <c:v>6265459.6138365576</c:v>
                </c:pt>
                <c:pt idx="20">
                  <c:v>9027002.0181677751</c:v>
                </c:pt>
              </c:numCache>
            </c:numRef>
          </c:val>
          <c:smooth val="0"/>
          <c:extLst>
            <c:ext xmlns:c16="http://schemas.microsoft.com/office/drawing/2014/chart" uri="{C3380CC4-5D6E-409C-BE32-E72D297353CC}">
              <c16:uniqueId val="{00000002-62A7-4228-A6E1-08A6D812B78F}"/>
            </c:ext>
          </c:extLst>
        </c:ser>
        <c:ser>
          <c:idx val="3"/>
          <c:order val="3"/>
          <c:marker>
            <c:symbol val="circle"/>
            <c:size val="5"/>
            <c:spPr>
              <a:solidFill>
                <a:schemeClr val="accent4"/>
              </a:solidFill>
              <a:ln cmpd="sng">
                <a:solidFill>
                  <a:schemeClr val="accent4"/>
                </a:solidFill>
              </a:ln>
            </c:spPr>
          </c:marker>
          <c:cat>
            <c:strRef>
              <c:f>SA!$G$10:$AA$10</c:f>
              <c:strCache>
                <c:ptCount val="21"/>
                <c:pt idx="0">
                  <c:v>Curr</c:v>
                </c:pt>
                <c:pt idx="1">
                  <c:v>19-Q1</c:v>
                </c:pt>
                <c:pt idx="2">
                  <c:v>18-Q4</c:v>
                </c:pt>
                <c:pt idx="3">
                  <c:v>18-Q3</c:v>
                </c:pt>
                <c:pt idx="4">
                  <c:v>18-Q2</c:v>
                </c:pt>
                <c:pt idx="5">
                  <c:v>18-Q1</c:v>
                </c:pt>
                <c:pt idx="6">
                  <c:v>17-Q4</c:v>
                </c:pt>
                <c:pt idx="7">
                  <c:v>17-Q3</c:v>
                </c:pt>
                <c:pt idx="8">
                  <c:v>17-Q2</c:v>
                </c:pt>
                <c:pt idx="9">
                  <c:v>17-Q1</c:v>
                </c:pt>
                <c:pt idx="10">
                  <c:v>16-Q4</c:v>
                </c:pt>
                <c:pt idx="11">
                  <c:v>16-Q3</c:v>
                </c:pt>
                <c:pt idx="12">
                  <c:v>16-Q2</c:v>
                </c:pt>
                <c:pt idx="13">
                  <c:v>16-Q1</c:v>
                </c:pt>
                <c:pt idx="14">
                  <c:v>15-Q4</c:v>
                </c:pt>
                <c:pt idx="15">
                  <c:v>15-Q3</c:v>
                </c:pt>
                <c:pt idx="16">
                  <c:v>15-Q2</c:v>
                </c:pt>
                <c:pt idx="17">
                  <c:v>15-Q1</c:v>
                </c:pt>
                <c:pt idx="18">
                  <c:v>14-Q4</c:v>
                </c:pt>
                <c:pt idx="19">
                  <c:v>14-Q3</c:v>
                </c:pt>
                <c:pt idx="20">
                  <c:v>14-Q2</c:v>
                </c:pt>
              </c:strCache>
            </c:strRef>
          </c:cat>
          <c:val>
            <c:numRef>
              <c:f>SA!$G$15:$AA$15</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3-62A7-4228-A6E1-08A6D812B78F}"/>
            </c:ext>
          </c:extLst>
        </c:ser>
        <c:dLbls>
          <c:showLegendKey val="0"/>
          <c:showVal val="0"/>
          <c:showCatName val="0"/>
          <c:showSerName val="0"/>
          <c:showPercent val="0"/>
          <c:showBubbleSize val="0"/>
        </c:dLbls>
        <c:marker val="1"/>
        <c:smooth val="0"/>
        <c:axId val="76337536"/>
        <c:axId val="76339456"/>
      </c:lineChart>
      <c:catAx>
        <c:axId val="76337536"/>
        <c:scaling>
          <c:orientation val="minMax"/>
        </c:scaling>
        <c:delete val="0"/>
        <c:axPos val="b"/>
        <c:title>
          <c:tx>
            <c:rich>
              <a:bodyPr/>
              <a:lstStyle/>
              <a:p>
                <a:pPr lvl="0">
                  <a:defRPr b="0">
                    <a:solidFill>
                      <a:srgbClr val="000000"/>
                    </a:solidFill>
                    <a:latin typeface="Calibri"/>
                  </a:defRPr>
                </a:pPr>
                <a:endParaRPr lang="en-US"/>
              </a:p>
            </c:rich>
          </c:tx>
          <c:overlay val="0"/>
        </c:title>
        <c:numFmt formatCode="General" sourceLinked="1"/>
        <c:majorTickMark val="cross"/>
        <c:minorTickMark val="cross"/>
        <c:tickLblPos val="nextTo"/>
        <c:txPr>
          <a:bodyPr/>
          <a:lstStyle/>
          <a:p>
            <a:pPr lvl="0">
              <a:defRPr b="0">
                <a:solidFill>
                  <a:srgbClr val="000000"/>
                </a:solidFill>
                <a:latin typeface="Calibri"/>
              </a:defRPr>
            </a:pPr>
            <a:endParaRPr lang="en-US"/>
          </a:p>
        </c:txPr>
        <c:crossAx val="76339456"/>
        <c:crosses val="autoZero"/>
        <c:auto val="1"/>
        <c:lblAlgn val="ctr"/>
        <c:lblOffset val="100"/>
        <c:noMultiLvlLbl val="1"/>
      </c:catAx>
      <c:valAx>
        <c:axId val="76339456"/>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Calibri"/>
                  </a:defRPr>
                </a:pPr>
                <a:endParaRPr lang="en-US"/>
              </a:p>
            </c:rich>
          </c:tx>
          <c:overlay val="0"/>
        </c:title>
        <c:numFmt formatCode="General" sourceLinked="1"/>
        <c:majorTickMark val="cross"/>
        <c:minorTickMark val="cross"/>
        <c:tickLblPos val="nextTo"/>
        <c:spPr>
          <a:ln w="47625">
            <a:noFill/>
          </a:ln>
        </c:spPr>
        <c:txPr>
          <a:bodyPr/>
          <a:lstStyle/>
          <a:p>
            <a:pPr lvl="0">
              <a:defRPr b="0">
                <a:solidFill>
                  <a:srgbClr val="000000"/>
                </a:solidFill>
                <a:latin typeface="Calibri"/>
              </a:defRPr>
            </a:pPr>
            <a:endParaRPr lang="en-US"/>
          </a:p>
        </c:txPr>
        <c:crossAx val="76337536"/>
        <c:crosses val="autoZero"/>
        <c:crossBetween val="between"/>
      </c:valAx>
      <c:spPr>
        <a:solidFill>
          <a:srgbClr val="FFFFFF"/>
        </a:solidFill>
      </c:spPr>
    </c:plotArea>
    <c:legend>
      <c:legendPos val="r"/>
      <c:overlay val="0"/>
      <c:txPr>
        <a:bodyPr/>
        <a:lstStyle/>
        <a:p>
          <a:pPr lvl="0">
            <a:defRPr b="0">
              <a:solidFill>
                <a:srgbClr val="000000"/>
              </a:solidFill>
              <a:latin typeface="Calibri"/>
            </a:defRPr>
          </a:pPr>
          <a:endParaRPr lang="en-US"/>
        </a:p>
      </c:txPr>
    </c:legend>
    <c:plotVisOnly val="1"/>
    <c:dispBlanksAs val="zero"/>
    <c:showDLblsOverMax val="1"/>
  </c:chart>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0.14222139871612799"/>
          <c:y val="0.13767581754983327"/>
          <c:w val="0.85748344952108702"/>
          <c:h val="0.6961861388948003"/>
        </c:manualLayout>
      </c:layout>
      <c:lineChart>
        <c:grouping val="standard"/>
        <c:varyColors val="1"/>
        <c:ser>
          <c:idx val="0"/>
          <c:order val="0"/>
          <c:marker>
            <c:symbol val="circle"/>
            <c:size val="5"/>
            <c:spPr>
              <a:solidFill>
                <a:schemeClr val="accent1"/>
              </a:solidFill>
              <a:ln cmpd="sng">
                <a:solidFill>
                  <a:schemeClr val="accent1"/>
                </a:solidFill>
              </a:ln>
            </c:spPr>
          </c:marker>
          <c:cat>
            <c:strRef>
              <c:f>NSA!$G$10:$AA$10</c:f>
              <c:strCache>
                <c:ptCount val="21"/>
                <c:pt idx="0">
                  <c:v>Curr</c:v>
                </c:pt>
                <c:pt idx="1">
                  <c:v>19-Q1</c:v>
                </c:pt>
                <c:pt idx="2">
                  <c:v>18-Q4</c:v>
                </c:pt>
                <c:pt idx="3">
                  <c:v>18-Q3</c:v>
                </c:pt>
                <c:pt idx="4">
                  <c:v>18-Q2</c:v>
                </c:pt>
                <c:pt idx="5">
                  <c:v>18-Q1</c:v>
                </c:pt>
                <c:pt idx="6">
                  <c:v>17-Q4</c:v>
                </c:pt>
                <c:pt idx="7">
                  <c:v>17-Q3</c:v>
                </c:pt>
                <c:pt idx="8">
                  <c:v>17-Q2</c:v>
                </c:pt>
                <c:pt idx="9">
                  <c:v>17-Q1</c:v>
                </c:pt>
                <c:pt idx="10">
                  <c:v>16-Q4</c:v>
                </c:pt>
                <c:pt idx="11">
                  <c:v>16-Q3</c:v>
                </c:pt>
                <c:pt idx="12">
                  <c:v>16-Q2</c:v>
                </c:pt>
                <c:pt idx="13">
                  <c:v>16-Q1</c:v>
                </c:pt>
                <c:pt idx="14">
                  <c:v>15-Q4</c:v>
                </c:pt>
                <c:pt idx="15">
                  <c:v>15-Q3</c:v>
                </c:pt>
                <c:pt idx="16">
                  <c:v>15-Q2</c:v>
                </c:pt>
                <c:pt idx="17">
                  <c:v>15-Q1</c:v>
                </c:pt>
                <c:pt idx="18">
                  <c:v>14-Q4</c:v>
                </c:pt>
                <c:pt idx="19">
                  <c:v>14-Q3</c:v>
                </c:pt>
                <c:pt idx="20">
                  <c:v>14-Q2</c:v>
                </c:pt>
              </c:strCache>
            </c:strRef>
          </c:cat>
          <c:val>
            <c:numRef>
              <c:f>NSA!$G$12:$AA$12</c:f>
              <c:numCache>
                <c:formatCode>General</c:formatCode>
                <c:ptCount val="21"/>
                <c:pt idx="0">
                  <c:v>893.55000000000007</c:v>
                </c:pt>
                <c:pt idx="1">
                  <c:v>4537.0499999999993</c:v>
                </c:pt>
                <c:pt idx="2">
                  <c:v>3735.8999999999996</c:v>
                </c:pt>
                <c:pt idx="3">
                  <c:v>2645.1</c:v>
                </c:pt>
                <c:pt idx="4">
                  <c:v>3783.75</c:v>
                </c:pt>
                <c:pt idx="5">
                  <c:v>3997.5</c:v>
                </c:pt>
                <c:pt idx="6">
                  <c:v>3376.05</c:v>
                </c:pt>
                <c:pt idx="7">
                  <c:v>4596.1499999999996</c:v>
                </c:pt>
                <c:pt idx="8">
                  <c:v>4757.0999999999995</c:v>
                </c:pt>
                <c:pt idx="9">
                  <c:v>4752</c:v>
                </c:pt>
                <c:pt idx="10">
                  <c:v>5299.2000000000007</c:v>
                </c:pt>
                <c:pt idx="11">
                  <c:v>4364.55</c:v>
                </c:pt>
                <c:pt idx="12">
                  <c:v>5972.4</c:v>
                </c:pt>
                <c:pt idx="13">
                  <c:v>4529.9400000000005</c:v>
                </c:pt>
                <c:pt idx="14">
                  <c:v>3278.76</c:v>
                </c:pt>
                <c:pt idx="15">
                  <c:v>3180.93</c:v>
                </c:pt>
                <c:pt idx="16">
                  <c:v>2178.9299999999998</c:v>
                </c:pt>
                <c:pt idx="17">
                  <c:v>2322.96</c:v>
                </c:pt>
                <c:pt idx="18">
                  <c:v>1926.8999999999999</c:v>
                </c:pt>
                <c:pt idx="19">
                  <c:v>1892.37</c:v>
                </c:pt>
                <c:pt idx="20">
                  <c:v>2225.4299999999998</c:v>
                </c:pt>
              </c:numCache>
            </c:numRef>
          </c:val>
          <c:smooth val="0"/>
          <c:extLst>
            <c:ext xmlns:c16="http://schemas.microsoft.com/office/drawing/2014/chart" uri="{C3380CC4-5D6E-409C-BE32-E72D297353CC}">
              <c16:uniqueId val="{00000000-D617-4E29-B517-BFA3C13E77B2}"/>
            </c:ext>
          </c:extLst>
        </c:ser>
        <c:ser>
          <c:idx val="1"/>
          <c:order val="1"/>
          <c:marker>
            <c:symbol val="circle"/>
            <c:size val="5"/>
            <c:spPr>
              <a:solidFill>
                <a:schemeClr val="accent2"/>
              </a:solidFill>
              <a:ln cmpd="sng">
                <a:solidFill>
                  <a:schemeClr val="accent2"/>
                </a:solidFill>
              </a:ln>
            </c:spPr>
          </c:marker>
          <c:cat>
            <c:strRef>
              <c:f>NSA!$G$10:$AA$10</c:f>
              <c:strCache>
                <c:ptCount val="21"/>
                <c:pt idx="0">
                  <c:v>Curr</c:v>
                </c:pt>
                <c:pt idx="1">
                  <c:v>19-Q1</c:v>
                </c:pt>
                <c:pt idx="2">
                  <c:v>18-Q4</c:v>
                </c:pt>
                <c:pt idx="3">
                  <c:v>18-Q3</c:v>
                </c:pt>
                <c:pt idx="4">
                  <c:v>18-Q2</c:v>
                </c:pt>
                <c:pt idx="5">
                  <c:v>18-Q1</c:v>
                </c:pt>
                <c:pt idx="6">
                  <c:v>17-Q4</c:v>
                </c:pt>
                <c:pt idx="7">
                  <c:v>17-Q3</c:v>
                </c:pt>
                <c:pt idx="8">
                  <c:v>17-Q2</c:v>
                </c:pt>
                <c:pt idx="9">
                  <c:v>17-Q1</c:v>
                </c:pt>
                <c:pt idx="10">
                  <c:v>16-Q4</c:v>
                </c:pt>
                <c:pt idx="11">
                  <c:v>16-Q3</c:v>
                </c:pt>
                <c:pt idx="12">
                  <c:v>16-Q2</c:v>
                </c:pt>
                <c:pt idx="13">
                  <c:v>16-Q1</c:v>
                </c:pt>
                <c:pt idx="14">
                  <c:v>15-Q4</c:v>
                </c:pt>
                <c:pt idx="15">
                  <c:v>15-Q3</c:v>
                </c:pt>
                <c:pt idx="16">
                  <c:v>15-Q2</c:v>
                </c:pt>
                <c:pt idx="17">
                  <c:v>15-Q1</c:v>
                </c:pt>
                <c:pt idx="18">
                  <c:v>14-Q4</c:v>
                </c:pt>
                <c:pt idx="19">
                  <c:v>14-Q3</c:v>
                </c:pt>
                <c:pt idx="20">
                  <c:v>14-Q2</c:v>
                </c:pt>
              </c:strCache>
            </c:strRef>
          </c:cat>
          <c:val>
            <c:numRef>
              <c:f>NSA!$G$13:$AA$13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1-D617-4E29-B517-BFA3C13E77B2}"/>
            </c:ext>
          </c:extLst>
        </c:ser>
        <c:ser>
          <c:idx val="2"/>
          <c:order val="2"/>
          <c:marker>
            <c:symbol val="circle"/>
            <c:size val="5"/>
            <c:spPr>
              <a:solidFill>
                <a:schemeClr val="accent3"/>
              </a:solidFill>
              <a:ln cmpd="sng">
                <a:solidFill>
                  <a:schemeClr val="accent3"/>
                </a:solidFill>
              </a:ln>
            </c:spPr>
          </c:marker>
          <c:cat>
            <c:strRef>
              <c:f>NSA!$G$10:$AA$10</c:f>
              <c:strCache>
                <c:ptCount val="21"/>
                <c:pt idx="0">
                  <c:v>Curr</c:v>
                </c:pt>
                <c:pt idx="1">
                  <c:v>19-Q1</c:v>
                </c:pt>
                <c:pt idx="2">
                  <c:v>18-Q4</c:v>
                </c:pt>
                <c:pt idx="3">
                  <c:v>18-Q3</c:v>
                </c:pt>
                <c:pt idx="4">
                  <c:v>18-Q2</c:v>
                </c:pt>
                <c:pt idx="5">
                  <c:v>18-Q1</c:v>
                </c:pt>
                <c:pt idx="6">
                  <c:v>17-Q4</c:v>
                </c:pt>
                <c:pt idx="7">
                  <c:v>17-Q3</c:v>
                </c:pt>
                <c:pt idx="8">
                  <c:v>17-Q2</c:v>
                </c:pt>
                <c:pt idx="9">
                  <c:v>17-Q1</c:v>
                </c:pt>
                <c:pt idx="10">
                  <c:v>16-Q4</c:v>
                </c:pt>
                <c:pt idx="11">
                  <c:v>16-Q3</c:v>
                </c:pt>
                <c:pt idx="12">
                  <c:v>16-Q2</c:v>
                </c:pt>
                <c:pt idx="13">
                  <c:v>16-Q1</c:v>
                </c:pt>
                <c:pt idx="14">
                  <c:v>15-Q4</c:v>
                </c:pt>
                <c:pt idx="15">
                  <c:v>15-Q3</c:v>
                </c:pt>
                <c:pt idx="16">
                  <c:v>15-Q2</c:v>
                </c:pt>
                <c:pt idx="17">
                  <c:v>15-Q1</c:v>
                </c:pt>
                <c:pt idx="18">
                  <c:v>14-Q4</c:v>
                </c:pt>
                <c:pt idx="19">
                  <c:v>14-Q3</c:v>
                </c:pt>
                <c:pt idx="20">
                  <c:v>14-Q2</c:v>
                </c:pt>
              </c:strCache>
            </c:strRef>
          </c:cat>
          <c:val>
            <c:numRef>
              <c:f>NSA!$G$14:$AA$14</c:f>
              <c:numCache>
                <c:formatCode>General</c:formatCode>
                <c:ptCount val="21"/>
                <c:pt idx="0">
                  <c:v>181194.9448131542</c:v>
                </c:pt>
                <c:pt idx="1">
                  <c:v>149227.73469632692</c:v>
                </c:pt>
                <c:pt idx="2">
                  <c:v>171659.6411555607</c:v>
                </c:pt>
                <c:pt idx="3">
                  <c:v>139751.00969601562</c:v>
                </c:pt>
                <c:pt idx="4">
                  <c:v>214324.42987605574</c:v>
                </c:pt>
                <c:pt idx="5">
                  <c:v>208403.3363907749</c:v>
                </c:pt>
                <c:pt idx="6">
                  <c:v>146998.95625973487</c:v>
                </c:pt>
                <c:pt idx="7">
                  <c:v>137276.75879081269</c:v>
                </c:pt>
                <c:pt idx="8">
                  <c:v>101611.65470555548</c:v>
                </c:pt>
                <c:pt idx="9">
                  <c:v>149051.99872448051</c:v>
                </c:pt>
                <c:pt idx="10">
                  <c:v>182250.29046418963</c:v>
                </c:pt>
                <c:pt idx="11">
                  <c:v>142860.32763175355</c:v>
                </c:pt>
                <c:pt idx="12">
                  <c:v>-302240.76643702859</c:v>
                </c:pt>
                <c:pt idx="13">
                  <c:v>195267.76986022168</c:v>
                </c:pt>
                <c:pt idx="14">
                  <c:v>186692.04039810717</c:v>
                </c:pt>
                <c:pt idx="15">
                  <c:v>177271.10459520738</c:v>
                </c:pt>
                <c:pt idx="16">
                  <c:v>130226.86387790448</c:v>
                </c:pt>
                <c:pt idx="17">
                  <c:v>157394.34337742333</c:v>
                </c:pt>
                <c:pt idx="18">
                  <c:v>167509.85468809708</c:v>
                </c:pt>
                <c:pt idx="19">
                  <c:v>158370.65433212573</c:v>
                </c:pt>
                <c:pt idx="20">
                  <c:v>154987.03950911426</c:v>
                </c:pt>
              </c:numCache>
            </c:numRef>
          </c:val>
          <c:smooth val="0"/>
          <c:extLst>
            <c:ext xmlns:c16="http://schemas.microsoft.com/office/drawing/2014/chart" uri="{C3380CC4-5D6E-409C-BE32-E72D297353CC}">
              <c16:uniqueId val="{00000002-D617-4E29-B517-BFA3C13E77B2}"/>
            </c:ext>
          </c:extLst>
        </c:ser>
        <c:ser>
          <c:idx val="3"/>
          <c:order val="3"/>
          <c:marker>
            <c:symbol val="circle"/>
            <c:size val="5"/>
            <c:spPr>
              <a:solidFill>
                <a:schemeClr val="accent4"/>
              </a:solidFill>
              <a:ln cmpd="sng">
                <a:solidFill>
                  <a:schemeClr val="accent4"/>
                </a:solidFill>
              </a:ln>
            </c:spPr>
          </c:marker>
          <c:cat>
            <c:strRef>
              <c:f>NSA!$G$10:$AA$10</c:f>
              <c:strCache>
                <c:ptCount val="21"/>
                <c:pt idx="0">
                  <c:v>Curr</c:v>
                </c:pt>
                <c:pt idx="1">
                  <c:v>19-Q1</c:v>
                </c:pt>
                <c:pt idx="2">
                  <c:v>18-Q4</c:v>
                </c:pt>
                <c:pt idx="3">
                  <c:v>18-Q3</c:v>
                </c:pt>
                <c:pt idx="4">
                  <c:v>18-Q2</c:v>
                </c:pt>
                <c:pt idx="5">
                  <c:v>18-Q1</c:v>
                </c:pt>
                <c:pt idx="6">
                  <c:v>17-Q4</c:v>
                </c:pt>
                <c:pt idx="7">
                  <c:v>17-Q3</c:v>
                </c:pt>
                <c:pt idx="8">
                  <c:v>17-Q2</c:v>
                </c:pt>
                <c:pt idx="9">
                  <c:v>17-Q1</c:v>
                </c:pt>
                <c:pt idx="10">
                  <c:v>16-Q4</c:v>
                </c:pt>
                <c:pt idx="11">
                  <c:v>16-Q3</c:v>
                </c:pt>
                <c:pt idx="12">
                  <c:v>16-Q2</c:v>
                </c:pt>
                <c:pt idx="13">
                  <c:v>16-Q1</c:v>
                </c:pt>
                <c:pt idx="14">
                  <c:v>15-Q4</c:v>
                </c:pt>
                <c:pt idx="15">
                  <c:v>15-Q3</c:v>
                </c:pt>
                <c:pt idx="16">
                  <c:v>15-Q2</c:v>
                </c:pt>
                <c:pt idx="17">
                  <c:v>15-Q1</c:v>
                </c:pt>
                <c:pt idx="18">
                  <c:v>14-Q4</c:v>
                </c:pt>
                <c:pt idx="19">
                  <c:v>14-Q3</c:v>
                </c:pt>
                <c:pt idx="20">
                  <c:v>14-Q2</c:v>
                </c:pt>
              </c:strCache>
            </c:strRef>
          </c:cat>
          <c:val>
            <c:numRef>
              <c:f>NSA!$G$15:$AA$15</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3-D617-4E29-B517-BFA3C13E77B2}"/>
            </c:ext>
          </c:extLst>
        </c:ser>
        <c:dLbls>
          <c:showLegendKey val="0"/>
          <c:showVal val="0"/>
          <c:showCatName val="0"/>
          <c:showSerName val="0"/>
          <c:showPercent val="0"/>
          <c:showBubbleSize val="0"/>
        </c:dLbls>
        <c:marker val="1"/>
        <c:smooth val="0"/>
        <c:axId val="76337536"/>
        <c:axId val="76339456"/>
      </c:lineChart>
      <c:catAx>
        <c:axId val="76337536"/>
        <c:scaling>
          <c:orientation val="minMax"/>
        </c:scaling>
        <c:delete val="0"/>
        <c:axPos val="b"/>
        <c:title>
          <c:tx>
            <c:rich>
              <a:bodyPr/>
              <a:lstStyle/>
              <a:p>
                <a:pPr lvl="0">
                  <a:defRPr b="0">
                    <a:solidFill>
                      <a:srgbClr val="000000"/>
                    </a:solidFill>
                    <a:latin typeface="Calibri"/>
                  </a:defRPr>
                </a:pPr>
                <a:endParaRPr lang="en-US"/>
              </a:p>
            </c:rich>
          </c:tx>
          <c:overlay val="0"/>
        </c:title>
        <c:numFmt formatCode="General" sourceLinked="1"/>
        <c:majorTickMark val="cross"/>
        <c:minorTickMark val="cross"/>
        <c:tickLblPos val="nextTo"/>
        <c:txPr>
          <a:bodyPr/>
          <a:lstStyle/>
          <a:p>
            <a:pPr lvl="0">
              <a:defRPr b="0">
                <a:solidFill>
                  <a:srgbClr val="000000"/>
                </a:solidFill>
                <a:latin typeface="Calibri"/>
              </a:defRPr>
            </a:pPr>
            <a:endParaRPr lang="en-US"/>
          </a:p>
        </c:txPr>
        <c:crossAx val="76339456"/>
        <c:crosses val="autoZero"/>
        <c:auto val="1"/>
        <c:lblAlgn val="ctr"/>
        <c:lblOffset val="100"/>
        <c:noMultiLvlLbl val="1"/>
      </c:catAx>
      <c:valAx>
        <c:axId val="76339456"/>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Calibri"/>
                  </a:defRPr>
                </a:pPr>
                <a:endParaRPr lang="en-US"/>
              </a:p>
            </c:rich>
          </c:tx>
          <c:overlay val="0"/>
        </c:title>
        <c:numFmt formatCode="General" sourceLinked="1"/>
        <c:majorTickMark val="cross"/>
        <c:minorTickMark val="cross"/>
        <c:tickLblPos val="nextTo"/>
        <c:spPr>
          <a:ln w="47625">
            <a:noFill/>
          </a:ln>
        </c:spPr>
        <c:txPr>
          <a:bodyPr/>
          <a:lstStyle/>
          <a:p>
            <a:pPr lvl="0">
              <a:defRPr b="0">
                <a:solidFill>
                  <a:srgbClr val="000000"/>
                </a:solidFill>
                <a:latin typeface="Calibri"/>
              </a:defRPr>
            </a:pPr>
            <a:endParaRPr lang="en-US"/>
          </a:p>
        </c:txPr>
        <c:crossAx val="76337536"/>
        <c:crosses val="autoZero"/>
        <c:crossBetween val="between"/>
      </c:valAx>
      <c:spPr>
        <a:solidFill>
          <a:srgbClr val="FFFFFF"/>
        </a:solidFill>
      </c:spPr>
    </c:plotArea>
    <c:legend>
      <c:legendPos val="r"/>
      <c:overlay val="0"/>
      <c:txPr>
        <a:bodyPr/>
        <a:lstStyle/>
        <a:p>
          <a:pPr lvl="0">
            <a:defRPr b="0">
              <a:solidFill>
                <a:srgbClr val="000000"/>
              </a:solidFill>
              <a:latin typeface="Calibri"/>
            </a:defRPr>
          </a:pPr>
          <a:endParaRPr lang="en-US"/>
        </a:p>
      </c:txPr>
    </c:legend>
    <c:plotVisOnly val="1"/>
    <c:dispBlanksAs val="zero"/>
    <c:showDLblsOverMax val="1"/>
  </c:chart>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xdr:col>
      <xdr:colOff>0</xdr:colOff>
      <xdr:row>0</xdr:row>
      <xdr:rowOff>76200</xdr:rowOff>
    </xdr:from>
    <xdr:ext cx="14430375" cy="1514475"/>
    <xdr:graphicFrame macro="">
      <xdr:nvGraphicFramePr>
        <xdr:cNvPr id="2" name="Chart 1">
          <a:extLst>
            <a:ext uri="{FF2B5EF4-FFF2-40B4-BE49-F238E27FC236}">
              <a16:creationId xmlns:a16="http://schemas.microsoft.com/office/drawing/2014/main" id="{C3ABA875-967B-4871-94A5-00445C75E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0</xdr:colOff>
      <xdr:row>0</xdr:row>
      <xdr:rowOff>76200</xdr:rowOff>
    </xdr:from>
    <xdr:ext cx="14430375" cy="1514475"/>
    <xdr:graphicFrame macro="">
      <xdr:nvGraphicFramePr>
        <xdr:cNvPr id="2" name="Chart 1">
          <a:extLst>
            <a:ext uri="{FF2B5EF4-FFF2-40B4-BE49-F238E27FC236}">
              <a16:creationId xmlns:a16="http://schemas.microsoft.com/office/drawing/2014/main" id="{7A91A71F-3F94-45E4-AA30-4967A4FCE6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tock%20Analysis%20Report-%20Unwant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ow r="46">
          <cell r="G46">
            <v>68</v>
          </cell>
        </row>
      </sheetData>
      <sheetData sheetId="1"/>
      <sheetData sheetId="2"/>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78">
  <rv s="0">
    <v>https://www.bing.com/financeapi/forcetrigger?t=ahb5u2&amp;q=XBOM%3a524091&amp;form=skydnc</v>
    <v>Learn more on Bing</v>
  </rv>
  <rv s="1">
    <v>en-US</v>
    <v>ahb5u2</v>
    <v>268435456</v>
    <v>1</v>
    <v>Powered by Refinitiv</v>
    <v>0</v>
    <v>CARYSIL LIMITED (XBOM:524091)</v>
    <v>2</v>
    <v>3</v>
    <v>Finance</v>
    <v>4</v>
    <v>900</v>
    <v>441.2</v>
    <v>1.2170000000000001</v>
    <v>-0.6</v>
    <v>-1.341E-3</v>
    <v>INR</v>
    <v>Carysil Limited, formerly Acrysil Limited, is an India-based company, which is engaged in the manufacturing and trading of quartz kitchen sinks, stainless steel kitchen sinks, bath products, tiles, kitchen appliances and accessories. The Company operates under the brand name CARYSIL. It serves the customers in approximately 30 countries, such as United States, United Kingdom, Germany, France, Canada, China, the Far East and Gulf Countries. The Company provides a range of bathrooms and kitchens products. Its brands include Sternhagen and Carysil. Sternhagen offers Quartz models for basins for bathrooms. The Company has launched new Rose Gold collection of premium sanitaryware and bathroom fittings at Mumbai and Bengaluru showrooms. It provides a range of online sales for kitchen portfolio. Carysil offers Quartz Antibacterial Sinks and Stainless-Steel integrated worktops. Carysil also offers chimney with motion sensor, oil collector and auto-cleaning.</v>
    <v>539</v>
    <v>Bombay Stock Exchange</v>
    <v>XBOM</v>
    <v>XBOM</v>
    <v>Survey No.312, Bhavnagar-Rajkot Highway (13th Km.), avagam, Post: Vartej, Bhavnaga, BHAVNAGAR, GUJARAT, 364060 IN</v>
    <v>455.95</v>
    <v>Homebuilding &amp; Construction Supplies</v>
    <v>Stock</v>
    <v>44939.438368055555</v>
    <v>0</v>
    <v>444</v>
    <v>11991150000</v>
    <v>CARYSIL LIMITED</v>
    <v>CARYSIL LIMITED</v>
    <v>455.05</v>
    <v>19.41</v>
    <v>447.4</v>
    <v>446.8</v>
    <v>26771940</v>
    <v>524091</v>
    <v>CARYSIL LIMITED (XBOM:524091)</v>
    <v>8338</v>
    <v>49130</v>
    <v>1987</v>
  </rv>
  <rv s="2">
    <v>1</v>
  </rv>
  <rv s="0">
    <v>https://www.bing.com/financeapi/forcetrigger?t=br7hhw&amp;q=XNSE%3aAFFLE&amp;form=skydnc</v>
    <v>Learn more on Bing</v>
  </rv>
  <rv s="1">
    <v>en-US</v>
    <v>br7hhw</v>
    <v>268435456</v>
    <v>1</v>
    <v>Powered by Refinitiv</v>
    <v>0</v>
    <v>AFFLE (INDIA) LIMITED (XNSE:AFFLE)</v>
    <v>2</v>
    <v>3</v>
    <v>Finance</v>
    <v>5</v>
    <v>1511</v>
    <v>871.55</v>
    <v>1.6954</v>
    <v>-9.9</v>
    <v>-9.5599999999999991E-3</v>
    <v>INR</v>
    <v>Affle (India) Limited is an India-based global technology company, which offers a consumer intelligence platform that delivers consumer recommendations and conversions through relevant mobile advertising for brands and business-to-consumer companies globally. The Company’s segments include the Consumer platform and Enterprise platform. Its platforms include Appnext, Jampp, Mass, Faas, Mediasmart, mTraction Enterprise, RevX and Vizury. Its consumer platform primarily provides services, such as new consumer conversions, retargeting existing consumers, taking them closer to transactions. It also provides end-to-end solutions for enterprises to enhance their engagement with mobile users, such as developing Apps, enabling offline to online commerce for offline businesses with e-commerce aspirations and providing enterprise-grade data analytics for online and offline companies. Its user acquisition and engagement solutions help apps, businesses and brands to discover their customers.</v>
    <v>557</v>
    <v>National Stock Exchange of India</v>
    <v>XNSE</v>
    <v>XNSE</v>
    <v>601-612,, 6th Tower C, JMD Megapoli, GURGAON, HARYANA, 122018 IN</v>
    <v>1041.95</v>
    <v>Media &amp; Publishing</v>
    <v>Stock</v>
    <v>44939.474432870367</v>
    <v>3</v>
    <v>1023</v>
    <v>136590000000</v>
    <v>AFFLE (INDIA) LIMITED</v>
    <v>AFFLE (INDIA) LIMITED</v>
    <v>1040.7</v>
    <v>56.46</v>
    <v>1035.55</v>
    <v>1025.6500000000001</v>
    <v>133174100</v>
    <v>AFFLE</v>
    <v>AFFLE (INDIA) LIMITED (XNSE:AFFLE)</v>
    <v>98085</v>
    <v>167380</v>
    <v>1994</v>
  </rv>
  <rv s="2">
    <v>4</v>
  </rv>
  <rv s="0">
    <v>https://www.bing.com/financeapi/forcetrigger?t=ahgucw&amp;q=XNSE%3aALKYLAMINE&amp;form=skydnc</v>
    <v>Learn more on Bing</v>
  </rv>
  <rv s="1">
    <v>en-US</v>
    <v>ahgucw</v>
    <v>268435456</v>
    <v>1</v>
    <v>Powered by Refinitiv</v>
    <v>0</v>
    <v>ALKYL AMINES CHEMICALS LIMITED (XNSE:ALKYLAMINE)</v>
    <v>2</v>
    <v>3</v>
    <v>Finance</v>
    <v>5</v>
    <v>3797.6</v>
    <v>2506.1999999999998</v>
    <v>1.1445000000000001</v>
    <v>-47.9</v>
    <v>-1.7413000000000001E-2</v>
    <v>INR</v>
    <v>Alkyl Amines Chemicals Limited is an India-based company, which is engaged in the business of manufacturing and marketing various aliphatic amines, amine derivatives and other specialty chemicals. It supplies amines and amine-based chemicals to the pharmaceutical, agrochemical, rubber, chemical and water treatment industries. Its products include Methylamine, Ethylamine, Isopropylamine, Propylamines, Cyclohexylamines, Butylamines, Ethylhexylamines and Furfurylamine. Methylamines are used as ingredients in pharmaceuticals, insecticides, paint removers, surfactants, and rubber chemicals. Isopropylamines are used as ingredients in the life sciences and other specialty areas. Cyclohexylamines are used as ingredients in water treatment and specialty areas like artificial sweeteners. The Company exports its products to approximately 10 countries, including Philippines, United States of America, Israel, Norway, Spain, United Kingdom, Switzerland, Belgium, Malaysia, and Middle East countries.</v>
    <v>640</v>
    <v>National Stock Exchange of India</v>
    <v>XNSE</v>
    <v>XNSE</v>
    <v>207-A, Kakad Chembers,, Dr.Annie Besant Road,, Worli,, MUMBAI, MAHARASHTRA, 400018 IN</v>
    <v>2780</v>
    <v>Chemicals</v>
    <v>Stock</v>
    <v>44939.474432870367</v>
    <v>6</v>
    <v>2690</v>
    <v>138117000000</v>
    <v>ALKYL AMINES CHEMICALS LIMITED</v>
    <v>ALKYL AMINES CHEMICALS LIMITED</v>
    <v>2771</v>
    <v>62.02</v>
    <v>2750.75</v>
    <v>2702.85</v>
    <v>51100490</v>
    <v>ALKYLAMINE</v>
    <v>ALKYL AMINES CHEMICALS LIMITED (XNSE:ALKYLAMINE)</v>
    <v>18189</v>
    <v>22310</v>
    <v>1979</v>
  </rv>
  <rv s="2">
    <v>7</v>
  </rv>
  <rv s="0">
    <v>https://www.bing.com/financeapi/forcetrigger?t=ahgv3m&amp;q=XNSE%3aAMBIKCO&amp;form=skydnc</v>
    <v>Learn more on Bing</v>
  </rv>
  <rv s="1">
    <v>en-US</v>
    <v>ahgv3m</v>
    <v>268435456</v>
    <v>1</v>
    <v>Powered by Refinitiv</v>
    <v>0</v>
    <v>AMBIKA COTTON MILLS LIMITED (XNSE:AMBIKCO)</v>
    <v>2</v>
    <v>3</v>
    <v>Finance</v>
    <v>5</v>
    <v>2830</v>
    <v>1325</v>
    <v>1.0754999999999999</v>
    <v>-2.25</v>
    <v>-1.421E-3</v>
    <v>INR</v>
    <v>Ambika Cotton Mills Limited is an India-based company engaged in manufacturing and selling specialty cotton yarn. The Company's geographic segments include Europe, Asia, North America and India. The Company manufactures compact and elitwist cotton yarn for hosiery and weaving. The Company manufactures cotton yarn counts varying from 20s to 120s combed, which goes for the manufacture of branded shirts and t-shirts globally. Its products are made from various imported and Indian cotton. The Company manufactures cotton ring spun and compact yarn for shirting. The Company operates approximately four manufacturing units, which are situated in Dindigul, Tamil Nadu with a total spindle capacity of approximately 1,08,288 of compacting system, which converts 40,000 kilograms (Kgs) of yarn per day into fabrics. The Company's yarn is used by shirt manufacturers and knitted garment manufacturers. It has operations in the international and domestic yarn market.</v>
    <v>1824</v>
    <v>National Stock Exchange of India</v>
    <v>XNSE</v>
    <v>XNSE</v>
    <v>9A Valluvar Street, Sivanandha Colony, COIMBATORE, TAMIL NADU, 641012 IN</v>
    <v>1600</v>
    <v>Textiles &amp; Apparel</v>
    <v>Stock</v>
    <v>44939.474432870367</v>
    <v>9</v>
    <v>1565.7</v>
    <v>9052942000</v>
    <v>AMBIKA COTTON MILLS LIMITED</v>
    <v>AMBIKA COTTON MILLS LIMITED</v>
    <v>1571</v>
    <v>5.48</v>
    <v>1583.55</v>
    <v>1581.3</v>
    <v>5725000</v>
    <v>AMBIKCO</v>
    <v>AMBIKA COTTON MILLS LIMITED (XNSE:AMBIKCO)</v>
    <v>10428</v>
    <v>10470</v>
    <v>1988</v>
  </rv>
  <rv s="2">
    <v>10</v>
  </rv>
  <rv s="0">
    <v>https://www.bing.com/financeapi/forcetrigger?t=ahgwh7&amp;q=XNSE%3aAPCOTEXIND&amp;form=skydnc</v>
    <v>Learn more on Bing</v>
  </rv>
  <rv s="1">
    <v>en-US</v>
    <v>ahgwh7</v>
    <v>268435456</v>
    <v>1</v>
    <v>Powered by Refinitiv</v>
    <v>0</v>
    <v>APCOTEX INDUSTRIES LIMITED (XNSE:APCOTEXIND)</v>
    <v>2</v>
    <v>3</v>
    <v>Finance</v>
    <v>5</v>
    <v>679</v>
    <v>308.25</v>
    <v>1.0422</v>
    <v>33.549999999999997</v>
    <v>7.7501E-2</v>
    <v>INR</v>
    <v>Apcotex Industries Limited is engaged in the business of synthetic emulsion polymers. The Company is a producer of synthetic rubber, such as nitrile-butadiene rubber (NBR) and high styrene rubber (HSR) and synthetic latex, such as nitrile, butadiene-vinyl pyridine (VP) latex, XSB and acrylic latex in India. It has various grades of synthetic rubber having application in products, such as automotive components, hoses, v-belts, conveyor belts, gaskets, rice de-husking rollers, printing and industrial rollers, friction materials, belting and footwear. Its range of latexes are used for paper and paperboard coating, carpet backing, tire cord dipping, construction, gloves examination, surgical and industrial use, among others. Its product range is used, among other applications, for tire cord dipping, concrete modification/water proofing, paint emulsions, textile finishing and hand gloves, among others. Its manufacturing plants are located on the western coast of India.</v>
    <v>483</v>
    <v>National Stock Exchange of India</v>
    <v>XNSE</v>
    <v>XNSE</v>
    <v>N K Mehta International House, 178, Backbay Reclamation, Babubhai M Chinai Marg, MUMBAI, MAHARASHTRA, 400020 IN</v>
    <v>478.8</v>
    <v>Chemicals</v>
    <v>Stock</v>
    <v>44939.474444444444</v>
    <v>12</v>
    <v>434.55</v>
    <v>24183080000</v>
    <v>APCOTEX INDUSTRIES LIMITED</v>
    <v>APCOTEX INDUSTRIES LIMITED</v>
    <v>437</v>
    <v>18.829999999999998</v>
    <v>432.9</v>
    <v>466.45</v>
    <v>51844960</v>
    <v>APCOTEXIND</v>
    <v>APCOTEX INDUSTRIES LIMITED (XNSE:APCOTEXIND)</v>
    <v>241342</v>
    <v>27590</v>
    <v>1986</v>
  </rv>
  <rv s="2">
    <v>13</v>
  </rv>
  <rv s="0">
    <v>https://www.bing.com/financeapi/forcetrigger?t=c37fvh&amp;q=XNSE%3aAPTUS&amp;form=skydnc</v>
    <v>Learn more on Bing</v>
  </rv>
  <rv s="1">
    <v>en-US</v>
    <v>c37fvh</v>
    <v>268435456</v>
    <v>1</v>
    <v>Powered by Refinitiv</v>
    <v>0</v>
    <v>APTUS VALUE HOUSING FINANCE INDIA LIMITED (XNSE:APTUS)</v>
    <v>2</v>
    <v>3</v>
    <v>Finance</v>
    <v>5</v>
    <v>394.9</v>
    <v>220.1</v>
    <v>1.29</v>
    <v>-0.9</v>
    <v>-3.0159999999999996E-3</v>
    <v>INR</v>
    <v>Aptus Value Housing Finance India Limited is an India-based home loan company. The Company is engaged in providing loans for non-housing finance activities in the form of loan against properties (LAP) and refinance loans. The Company focuses on the housing needs of self-employed, informal segment of customers, belonging to middle income, primarily from semi urban and rural markets. Its products include home loans, LAP, and insurance services. It provides housing loans for construction of house/flat on the land owned; purchase of a flat or a house from a builder; renovation or extension of a house, and renovation or extension of a house. LAP loans are given for refinancing of funds used for the purpose of construction/purchase of house. LAP has two products, namely LAP-Construction and LAP-Purchase. It provides credit shield insurance and property insurance. Its wholly owned subsidiary is Aptus Finance India Private Limited, which is a non- banking finance company.</v>
    <v>2271</v>
    <v>National Stock Exchange of India</v>
    <v>XNSE</v>
    <v>XNSE</v>
    <v>No. 8B, Doshi Towers, 8th Floor,, No: 205, Poonamallee High Road,, Kilpauk,, CHENNAI, TAMIL NADU, 600010 IN</v>
    <v>300.25</v>
    <v>Banking Services</v>
    <v>Stock</v>
    <v>44939.474444444444</v>
    <v>15</v>
    <v>297</v>
    <v>148177800000</v>
    <v>APTUS VALUE HOUSING FINANCE INDIA LIMITED</v>
    <v>APTUS VALUE HOUSING FINANCE INDIA LIMITED</v>
    <v>299.8</v>
    <v>32.549999999999997</v>
    <v>298.45</v>
    <v>297.55</v>
    <v>497992700</v>
    <v>APTUS</v>
    <v>APTUS VALUE HOUSING FINANCE INDIA LIMITED (XNSE:APTUS)</v>
    <v>19420</v>
    <v>53780</v>
    <v>2009</v>
  </rv>
  <rv s="2">
    <v>16</v>
  </rv>
  <rv s="0">
    <v>https://www.bing.com/financeapi/forcetrigger?t=ahgz6h&amp;q=XNSE%3aASIANPAINT&amp;form=skydnc</v>
    <v>Learn more on Bing</v>
  </rv>
  <rv s="1">
    <v>en-US</v>
    <v>ahgz6h</v>
    <v>268435456</v>
    <v>1</v>
    <v>Powered by Refinitiv</v>
    <v>0</v>
    <v>ASIAN PAINTS LIMITED (XNSE:ASIANPAINT)</v>
    <v>2</v>
    <v>3</v>
    <v>Finance</v>
    <v>5</v>
    <v>3590</v>
    <v>2560</v>
    <v>0.62519999999999998</v>
    <v>-6.8</v>
    <v>-2.3319999999999999E-3</v>
    <v>INR</v>
    <v>Asian Paints Limited is engaged in the business of manufacturing, selling and distribution of paints, coatings, products related to home decor, bath fittings and providing related services. The Company’s segments include Paints and Home Improvement. Paints segment is engaged in manufacturing and trading of paints and related services. Home Improvement segment is engaged in manufacturing and trading bath fitting products and related services The Company manufactures paints, varnishes, enamels, or lacquers, and surfacing preparations, which include organic composite solvents and thinners and other related products. It also manufactures organic and inorganic chemical compounds; metal sanitary ware such as bath, sinks, washbasins and similar articles and cosmetics and toiletries. Its offers a range of services, such as interior design service, safe painting service, wood solutions, waterproofing solutions, color consultancy online and contractor finder services.</v>
    <v>7423</v>
    <v>National Stock Exchange of India</v>
    <v>XNSE</v>
    <v>XNSE</v>
    <v>Asian Paints House, 6A, Shantinagar, Santacruz (EAST), MUMBAI, MAHARASHTRA, 400055 IN</v>
    <v>2925</v>
    <v>Chemicals</v>
    <v>Stock</v>
    <v>44939.474444444444</v>
    <v>18</v>
    <v>2871.75</v>
    <v>2789410000000</v>
    <v>ASIAN PAINTS LIMITED</v>
    <v>ASIAN PAINTS LIMITED</v>
    <v>2925</v>
    <v>76.3</v>
    <v>2915.95</v>
    <v>2909.15</v>
    <v>958840100</v>
    <v>ASIANPAINT</v>
    <v>ASIAN PAINTS LIMITED (XNSE:ASIANPAINT)</v>
    <v>1507864</v>
    <v>1050170</v>
    <v>1945</v>
  </rv>
  <rv s="2">
    <v>19</v>
  </rv>
  <rv s="0">
    <v>https://www.bing.com/financeapi/forcetrigger?t=ahdhh7&amp;q=XBOM%3a532406&amp;form=skydnc</v>
    <v>Learn more on Bing</v>
  </rv>
  <rv s="1">
    <v>en-US</v>
    <v>ahdhh7</v>
    <v>268435456</v>
    <v>1</v>
    <v>Powered by Refinitiv</v>
    <v>0</v>
    <v>AVANTEL LIMITED (XBOM:532406)</v>
    <v>2</v>
    <v>3</v>
    <v>Finance</v>
    <v>4</v>
    <v>474</v>
    <v>165</v>
    <v>1.2387999999999999</v>
    <v>-14.85</v>
    <v>-3.4655999999999999E-2</v>
    <v>INR</v>
    <v>Avantel Limited is an India-based company that is primarily engaged in the manufacture of telecom products and provides related customer support services. The Company operates through Electronics &amp; Communication segment. The Company is also engaged in the manufacturing of wireless front-end, satellite communication, embedded systems, signal processing, network management and software development. It has developed customized solutions for Indian National Satellite System (INSAT) based mobile satellite services with advanced microwave, digital wireless communications and signal processing products for military and commercial markets. The Company’s wireless products include radar subsystems, radios and radio frequency (RF) subsystems. It has an in-house research and development (R&amp;D) facility at Visakhapatnam, Andhra Pradesh.</v>
    <v>206</v>
    <v>Bombay Stock Exchange</v>
    <v>XBOM</v>
    <v>XBOM</v>
    <v>Plot No: 68 &amp; 69, 4th Floor, Jubilee Heights, Survey No: 66 &amp; 67, Jubilee Enclave, Madhapur, HYDERABAD, TELANGANA, 500081 IN</v>
    <v>430</v>
    <v>Communications &amp; Networking</v>
    <v>Stock</v>
    <v>44939.438425925924</v>
    <v>21</v>
    <v>409</v>
    <v>6708564000</v>
    <v>AVANTEL LIMITED</v>
    <v>AVANTEL LIMITED</v>
    <v>428.5</v>
    <v>31.72</v>
    <v>428.5</v>
    <v>413.65</v>
    <v>16217970</v>
    <v>532406</v>
    <v>AVANTEL LIMITED (XBOM:532406)</v>
    <v>16199</v>
    <v>23360</v>
    <v>1990</v>
  </rv>
  <rv s="2">
    <v>22</v>
  </rv>
  <rv s="0">
    <v>https://www.bing.com/financeapi/forcetrigger?t=ahh3im&amp;q=XNSE%3aBAJFINANCE&amp;form=skydnc</v>
    <v>Learn more on Bing</v>
  </rv>
  <rv s="1">
    <v>en-US</v>
    <v>ahh3im</v>
    <v>268435456</v>
    <v>1</v>
    <v>Powered by Refinitiv</v>
    <v>0</v>
    <v>BAJAJ FINANCE LIMITED (XNSE:BAJFINANCE)</v>
    <v>2</v>
    <v>3</v>
    <v>Finance</v>
    <v>5</v>
    <v>8045</v>
    <v>5220</v>
    <v>1.8883000000000001</v>
    <v>79.400000000000006</v>
    <v>1.3461000000000001E-2</v>
    <v>INR</v>
    <v>Bajaj Finance Limited is an India-based non-banking financial company. The Company’s consumer lending products include consumer electronics, furniture, digital products, e-commerce purchases and daily spends financing. Its small and medium enterprises (SME) lending consist of working capital loans and term facilities to SME, and professionals. The Company’s rural lending offers all its lending and deposits products, which include consumer business-to-business (B2B) lending, personal loans, gold loans, and retail deposits in small towns and villages. Its loan against securities business offers medium-term and short-term financing against shares, bonds, mutual funds, insurance policies and deposits to customer. Its mortgages offer home loans, loans against property and developer finance. Its commercial lending is engaged in lending to auto component manufacturers and the light engineering industry, loans to financial institutions, loans to the specialty chemical and pharma industry.</v>
    <v>35425</v>
    <v>National Stock Exchange of India</v>
    <v>XNSE</v>
    <v>XNSE</v>
    <v>4th Floor, Bajaj Finserv Corporate Office,, Off Pune-Ahmednagar Road,, Viman Nagar,, PUNE, MAHARASHTRA, 411014 IN</v>
    <v>5985</v>
    <v>Banking Services</v>
    <v>Stock</v>
    <v>44939.474444444444</v>
    <v>24</v>
    <v>5872</v>
    <v>3611241000000</v>
    <v>BAJAJ FINANCE LIMITED</v>
    <v>BAJAJ FINANCE LIMITED</v>
    <v>5920</v>
    <v>35.869999999999997</v>
    <v>5898.4</v>
    <v>5977.8</v>
    <v>604108600</v>
    <v>BAJFINANCE</v>
    <v>BAJAJ FINANCE LIMITED (XNSE:BAJFINANCE)</v>
    <v>1108490</v>
    <v>1665390</v>
    <v>1987</v>
  </rv>
  <rv s="2">
    <v>25</v>
  </rv>
  <rv s="0">
    <v>https://www.bing.com/financeapi/forcetrigger?t=ahh3a2&amp;q=XNSE%3aBAJAJFINSV&amp;form=skydnc</v>
    <v>Learn more on Bing</v>
  </rv>
  <rv s="1">
    <v>en-US</v>
    <v>ahh3a2</v>
    <v>268435456</v>
    <v>1</v>
    <v>Powered by Refinitiv</v>
    <v>0</v>
    <v>Bajaj Finserv Limited (XNSE:BAJAJFINSV)</v>
    <v>2</v>
    <v>3</v>
    <v>Finance</v>
    <v>5</v>
    <v>1862.1</v>
    <v>1072.72</v>
    <v>1.9279999999999999</v>
    <v>3.35</v>
    <v>2.4139999999999999E-3</v>
    <v>INR</v>
    <v>Bajaj Finserv Limited is a holding company for various financial services businesses. The Company is engaged in the business of promoting financial services such as finance, insurance, and wealth management, through its investments in subsidiaries and joint ventures. It is also engaged in the business of generating power through wind turbines, a renewable source of energy. Its segments include life insurance, general insurance, windmill, retail financing, and investments and others. The Company focuses on six categories: consumer lending, small and medium enterprise (SME) lending, rural lending, mortgages, loan against securities, and commercial lending. It serves various customers through its subsidiaries by providing financial products and services for asset acquisition through financing, asset protection through general insurance, family and income protection in the form of life and health insurance, and retirement and savings solutions. Its subsidiary is Bajaj Finserv Direct Ltd.</v>
    <v>114</v>
    <v>National Stock Exchange of India</v>
    <v>XNSE</v>
    <v>XNSE</v>
    <v>6th Floor, Bajaj Finserv Corporate Office, Off Pune-Ahmednagar Road, Viman Nagar, PUNE, MAHARASHTRA, 411014 IN</v>
    <v>1399.85</v>
    <v>Insurance</v>
    <v>Stock</v>
    <v>44939.474444444444</v>
    <v>27</v>
    <v>1374.35</v>
    <v>2212290000000</v>
    <v>Bajaj Finserv Limited</v>
    <v>Bajaj Finserv Limited</v>
    <v>1394.75</v>
    <v>40.369999999999997</v>
    <v>1387.8</v>
    <v>1391.15</v>
    <v>1590259000</v>
    <v>BAJAJFINSV</v>
    <v>Bajaj Finserv Limited (XNSE:BAJAJFINSV)</v>
    <v>3754686</v>
    <v>3014280</v>
    <v>2007</v>
  </rv>
  <rv s="2">
    <v>28</v>
  </rv>
  <rv s="0">
    <v>https://www.bing.com/financeapi/forcetrigger?t=ahioa2&amp;q=XNSE%3aBSOFT&amp;form=skydnc</v>
    <v>Learn more on Bing</v>
  </rv>
  <rv s="1">
    <v>en-US</v>
    <v>ahioa2</v>
    <v>268435456</v>
    <v>1</v>
    <v>Powered by Refinitiv</v>
    <v>0</v>
    <v>BIRLASOFT LIMITED (XNSE:BSOFT)</v>
    <v>2</v>
    <v>3</v>
    <v>Finance</v>
    <v>5</v>
    <v>585.85</v>
    <v>260.55</v>
    <v>1.216</v>
    <v>4</v>
    <v>1.3807E-2</v>
    <v>INR</v>
    <v>Birlasoft Limited is an India-based company, which is engaged in providing information technology (IT) services, consulting, and business solutions. The Company provides a range of services, which includes digital and enterprise technologies and services. Its digital services include data analytics, connected products, intelligence automation, connected products, cloud, and blockchain. Its enterprise technologies and services include customer relationship management, manufacturing, execution systems, product lifecycle management, supply chain management, IT transformation, applications management, testing, infrastructure and cloud technology. Its solutions include intelliAsset, TruView contract lifecycle management (CLM), TruLens, Supplier Risk Rader, submission automation, and AKOYA. It serves various industries, which include automotive, banking, manufacturing, capital markets, insurance, media and entertainment, energy and resources, life science and healthcare and utilities.</v>
    <v>10122</v>
    <v>National Stock Exchange of India</v>
    <v>XNSE</v>
    <v>XNSE</v>
    <v>35 &amp; 36, Rajiv Gandhi Infotech Park,, Phase - I, MIDC ,Hinjawadi, PUNE, MAHARASHTRA, 411057 IN</v>
    <v>295</v>
    <v>Software &amp; IT Services</v>
    <v>Stock</v>
    <v>44939.474444444444</v>
    <v>30</v>
    <v>287.3</v>
    <v>80233870000</v>
    <v>BIRLASOFT LIMITED</v>
    <v>BIRLASOFT LIMITED</v>
    <v>292.8</v>
    <v>16.809999999999999</v>
    <v>289.7</v>
    <v>293.7</v>
    <v>273183100</v>
    <v>BSOFT</v>
    <v>BIRLASOFT LIMITED (XNSE:BSOFT)</v>
    <v>2186938</v>
    <v>1915550</v>
    <v>1990</v>
  </rv>
  <rv s="2">
    <v>31</v>
  </rv>
  <rv s="0">
    <v>https://www.bing.com/financeapi/forcetrigger?t=c4jlnm&amp;q=XBOM%3a543425&amp;form=skydnc</v>
    <v>Learn more on Bing</v>
  </rv>
  <rv s="1">
    <v>en-US</v>
    <v>c4jlnm</v>
    <v>268435456</v>
    <v>1</v>
    <v>Powered by Refinitiv</v>
    <v>0</v>
    <v>C.E. INFO SYSTEMS LIMITED (XBOM:543425)</v>
    <v>2</v>
    <v>3</v>
    <v>Finance</v>
    <v>4</v>
    <v>1918.35</v>
    <v>1023.2</v>
    <v>0.70199999999999996</v>
    <v>1.6</v>
    <v>1.495E-3</v>
    <v>INR</v>
    <v>CE Info Systems Ltd. is an India-based provider of digital maps, geospatial software &amp; location-based IoT technologies. The Company’s customers include global tech giants, new-age consumer Internet technology companies, automotive manufacturers, large businesses across industry segments, such as banking, financial services, and insurance (BFSI); telecom; fast-moving consumer goods (FMCG); industrials; logistics and transportation; and key government organizations. The Company operates through single business segment, namely Map data and Map data related services (GPS navigation, location-based services and Internet of things). This business mainly consists of products, such as digital map data, global positioning system (GPS) navigation and location-based services, licensing, royalty, annuity, subscription and customizing its products to customers. Its Map and Data, APIs and SDKs, GIS Analytics and AI, IoT and Automation, Navigation and Mobility, and Drone Services.</v>
    <v>510</v>
    <v>Bombay Stock Exchange</v>
    <v>XBOM</v>
    <v>XBOM</v>
    <v>237, Okhla Industrial Estate Phase 3, Near Modi Mill, NEW DELHI, DELHI, 110020 IN</v>
    <v>1083.0999999999999</v>
    <v>Software &amp; IT Services</v>
    <v>Stock</v>
    <v>44939.438368055555</v>
    <v>33</v>
    <v>1069.1500000000001</v>
    <v>57551180000</v>
    <v>C.E. INFO SYSTEMS LIMITED</v>
    <v>C.E. INFO SYSTEMS LIMITED</v>
    <v>1070</v>
    <v>63.31</v>
    <v>1069.9000000000001</v>
    <v>1071.5</v>
    <v>53660770</v>
    <v>543425</v>
    <v>C.E. INFO SYSTEMS LIMITED (XBOM:543425)</v>
    <v>2147</v>
    <v>62090</v>
    <v>1995</v>
  </rv>
  <rv s="2">
    <v>34</v>
  </rv>
  <rv s="0">
    <v>https://www.bing.com/financeapi/forcetrigger?t=ahhboc&amp;q=XNSE%3aCAPLIPOINT&amp;form=skydnc</v>
    <v>Learn more on Bing</v>
  </rv>
  <rv s="1">
    <v>en-US</v>
    <v>ahhboc</v>
    <v>268435456</v>
    <v>1</v>
    <v>Powered by Refinitiv</v>
    <v>0</v>
    <v>CAPLIN POINT LABORATORIES LIMITED (XNSE:CAPLIPOINT)</v>
    <v>2</v>
    <v>3</v>
    <v>Finance</v>
    <v>5</v>
    <v>869.95</v>
    <v>626</v>
    <v>0.57579999999999998</v>
    <v>-6.55</v>
    <v>-9.1079999999999998E-3</v>
    <v>INR</v>
    <v>Caplin Point Laboratories Limited is an India-based company that is engaged in the business of pharmaceuticals. The Company is producing, developing and marketing a range of generic formulations and branded products and exporting to overseas markets. Its products include tablets, dry syrups (bottles), soft gels, capsules, suppositories, liquid syrups (bottles), liquid injectables in ampoules and vials, lyophilized vials, prefilled syringes (PFS), emulsion injection in ampoules and vials, ophthalmic droppers, pre-mix bags, topicals, and sachets (liquids and powders). It also manufactures a range of ointments, creams, gels and lotions. The Company’s principal research and development facilities are located in Tamil Nadu, India. Its principal manufacturing facility is located in Puducherry, India. The Company’s subsidiaries include Caplin Point Far East Limited, Caplin Point (S) PTE Ltd, Caplin Steriles Limited and Caplin Point Laboratories Colombia SAS.</v>
    <v>743</v>
    <v>National Stock Exchange of India</v>
    <v>XNSE</v>
    <v>XNSE</v>
    <v>Narbavi, No. 3, Lakshmanan Street,, T. Nagar,, CHENNAI, TAMIL NADU, 600017 IN</v>
    <v>720.95</v>
    <v>Pharmaceuticals</v>
    <v>Stock</v>
    <v>44939.474444444444</v>
    <v>36</v>
    <v>710.1</v>
    <v>54084730000</v>
    <v>CAPLIN POINT LABORATORIES LIMITED</v>
    <v>CAPLIN POINT LABORATORIES LIMITED</v>
    <v>718</v>
    <v>16.48</v>
    <v>719.15</v>
    <v>712.6</v>
    <v>75897750</v>
    <v>CAPLIPOINT</v>
    <v>CAPLIN POINT LABORATORIES LIMITED (XNSE:CAPLIPOINT)</v>
    <v>23584</v>
    <v>33870</v>
    <v>1990</v>
  </rv>
  <rv s="2">
    <v>37</v>
  </rv>
  <rv s="0">
    <v>https://www.bing.com/financeapi/forcetrigger?t=c35rww&amp;q=XNSE%3aCARTRADE&amp;form=skydnc</v>
    <v>Learn more on Bing</v>
  </rv>
  <rv s="1">
    <v>en-US</v>
    <v>c35rww</v>
    <v>268435456</v>
    <v>1</v>
    <v>Powered by Refinitiv</v>
    <v>0</v>
    <v>CARTRADE TECH LIMITED (XNSE:CARTRADE)</v>
    <v>2</v>
    <v>3</v>
    <v>Finance</v>
    <v>5</v>
    <v>890.95</v>
    <v>445.05</v>
    <v>1.24</v>
    <v>2.6</v>
    <v>5.6220000000000003E-3</v>
    <v>INR</v>
    <v>CarTrade Tech Limited is an India-based multi-channel auto platform company. The Company operates an automotive digital ecosystem, which connects automobile customers, original equipment manufacturers (OEMs), dealers, banks, insurance companies and other stakeholders. It operates under a range of brands, including CarWale, CareTrade, Shriram Automall, BikeWale, CarTradeExchange, Adroit Auto and AutoBiz. The Company, through its platforms enables new and used automobile customers, vehicle dealerships, automotive manufacturers, and other businesses to buy and sell their vehicles. Its services include new car OEM solutions, new car dealer solutions, used car dealer solutions, technology solutions for OEMs and dealers, new two-wheeler OEM solutions, new two-wheeler dealer solutions, online and offline auctioning of vehicles, technology solutions for OEMs and dealers. It also includes inspection and valuation services, and technology solutions for banks and insurance companies.</v>
    <v>656</v>
    <v>National Stock Exchange of India</v>
    <v>XNSE</v>
    <v>XNSE</v>
    <v>12th Floor, Vishwaroop IT Park,, S Pranavanandji Marg, Sector 30A,, Vashi, Navi Mumbai, MUMBAI, MAHARASHTRA, 400705 IN</v>
    <v>469.7</v>
    <v>Software &amp; IT Services</v>
    <v>Stock</v>
    <v>44939.474444444444</v>
    <v>39</v>
    <v>460.3</v>
    <v>21751080000</v>
    <v>CARTRADE TECH LIMITED</v>
    <v>CARTRADE TECH LIMITED</v>
    <v>467</v>
    <v>0</v>
    <v>462.45</v>
    <v>465.05</v>
    <v>46771490</v>
    <v>CARTRADE</v>
    <v>CARTRADE TECH LIMITED (XNSE:CARTRADE)</v>
    <v>31262</v>
    <v>33960</v>
    <v>2000</v>
  </rv>
  <rv s="2">
    <v>40</v>
  </rv>
  <rv s="0">
    <v>https://www.bing.com/financeapi/forcetrigger?t=ahbpww&amp;q=XBOM%3a526817&amp;form=skydnc</v>
    <v>Learn more on Bing</v>
  </rv>
  <rv s="3">
    <v>en-US</v>
    <v>ahbpww</v>
    <v>268435456</v>
    <v>1</v>
    <v>Powered by Refinitiv</v>
    <v>6</v>
    <v>CHEVIOT CO LTD (XBOM:526817)</v>
    <v>2</v>
    <v>7</v>
    <v>Finance</v>
    <v>4</v>
    <v>1485</v>
    <v>1041.0999999999999</v>
    <v>-4.05</v>
    <v>-3.4879999999999998E-3</v>
    <v>INR</v>
    <v>Cheviot Company Limited is an India-based company that is engaged in the manufacturing and sale of jute products. The Company owns Cheviot Jute Mills in West Bengal. The Company manufactures jute products and jute fabrics to cater to both domestic and international market. The Company manufactures technical jute fabrics and customized jute shopping bags for export market at the Export Oriented Unit situated at Falta Special Economic Zone in the state of West Bengal, India. Its jute bags and products include promotional bags, fashion bags, beach bags, bottle bags, utility bags, cotton bags, and jute for hessian bags and sacking bags. It also offers jute bags of various sizes, styles, shapes and colors. It also offers jute erosion control products, which is used to stabilize soil and ease afforestation on river embankments, highway construction projects, and jute horticulture products, which are used internationally to protect saplings and naturally decompose in less than one year.</v>
    <v>4127</v>
    <v>Bombay Stock Exchange</v>
    <v>XBOM</v>
    <v>XBOM</v>
    <v>Magma House (9th Floor), 24, Park Street, KOLKATA, WEST BENGAL, 700016 IN</v>
    <v>1163.3499999999999</v>
    <v>Textiles &amp; Apparel</v>
    <v>Stock</v>
    <v>44939.438391203701</v>
    <v>42</v>
    <v>1157</v>
    <v>6957313000</v>
    <v>CHEVIOT CO LTD</v>
    <v>CHEVIOT CO LTD</v>
    <v>1162.45</v>
    <v>11.9</v>
    <v>1161.05</v>
    <v>1157</v>
    <v>6016870</v>
    <v>526817</v>
    <v>CHEVIOT CO LTD (XBOM:526817)</v>
    <v>15</v>
    <v>1340</v>
    <v>1897</v>
  </rv>
  <rv s="2">
    <v>43</v>
  </rv>
  <rv s="0">
    <v>https://www.bing.com/financeapi/forcetrigger?t=ahhjcw&amp;q=XNSE%3aDENORA&amp;form=skydnc</v>
    <v>Learn more on Bing</v>
  </rv>
  <rv s="1">
    <v>en-US</v>
    <v>ahhjcw</v>
    <v>268435456</v>
    <v>1</v>
    <v>Powered by Refinitiv</v>
    <v>0</v>
    <v>DE NORA INDIA LIMITED (XNSE:DENORA)</v>
    <v>2</v>
    <v>3</v>
    <v>Finance</v>
    <v>5</v>
    <v>987</v>
    <v>356</v>
    <v>0.72330000000000005</v>
    <v>8</v>
    <v>9.783E-3</v>
    <v>INR</v>
    <v>De Nora India Limited is an India-based company designs, manufactures and supplies electrodes, coatings and electrochemical solutions. The Company is primarily a manufacturer of electrolytic products such as anodes, cathodes, electrochlorinators and water technology products. The Company’s segments include Electrode Technologies and Water Technologies. The Company is a supplier of technologies for the production of chlorine, caustic soda and derivatives for the chlor-alkali industry, as well as manufacturer and recoater of metal-coated electrodes, electrolyzers, coating solutions for the electrochemical industry. Its product portfolio includes anodes (LIDA) for cathodic protection systems of steel structure, Platinized titanium anodes and GREENCHROME anodes for surface finishing application, Electrochlorination systems for water disinfection. Its subsidiaries include De Nora Tech LLC, De Nora Water Technologies LLC, De Nora Water Technologies Inc. and De Nora Water Technologies LLC.</v>
    <v>54</v>
    <v>National Stock Exchange of India</v>
    <v>XNSE</v>
    <v>XNSE</v>
    <v>Plot Nos. 184, 185 &amp; 189 Kundaim Industrial Estate, KUNDAIM, GOA, 403115 IN</v>
    <v>839.85</v>
    <v>Machinery, Equipment &amp; Components</v>
    <v>Stock</v>
    <v>44939.474444444444</v>
    <v>45</v>
    <v>818.05</v>
    <v>4383604000</v>
    <v>DE NORA INDIA LIMITED</v>
    <v>DE NORA INDIA LIMITED</v>
    <v>818.05</v>
    <v>27.78</v>
    <v>817.75</v>
    <v>825.75</v>
    <v>5308630</v>
    <v>DENORA</v>
    <v>DE NORA INDIA LIMITED (XNSE:DENORA)</v>
    <v>10222</v>
    <v>59860</v>
    <v>1993</v>
  </rv>
  <rv s="2">
    <v>46</v>
  </rv>
  <rv s="0">
    <v>https://www.bing.com/financeapi/forcetrigger?t=ahck5r&amp;q=XBOM%3a531306&amp;form=skydnc</v>
    <v>Learn more on Bing</v>
  </rv>
  <rv s="1">
    <v>en-US</v>
    <v>ahck5r</v>
    <v>268435456</v>
    <v>1</v>
    <v>Powered by Refinitiv</v>
    <v>0</v>
    <v>DHP INDIA LIMITED (XBOM:531306)</v>
    <v>2</v>
    <v>3</v>
    <v>Finance</v>
    <v>4</v>
    <v>1700</v>
    <v>638</v>
    <v>1.0081</v>
    <v>-24.15</v>
    <v>-2.2907E-2</v>
    <v>INR</v>
    <v>DHP India Limited is an India-based company. The Company is engaged in the manufacturing of liquefied petroleum gas (LPG) regulators, its parts and accessories (including articles of brass used as accessories and parts of LPG regulators). It operates in one segment which include manufacturing of Engineering Goods. The Company's products include Propane Regulators, Butane Regulators, LPG Regulators, Hose Assemblies, and Brass Fittings. The Company sells its products in the domestic as well as export markets. The Company's factory is located at Howrah, West Bengal, India.</v>
    <v>229</v>
    <v>Bombay Stock Exchange</v>
    <v>XBOM</v>
    <v>XBOM</v>
    <v>10 Middleton Row, KOLKATA, WEST BENGAL, 700071 IN</v>
    <v>1062.95</v>
    <v>Oil &amp; Gas</v>
    <v>Stock</v>
    <v>44939.438425925924</v>
    <v>48</v>
    <v>1030</v>
    <v>3096000000</v>
    <v>DHP INDIA LIMITED</v>
    <v>DHP INDIA LIMITED</v>
    <v>1062.95</v>
    <v>8.0399999999999991</v>
    <v>1054.25</v>
    <v>1030.0999999999999</v>
    <v>3000000</v>
    <v>531306</v>
    <v>DHP INDIA LIMITED (XBOM:531306)</v>
    <v>1662</v>
    <v>1230</v>
    <v>1991</v>
  </rv>
  <rv s="2">
    <v>49</v>
  </rv>
  <rv s="0">
    <v>https://www.bing.com/financeapi/forcetrigger?t=ahhkhw&amp;q=XNSE%3aDIVISLAB&amp;form=skydnc</v>
    <v>Learn more on Bing</v>
  </rv>
  <rv s="1">
    <v>en-US</v>
    <v>ahhkhw</v>
    <v>268435456</v>
    <v>1</v>
    <v>Powered by Refinitiv</v>
    <v>0</v>
    <v>DIVI'S LABORATORIES LIMITED (XNSE:DIVISLAB)</v>
    <v>2</v>
    <v>3</v>
    <v>Finance</v>
    <v>5</v>
    <v>4668</v>
    <v>3195.15</v>
    <v>0.41439999999999999</v>
    <v>46.4</v>
    <v>1.4038E-2</v>
    <v>INR</v>
    <v>Divi's Laboratories Limited is an India-based company, which is engaged in manufacturing and sale of active pharmaceutical ingredients (APIs), intermediates and nutraceutical ingredients with predominance in exports. The Company’s products include Bupropion HCl, Capecitabine, Carbidopa, Diltiazem HCl, Dextromethorphan Base, Dextromethorphan HBr, Gabapentin, Iopamidol, Iohexol, Irbesartan, Lacosamide, Levetiracetam, Levodopa, Losartan, Nabumetone, Naproxen, Naproxen Sodium, Olmesartan Medoxomil, Pregabalin, Ticagrelor, Triprolidine HCl, Valacyclovir HCl, Valsartan, Venlafaxine HCl and Vigabatrin. The Company’s subsidiaries include Divi’s Laboratories USA, Inc., (Divi’s USA) and Divi’s Laboratories Europe AG (Divi’s Europe).</v>
    <v>16543</v>
    <v>National Stock Exchange of India</v>
    <v>XNSE</v>
    <v>XNSE</v>
    <v>1-72/23(P)/Divis/303,, Divi Towers, Cyber Hills, Gachibowli,, HYDERABAD, TELANGANA, 500032 IN</v>
    <v>3359.35</v>
    <v>Pharmaceuticals</v>
    <v>Stock</v>
    <v>44939.474444444444</v>
    <v>51</v>
    <v>3307.5</v>
    <v>889771100000</v>
    <v>DIVI'S LABORATORIES LIMITED</v>
    <v>DIVI'S LABORATORIES LIMITED</v>
    <v>3321.85</v>
    <v>29.32</v>
    <v>3305.3</v>
    <v>3351.7</v>
    <v>265468600</v>
    <v>DIVISLAB</v>
    <v>DIVI'S LABORATORIES LIMITED (XNSE:DIVISLAB)</v>
    <v>273260</v>
    <v>333820</v>
    <v>1990</v>
  </rv>
  <rv s="2">
    <v>52</v>
  </rv>
  <rv s="0">
    <v>https://www.bing.com/financeapi/forcetrigger?t=ahipnm&amp;q=XNSE%3aLALPATHLAB&amp;form=skydnc</v>
    <v>Learn more on Bing</v>
  </rv>
  <rv s="1">
    <v>en-US</v>
    <v>ahipnm</v>
    <v>268435456</v>
    <v>1</v>
    <v>Powered by Refinitiv</v>
    <v>0</v>
    <v>DR. LAL PATHLABS Limited (XNSE:LALPATHLAB)</v>
    <v>2</v>
    <v>3</v>
    <v>Finance</v>
    <v>5</v>
    <v>3787.2</v>
    <v>1805.55</v>
    <v>0.66500000000000004</v>
    <v>0.4</v>
    <v>1.8419999999999998E-4</v>
    <v>INR</v>
    <v>Dr. Lal PathLabs Limited is engaged in providing diagnostic and related healthcare tests and services. The Company is also engaged in running laboratories for carrying out pathological investigations of various branches of biochemistry, hematology, histopathology, microbiology, electrophoresis, immuno-chemistry, and other pathological and radiological investigations. The Company offers a range of tests by condition, which includes allergy, diabetes, health checkups, viral infections, fever, heart diseases, hypertension, cancer, abortions, anemia, arthritis, breast cancer, diphtheria, disorder of the liver, disorders of bone, drugs of abuse, infertility, lymphoma, tuberculosis, ovarian cancer, osteoporosis, multiple sclerosis, muscular disorder and viral infections. The Company’s subsidiaries include Paliwal Diagnostics Private Limited, Paliwal Medicare Private Limited, Dr. Lal PathLabs Nepal Private Limited, Dr. Lal PathLabs Bangladesh Pvt. Ltd. and Dr. Lal Ventures Private Limited.</v>
    <v>4110</v>
    <v>National Stock Exchange of India</v>
    <v>XNSE</v>
    <v>XNSE</v>
    <v>12th Floor, Tower B, SAS Tower, Sector 38,, Medicity, Sector-38,, GURGAON, HARYANA, 122001 IN</v>
    <v>2183.25</v>
    <v>Healthcare Providers &amp; Services</v>
    <v>Stock</v>
    <v>44939.474456018521</v>
    <v>54</v>
    <v>2150.0500000000002</v>
    <v>180021600000</v>
    <v>DR. LAL PATHLABS Limited</v>
    <v>DR. LAL PATHLABS Limited</v>
    <v>2183.25</v>
    <v>72.47</v>
    <v>2171.85</v>
    <v>2172.25</v>
    <v>82873330</v>
    <v>LALPATHLAB</v>
    <v>DR. LAL PATHLABS Limited (XNSE:LALPATHLAB)</v>
    <v>112104</v>
    <v>232510</v>
    <v>1995</v>
  </rv>
  <rv s="2">
    <v>55</v>
  </rv>
  <rv s="0">
    <v>https://www.bing.com/financeapi/forcetrigger?t=ahhpsm&amp;q=XNSE%3aESTER&amp;form=skydnc</v>
    <v>Learn more on Bing</v>
  </rv>
  <rv s="1">
    <v>en-US</v>
    <v>ahhpsm</v>
    <v>268435456</v>
    <v>1</v>
    <v>Powered by Refinitiv</v>
    <v>0</v>
    <v>ESTER INDUSTRIES LIMITED (XNSE:ESTER)</v>
    <v>2</v>
    <v>3</v>
    <v>Finance</v>
    <v>5</v>
    <v>190</v>
    <v>109.7</v>
    <v>1.3434999999999999</v>
    <v>-1.5</v>
    <v>-1.1498999999999999E-2</v>
    <v>INR</v>
    <v>Ester Industries Limited is engaged in the business of manufacturing of polyester films and specialty polymers. The Company's segments include Polyester chips and film and Speciality Polymers. Its polyester films product line includes special chemical coated films, transparent high barrier films, isotropic film, heat seal films, shrink sleeve film, gold films, embossable films, insulation film, printing, converting and metallizing films, special chemical coated films, metalized high barrier films-LIMH, metalized ultra-high barrier films, retort film, matte films, ultraviolet (UV) stabilized films, white opaque films, high clear films (HC / UL), high friction films, insulation films and twist films. It is also engaged in the business of polyester packaging films. The Company's specialty polyester business manufactures polyester chips of normal and Masterbatch grades. Its manufacturing plant is located at Khatima, in the state of Uttarakhand.</v>
    <v>663</v>
    <v>National Stock Exchange of India</v>
    <v>XNSE</v>
    <v>XNSE</v>
    <v>Plot No. 11, Block A, Infocity-I, Sector- 33 &amp; 34, GURGAON, HARYANA, 122001 IN</v>
    <v>131</v>
    <v>Chemicals</v>
    <v>Stock</v>
    <v>44939.474444444444</v>
    <v>57</v>
    <v>127.2</v>
    <v>10751850000</v>
    <v>ESTER INDUSTRIES LIMITED</v>
    <v>ESTER INDUSTRIES LIMITED</v>
    <v>130.94999999999999</v>
    <v>10.31</v>
    <v>130.44999999999999</v>
    <v>128.94999999999999</v>
    <v>83380000</v>
    <v>ESTER</v>
    <v>ESTER INDUSTRIES LIMITED (XNSE:ESTER)</v>
    <v>34593</v>
    <v>54900</v>
    <v>1985</v>
  </rv>
  <rv s="2">
    <v>58</v>
  </rv>
  <rv s="0">
    <v>https://www.bing.com/financeapi/forcetrigger?t=ahhr1h&amp;q=XNSE%3aFDC&amp;form=skydnc</v>
    <v>Learn more on Bing</v>
  </rv>
  <rv s="1">
    <v>en-US</v>
    <v>ahhr1h</v>
    <v>268435456</v>
    <v>1</v>
    <v>Powered by Refinitiv</v>
    <v>0</v>
    <v>FDC LIMITED (XNSE:FDC)</v>
    <v>2</v>
    <v>3</v>
    <v>Finance</v>
    <v>5</v>
    <v>322.89999999999998</v>
    <v>225</v>
    <v>0.69720000000000004</v>
    <v>0.2</v>
    <v>7.4209999999999999E-4</v>
    <v>INR</v>
    <v>FDC Limited is an India-based company, which is principally engaged in the business of pharmaceuticals. The Company manufactures and distributes its range of generics, formulations and active pharmaceuticals at its manufacturing plants. It also manufactures oral rehydration salts (ORS) and specialized formulations. It has a range of functional foods and beverages. Its active pharmaceutical ingredients (APIs) include Albuterol Sulfate, Bromhexine Hydrochloride, Cinnarizine, Flunarizine Dihydrochloride, Flurbiprofen, Flurbiprofen Sodium, Miconazole Nitrate and Timolol Maleate, among others. It has its presence in various therapeutic segments, such as anti-infectives, gastrointestinal, ophthalmological, vitamins/ minerals/ dietary supplements, cardiac, anti-diabetes, respiratory, gynecology, dermatology, analgesics and others. Its various brands include Zifi, Electral, Enerzal, Vitcofol, Pyrimon, Zocon, Zoxan, Zathrin, Zipod, Zefu, Cotaryl and Mycoderm.</v>
    <v>6336</v>
    <v>National Stock Exchange of India</v>
    <v>XNSE</v>
    <v>XNSE</v>
    <v>142-148, S.V. Road, Jogeshwari (W), MUMBAI, MAHARASHTRA, 400102 IN</v>
    <v>273.7</v>
    <v>Pharmaceuticals</v>
    <v>Stock</v>
    <v>44939.474444444444</v>
    <v>60</v>
    <v>268.10000000000002</v>
    <v>44745950000</v>
    <v>FDC LIMITED</v>
    <v>FDC LIMITED</v>
    <v>270.7</v>
    <v>26.79</v>
    <v>269.5</v>
    <v>269.7</v>
    <v>165910100</v>
    <v>FDC</v>
    <v>FDC LIMITED (XNSE:FDC)</v>
    <v>67702</v>
    <v>64730</v>
    <v>1940</v>
  </rv>
  <rv s="2">
    <v>61</v>
  </rv>
  <rv s="0">
    <v>https://www.bing.com/financeapi/forcetrigger?t=b1saar&amp;q=XNSE%3aFINEORG&amp;form=skydnc</v>
    <v>Learn more on Bing</v>
  </rv>
  <rv s="1">
    <v>en-US</v>
    <v>b1saar</v>
    <v>268435456</v>
    <v>1</v>
    <v>Powered by Refinitiv</v>
    <v>0</v>
    <v>FINE ORGANIC INDUSTRIES LIMITED (XNSE:FINEORG)</v>
    <v>2</v>
    <v>3</v>
    <v>Finance</v>
    <v>5</v>
    <v>7328.75</v>
    <v>3457.1</v>
    <v>0.19500000000000001</v>
    <v>-37.15</v>
    <v>-6.5490000000000001E-3</v>
    <v>INR</v>
    <v>Fine Organic Industries Limited is an India-based company engaged in manufacturing, processing, supplying, distributing, dealing, importing, and exporting a range of oleochemical-based additives used in foods, plastics, cosmetics, coatings and other specialty application in various industries. The Company produces additives for coatings that act as anti-settling agents, emulsifiers, thickening/anti-sagging agents, wetting and dispersing agents, defoamers, biocides and anti-mar waxes used in coating applications. Food additives are used in dairy and frozen food products, bakery and confectionery, beverages and in other processed foods. Plastic additives include stabilizers, lubricants, plasticizers, antioxidants, mold release agents, slip and anti-blocks, antistatic and antifogging additives, multifunctional processing aids, fillers, and ultraviolet stabilizers. The Company’s subsidiaries include Fine Organics (USA), Inc. and Fine Organics Europe BV.</v>
    <v>760</v>
    <v>National Stock Exchange of India</v>
    <v>XNSE</v>
    <v>XNSE</v>
    <v>Fine House, Anandji Street, Off M G Road, Ghatkopar East, MUMBAI, MAHARASHTRA, 400077 IN</v>
    <v>5697</v>
    <v>Chemicals</v>
    <v>Stock</v>
    <v>44939.474444444444</v>
    <v>63</v>
    <v>5584</v>
    <v>172772000000</v>
    <v>FINE ORGANIC INDUSTRIES LIMITED</v>
    <v>FINE ORGANIC INDUSTRIES LIMITED</v>
    <v>5697</v>
    <v>32.43</v>
    <v>5672.25</v>
    <v>5635.1</v>
    <v>30659980</v>
    <v>FINEORG</v>
    <v>FINE ORGANIC INDUSTRIES LIMITED (XNSE:FINEORG)</v>
    <v>16788</v>
    <v>18640</v>
    <v>2002</v>
  </rv>
  <rv s="2">
    <v>64</v>
  </rv>
  <rv s="0">
    <v>https://www.bing.com/financeapi/forcetrigger?t=aywihw&amp;q=XNSE%3aGALAXYSURF&amp;form=skydnc</v>
    <v>Learn more on Bing</v>
  </rv>
  <rv s="1">
    <v>en-US</v>
    <v>aywihw</v>
    <v>268435456</v>
    <v>1</v>
    <v>Powered by Refinitiv</v>
    <v>0</v>
    <v>GALAXY SURFACTANTS LTD (XNSE:GALAXYSURF)</v>
    <v>2</v>
    <v>3</v>
    <v>Finance</v>
    <v>5</v>
    <v>3447.55</v>
    <v>2310.1</v>
    <v>0.86870000000000003</v>
    <v>22.6</v>
    <v>9.6559999999999997E-3</v>
    <v>INR</v>
    <v>Galaxy Surfactants Ltd is an India-based chemical manufacturing company, which is engaged in manufacturing and marketing surfactants and specialty chemicals for the personal and home care industry. The Company’s market segments include skincare, haircare, sun care, oral care, baby care and home care. Its products include fatty alcohol sulfate and ether sulfate, fatty alcohol ethoxylate and labsa, foam &amp; viscosity boosters, mild surfactants, pearlized, surfactant blends, syndet and TBB, sunscreens, functional actives, preservatives and blends. Its range of products include non-toxic preservation, gli 21, mild surfactants, syndet noodles, green catalyst for amino acid surfactants and galecosafe. The Company’s products are used in-home care, hand wash and wellness. The Company operates in India, Egypt, and United States.</v>
    <v>1546</v>
    <v>National Stock Exchange of India</v>
    <v>XNSE</v>
    <v>XNSE</v>
    <v>C-49/2, TTC Industrial Area, Pawne, NAVI MUMBAI, MAHARASHTRA, 400703 IN</v>
    <v>2384.35</v>
    <v>Chemicals</v>
    <v>Stock</v>
    <v>44939.474444444444</v>
    <v>66</v>
    <v>2332</v>
    <v>83783130000</v>
    <v>GALAXY SURFACTANTS LTD</v>
    <v>GALAXY SURFACTANTS LTD</v>
    <v>2332</v>
    <v>25.28</v>
    <v>2340.5</v>
    <v>2363.1</v>
    <v>35454750</v>
    <v>GALAXYSURF</v>
    <v>GALAXY SURFACTANTS LTD (XNSE:GALAXYSURF)</v>
    <v>25117</v>
    <v>13450</v>
    <v>1986</v>
  </rv>
  <rv s="2">
    <v>67</v>
  </rv>
  <rv s="0">
    <v>https://www.bing.com/financeapi/forcetrigger?t=ahhtvh&amp;q=XNSE%3aGARFIBRES&amp;form=skydnc</v>
    <v>Learn more on Bing</v>
  </rv>
  <rv s="1">
    <v>en-US</v>
    <v>ahhtvh</v>
    <v>268435456</v>
    <v>1</v>
    <v>Powered by Refinitiv</v>
    <v>0</v>
    <v>GARWARE TECHNICAL FIBRES LIMITED (XNSE:GARFIBRES)</v>
    <v>2</v>
    <v>3</v>
    <v>Finance</v>
    <v>5</v>
    <v>3754.85</v>
    <v>2619.8000000000002</v>
    <v>0.90439999999999998</v>
    <v>-8.65</v>
    <v>-2.8579999999999999E-3</v>
    <v>INR</v>
    <v>Garware Technical Fibres Limited is an India-based manufacturer of technical textiles. The Company's Synthetic Cordage segment consists of ropes, twines and nettings made of twine. Its Fibre and Industrial Products and Projects segment consists of fiber, synthetic fabric, yarn, woven and non-woven textiles, secugrids, coated steel gabions, machinery and project. It provides solutions in the fields of fisheries, aquaculture, shipping, sports, agriculture, coated fabrics, and geo-synthetics. Its fisheries solutions include trawling, gill netting, dole netting and purse seine. Its aquaculture solutions include grow out cage, predator cage, mooring and vertical ropes and lice shields. Its shipping and industrial solutions include mooring, power transmission, submersible pumps and specialty ropes, among others. Its sports solutions include sports nets, mountaineering and abseiling and fitness rope/battle ropes, among others. The Company caters to both domestic and international markets.</v>
    <v>1170</v>
    <v>National Stock Exchange of India</v>
    <v>XNSE</v>
    <v>XNSE</v>
    <v>Plot No. 11, Block D-1, MIDC, Chinchwad, PUNE, MAHARASHTRA, 411019 IN</v>
    <v>3044.7</v>
    <v>Textiles &amp; Apparel</v>
    <v>Stock</v>
    <v>44939.474444444444</v>
    <v>69</v>
    <v>3003.95</v>
    <v>61502330000</v>
    <v>GARWARE TECHNICAL FIBRES LIMITED</v>
    <v>GARWARE TECHNICAL FIBRES LIMITED</v>
    <v>3028.5</v>
    <v>37.159999999999997</v>
    <v>3026.7</v>
    <v>3018.05</v>
    <v>20378170</v>
    <v>GARFIBRES</v>
    <v>GARWARE TECHNICAL FIBRES LIMITED (XNSE:GARFIBRES)</v>
    <v>1804</v>
    <v>6790</v>
    <v>1976</v>
  </rv>
  <rv s="2">
    <v>70</v>
  </rv>
  <rv s="0">
    <v>https://www.bing.com/financeapi/forcetrigger?t=az8ysm&amp;q=XNSE%3aGMMPFAUDLR&amp;form=skydnc</v>
    <v>Learn more on Bing</v>
  </rv>
  <rv s="1">
    <v>en-US</v>
    <v>az8ysm</v>
    <v>268435456</v>
    <v>1</v>
    <v>Powered by Refinitiv</v>
    <v>0</v>
    <v>GMM PFAUDLER LIMITED (XNSE:GMMPFAUDLR)</v>
    <v>2</v>
    <v>3</v>
    <v>Finance</v>
    <v>5</v>
    <v>2110</v>
    <v>1256.67</v>
    <v>0.77700000000000002</v>
    <v>-7.1</v>
    <v>-4.5019999999999999E-3</v>
    <v>INR</v>
    <v>GMM Pfaudler Limited is an India-based supplier of engineered equipment and systems for critical applications in the chemical and pharmaceutical industries. The Company's segments include India and Overseas. The Company's principal activity is the manufacture of corrosion-resistant glass-lined equipment used primarily in the chemical, pharmaceutical and allied industries. The Company also manufactures flouro-polymer products and other chemical process equipment such as agitated nutsche filters, filter driers, wiped film evaporators and mixing systems. Its products and services include Glass Lined Equipment, Filtration &amp; Drying, Mixing Systems, Engineered Systems, Heavy Engineering, Sealing Technology, Acid Recovery and S3 Programme. Its systems and services support its customers from lab to full-scale production plant, including optimizing and improving the whole life cycle of any process equipment. The Company has approximately 13 manufacturing facilities across four continents.</v>
    <v>743</v>
    <v>National Stock Exchange of India</v>
    <v>XNSE</v>
    <v>XNSE</v>
    <v>902 Lodha Excelus,, New Cuffe Parade,, Sewri-Chembur Road,, MUMBAI, MAHARASHTRA, 400022 IN</v>
    <v>1604</v>
    <v>Machinery, Equipment &amp; Components</v>
    <v>Stock</v>
    <v>44939.474444444444</v>
    <v>72</v>
    <v>1565</v>
    <v>70576100000</v>
    <v>GMM PFAUDLER LIMITED</v>
    <v>GMM PFAUDLER LIMITED</v>
    <v>1579</v>
    <v>59.13</v>
    <v>1576.95</v>
    <v>1569.85</v>
    <v>44957220</v>
    <v>GMMPFAUDLR</v>
    <v>GMM PFAUDLER LIMITED (XNSE:GMMPFAUDLR)</v>
    <v>66817</v>
    <v>120450</v>
    <v>1962</v>
  </rv>
  <rv s="2">
    <v>73</v>
  </rv>
  <rv s="0">
    <v>https://www.bing.com/financeapi/forcetrigger?t=ahhwqh&amp;q=XNSE%3aGNFC&amp;form=skydnc</v>
    <v>Learn more on Bing</v>
  </rv>
  <rv s="1">
    <v>en-US</v>
    <v>ahhwqh</v>
    <v>268435456</v>
    <v>1</v>
    <v>Powered by Refinitiv</v>
    <v>0</v>
    <v>GUJARAT NARMADA VALLEY FERTILIZERS &amp; CHEMICALS LIMITED (XNSE:GNFC)</v>
    <v>2</v>
    <v>3</v>
    <v>Finance</v>
    <v>5</v>
    <v>912</v>
    <v>436.7</v>
    <v>1.5234000000000001</v>
    <v>-3.8</v>
    <v>-6.5780000000000005E-3</v>
    <v>INR</v>
    <v>Gujarat Narmada Valley Fertilizers &amp; Chemicals Limited is engaged in the manufacturing and selling of fertilizers, industrial chemical products and providing information technology (IT) services. The Company's segments include Fertilizers, Chemicals and Others. The Company is engaged in manufacturing and selling fertilizers, such as Urea and Nitrophosphate, under the NARMADA brand. The Company offers various fertilizers, such as urea, Ammonium Nitrophosphate, Neem De-Oiled cake, Diammonium Phosphate, Narmada Neem Pesticides, Muriate of Potash, Single Super Phosphate and City Compost. The Company offers various chemicals, such as Methanol, Acetic Acid (Glacial), Ethyl Acetate, Nitrobenzene, Formic Acid, Aniline and Toluene Di-isocyanate. The Company provides various IT services, which covers System integration, e-Procurement services, e-Governance Services, Data Centers Services, Cloud Services, Authentication Services and Time Stamping under the brand name of (n)code solutions.</v>
    <v>2401</v>
    <v>National Stock Exchange of India</v>
    <v>XNSE</v>
    <v>XNSE</v>
    <v>P O Narmadanagar, BHARUCH, GUJARAT, 392015 IN</v>
    <v>579.79999999999995</v>
    <v>Chemicals</v>
    <v>Stock</v>
    <v>44939.474444444444</v>
    <v>75</v>
    <v>571.5</v>
    <v>89187070000</v>
    <v>GUJARAT NARMADA VALLEY FERTILIZERS &amp; CHEMICALS LIMITED</v>
    <v>GUJARAT NARMADA VALLEY FERTILIZERS &amp; CHEMICALS LIMITED</v>
    <v>575.85</v>
    <v>4.5</v>
    <v>577.65</v>
    <v>573.85</v>
    <v>155418800</v>
    <v>GNFC</v>
    <v>GUJARAT NARMADA VALLEY FERTILIZERS &amp; CHEMICALS LIMITED (XNSE:GNFC)</v>
    <v>406451</v>
    <v>1403530</v>
    <v>1976</v>
  </rv>
  <rv s="2">
    <v>76</v>
  </rv>
  <rv s="0">
    <v>https://www.bing.com/financeapi/forcetrigger?t=ahhxvh&amp;q=XNSE%3aGOLDIAM&amp;form=skydnc</v>
    <v>Learn more on Bing</v>
  </rv>
  <rv s="1">
    <v>en-US</v>
    <v>ahhxvh</v>
    <v>268435456</v>
    <v>1</v>
    <v>Powered by Refinitiv</v>
    <v>0</v>
    <v>GOLDIAM INTERNATIONAL LIMITED (XNSE:GOLDIAM)</v>
    <v>2</v>
    <v>3</v>
    <v>Finance</v>
    <v>5</v>
    <v>208.4</v>
    <v>117.05</v>
    <v>1.7768999999999999</v>
    <v>1.05</v>
    <v>6.3810000000000004E-3</v>
    <v>INR</v>
    <v>Goldiam International Limited is an India-based company that is engaged in the manufacturing and export of diamond-studded gold and silver jewelry. The Company is a fully integrated original equipment manufacturer (OEM) partner for retailers. The Company operates through two segments: Jewellery Manufacturing and Investment Activity. The Company's products include engagement rings, wedding bands, anniversary rings, bridal sets, fashion jewelry earrings and pendants, and fashion jewelry and necklace and earrings. The Company exports its diamond products to the United States, Europe and other countries. The Company's subsidiaries include Goldiam Jewellery Limited, Diagold Designs Limited, Eco-Friendly Diamonds LLP and Goldiam USA, Inc.</v>
    <v>35</v>
    <v>National Stock Exchange of India</v>
    <v>XNSE</v>
    <v>XNSE</v>
    <v>Gems &amp; Jewellery Complex, Seepz, Andheri (east), MUMBAI, MAHARASHTRA, 400096 IN</v>
    <v>173.9</v>
    <v>Textiles &amp; Apparel</v>
    <v>Stock</v>
    <v>44939.474444444444</v>
    <v>78</v>
    <v>162.25</v>
    <v>18046200000</v>
    <v>GOLDIAM INTERNATIONAL LIMITED</v>
    <v>GOLDIAM INTERNATIONAL LIMITED</v>
    <v>163.85</v>
    <v>17.72</v>
    <v>164.55</v>
    <v>165.6</v>
    <v>108974600</v>
    <v>GOLDIAM</v>
    <v>GOLDIAM INTERNATIONAL LIMITED (XNSE:GOLDIAM)</v>
    <v>3456019</v>
    <v>1089340</v>
    <v>1986</v>
  </rv>
  <rv s="2">
    <v>79</v>
  </rv>
  <rv s="0">
    <v>https://www.bing.com/financeapi/forcetrigger?t=ahdba2&amp;q=XBOM%3a532281&amp;form=skydnc</v>
    <v>Learn more on Bing</v>
  </rv>
  <rv s="1">
    <v>en-US</v>
    <v>ahdba2</v>
    <v>268435456</v>
    <v>1</v>
    <v>Powered by Refinitiv</v>
    <v>0</v>
    <v>HCL TECHNOLOGIES LIMITED (XBOM:532281)</v>
    <v>2</v>
    <v>3</v>
    <v>Finance</v>
    <v>4</v>
    <v>1359</v>
    <v>875.65</v>
    <v>0.85880000000000001</v>
    <v>6.05</v>
    <v>5.6439999999999997E-3</v>
    <v>INR</v>
    <v>HCL Technologies Limited is an India-based technology company. The Company offers its services and products through three business segments: IT and Business Services (ITBS), Engineering and R&amp;D Services (ERS) and Products &amp; Platforms (P&amp;P). ITBS segment provides a portfolio of information technology (IT) and business services, including application, infrastructure and digital process operations and digital transformation services enabled by digital and analytics, IoTWoRKs, cloud native and cybersecurity solutions including products developed within these businesses. ERS segment provides engineering services and solutions across software, embedded, mechanical, very large-scale integration (VLSI) and platform engineering that support the end-to-end lifecycle of products, including both hardware and software across diverse industries. P&amp;P segment provides modernized software products to global clients for their technology and industry-specific requirements.</v>
    <v>219325</v>
    <v>Bombay Stock Exchange</v>
    <v>XBOM</v>
    <v>XBOM</v>
    <v>Technology Hub, SEZ, Plot No. 3A, Sector 126, NOIDA, UTTAR PRADESH, 201304 IN</v>
    <v>1083.5</v>
    <v>Software &amp; IT Services</v>
    <v>Stock</v>
    <v>44939.438402777778</v>
    <v>81</v>
    <v>1042</v>
    <v>2917977000000</v>
    <v>HCL TECHNOLOGIES LIMITED</v>
    <v>HCL TECHNOLOGIES LIMITED</v>
    <v>1059.6500000000001</v>
    <v>20.07</v>
    <v>1071.9000000000001</v>
    <v>1077.95</v>
    <v>2707345000</v>
    <v>532281</v>
    <v>HCL TECHNOLOGIES LIMITED (XBOM:532281)</v>
    <v>324224</v>
    <v>2565060</v>
    <v>1991</v>
  </rv>
  <rv s="2">
    <v>82</v>
  </rv>
  <rv s="0">
    <v>https://www.bing.com/financeapi/forcetrigger?t=ahi3jc&amp;q=XNSE%3aHDFCBANK&amp;form=skydnc</v>
    <v>Learn more on Bing</v>
  </rv>
  <rv s="1">
    <v>en-US</v>
    <v>ahi3jc</v>
    <v>268435456</v>
    <v>1</v>
    <v>Powered by Refinitiv</v>
    <v>0</v>
    <v>HDFC BANK LIMITED (XNSE:HDFCBANK)</v>
    <v>2</v>
    <v>3</v>
    <v>Finance</v>
    <v>5</v>
    <v>1722.1</v>
    <v>1271.5999999999999</v>
    <v>1.0838000000000001</v>
    <v>1.25</v>
    <v>7.8149999999999997E-4</v>
    <v>INR</v>
    <v>HDFC Bank Limited (the Bank) is an India-based private sector bank. The Bank caters to a range of banking services covering commercial and investment banking on the wholesale side and transactional/ branch banking on the retail side. The Bank's Treasury segment primarily consists of net interest earnings from the Bank's investment portfolio, money market borrowing and lending, gains or losses on investment operations and on account of trading in foreign exchange and derivative contracts. The Retail Banking segment serves retail customers through the Bank's branch network and other channels. The Wholesale Banking segment provides loans, non-fund facilities and transaction services to large corporates, emerging corporates, public sector units, government bodies, financial institutions and medium scale enterprises. The Other Banking Operations segment includes income from Para banking activities, such as credit cards, debit cards and third-party product distribution, among others.</v>
    <v>129341</v>
    <v>National Stock Exchange of India</v>
    <v>XNSE</v>
    <v>XNSE</v>
    <v>iTHINK Techno Campus, Bldg B, Alpha,, Vikhroli Link Rd, Kanjur Marg East, MUMBAI, MAHARASHTRA, 400042 IN</v>
    <v>1609.9</v>
    <v>Banking Services</v>
    <v>Stock</v>
    <v>44939.474444444444</v>
    <v>84</v>
    <v>1586</v>
    <v>8926428000000</v>
    <v>HDFC BANK LIMITED</v>
    <v>HDFC BANK LIMITED</v>
    <v>1598.75</v>
    <v>21.25</v>
    <v>1599.4</v>
    <v>1600.65</v>
    <v>5576752000</v>
    <v>HDFCBANK</v>
    <v>HDFC BANK LIMITED (XNSE:HDFCBANK)</v>
    <v>4622273</v>
    <v>5090730</v>
    <v>1994</v>
  </rv>
  <rv s="2">
    <v>85</v>
  </rv>
  <rv s="0">
    <v>https://www.bing.com/financeapi/forcetrigger?t=axd4c7&amp;q=XNSE%3aHDFCLIFE&amp;form=skydnc</v>
    <v>Learn more on Bing</v>
  </rv>
  <rv s="1">
    <v>en-US</v>
    <v>axd4c7</v>
    <v>268435456</v>
    <v>1</v>
    <v>Powered by Refinitiv</v>
    <v>0</v>
    <v>HDFC LIFE INSURANCE COMPANY LIMITED (XNSE:HDFCLIFE)</v>
    <v>2</v>
    <v>3</v>
    <v>Finance</v>
    <v>5</v>
    <v>678.8</v>
    <v>497.05</v>
    <v>0.8256</v>
    <v>6.1</v>
    <v>1.0194000000000002E-2</v>
    <v>INR</v>
    <v>HDFC Life Insurance Company Ltd is an India-based life insurance company. The Company provides a range of individual and group insurance solutions across India. The portfolio comprises of various insurance and investment products such as protection, pension, savings, investment, annuity, and health. The Company offers long term savings, protection and retirement or pension products. The Company operates in three segments: participating (Par) segment products includes endowment, savings cum protection and pension plans; non-participating (Non Par) segment products includes term protection, savings cum protection, immediate and deferred annuity and health plans under Individual business and credit life, term life, fund based pension, group variable plans under Group business; and unit-linked (UL) product includes Unit Linked Life and fund-based Pension plans under Individual and Group businesses. Exide Life Insurance Company Ltd is the subsidiary of the Company.</v>
    <v>22059</v>
    <v>National Stock Exchange of India</v>
    <v>XNSE</v>
    <v>XNSE</v>
    <v>12th Floor, Lodha Excelus, Apollo Mills Compound, N.M. Joshi Road, Mahalaxmi, MUMBAI, MAHARASHTRA, 400011 IN</v>
    <v>607.6</v>
    <v>Insurance</v>
    <v>Stock</v>
    <v>44939.474444444444</v>
    <v>87</v>
    <v>596.35</v>
    <v>1299176000000</v>
    <v>HDFC LIFE INSURANCE COMPANY LIMITED</v>
    <v>HDFC LIFE INSURANCE COMPANY LIMITED</v>
    <v>599.45000000000005</v>
    <v>84.33</v>
    <v>598.4</v>
    <v>604.5</v>
    <v>2149175000</v>
    <v>HDFCLIFE</v>
    <v>HDFC LIFE INSURANCE COMPANY LIMITED (XNSE:HDFCLIFE)</v>
    <v>3272285</v>
    <v>4545120</v>
    <v>2000</v>
  </rv>
  <rv s="2">
    <v>88</v>
  </rv>
  <rv s="0">
    <v>https://www.bing.com/financeapi/forcetrigger?t=bzwi3m&amp;q=XNSE%3aHERANBA&amp;form=skydnc</v>
    <v>Learn more on Bing</v>
  </rv>
  <rv s="1">
    <v>en-US</v>
    <v>bzwi3m</v>
    <v>268435456</v>
    <v>1</v>
    <v>Powered by Refinitiv</v>
    <v>0</v>
    <v>Heranba Industries Ltd (XNSE:HERANBA)</v>
    <v>2</v>
    <v>3</v>
    <v>Finance</v>
    <v>5</v>
    <v>744.7</v>
    <v>478.6</v>
    <v>0.72899999999999998</v>
    <v>-1.85</v>
    <v>-3.8429999999999996E-3</v>
    <v>INR</v>
    <v>Heranba Industries Limited is an India-based agrochemical company. The Company manufacturers synthetic pyrethroids and its intermediates in India. It has four manufacturing facilities across India. It has a network of businesses in India, as well as across the globe. The Company manufactures a range of pesticides, including insecticides, herbicides, fungicides and public health products. It operates through single segment, namely agricultural chemicals. Its products include technical, intermediates and formulations. Formulations include brands, including insecticides, herbicides, fungicides and plant growth regulator; public health, general insect control, larvae and vector control, termite control, fogging, and indoor residual spray; and fertilizer. It has fully integrated and modern manufacturing facilities, in the Industrial belt of Vapi and Sarigam, which is in Gujarat. It has an in-house research and development facility for product development and process intensification.</v>
    <v>700</v>
    <v>National Stock Exchange of India</v>
    <v>XNSE</v>
    <v>XNSE</v>
    <v>Factory Lane, Borivali (W), 101/102, Kanchanganga,, MUMBAI, MAHARASHTRA, 400092 IN</v>
    <v>486.15</v>
    <v>Chemicals</v>
    <v>Stock</v>
    <v>44939.474444444444</v>
    <v>90</v>
    <v>478.85</v>
    <v>19190460000</v>
    <v>Heranba Industries Ltd</v>
    <v>Heranba Industries Ltd</v>
    <v>486.15</v>
    <v>10.9</v>
    <v>481.45</v>
    <v>479.6</v>
    <v>40013470</v>
    <v>HERANBA</v>
    <v>Heranba Industries Ltd (XNSE:HERANBA)</v>
    <v>46471</v>
    <v>34070</v>
    <v>1992</v>
  </rv>
  <rv s="2">
    <v>91</v>
  </rv>
  <rv s="0">
    <v>https://www.bing.com/financeapi/forcetrigger?t=ahi65r&amp;q=XNSE%3aHINDZINC&amp;form=skydnc</v>
    <v>Learn more on Bing</v>
  </rv>
  <rv s="1">
    <v>en-US</v>
    <v>ahi65r</v>
    <v>268435456</v>
    <v>1</v>
    <v>Powered by Refinitiv</v>
    <v>0</v>
    <v>HINDUSTAN ZINC LIMITED (XNSE:HINDZINC)</v>
    <v>2</v>
    <v>3</v>
    <v>Finance</v>
    <v>5</v>
    <v>371.7</v>
    <v>242.05</v>
    <v>0.65800000000000003</v>
    <v>4.5999999999999996</v>
    <v>1.3329000000000001E-2</v>
    <v>INR</v>
    <v>Hindustan Zinc Limited is an India-based company, which is engaged in the mining and smelting of zinc, lead and silver metal in India. The Company operates through two segments: Zinc, Lead, Silver &amp; others, and Wind Energy. The Company’s operations include five zinc-lead mines, four zinc smelters, one lead smelter, one zinc lead smelter, eight sulphuric acid plants, one silver refinery plant, six captive thermal power plants and four captive solar plants in the state of Rajasthan. The Company also has a rock phosphate mine in Matoon, near Udaipur in Rajasthan and zinc, lead, silver processing and refining facilities in the state of Uttarakhand. The Company also has wind power plants in the states of Rajasthan, Gujarat, Karnataka, Tamil Nadu and Maharashtra and solar power plants in the state of Rajasthan.</v>
    <v>3500</v>
    <v>National Stock Exchange of India</v>
    <v>XNSE</v>
    <v>XNSE</v>
    <v>Yashad Bhawan, UDAIPUR, RAJASTHAN, 313004 IN</v>
    <v>350</v>
    <v>Metals &amp; Mining</v>
    <v>Stock</v>
    <v>44939.474444444444</v>
    <v>93</v>
    <v>345.1</v>
    <v>1477594000000</v>
    <v>HINDUSTAN ZINC LIMITED</v>
    <v>HINDUSTAN ZINC LIMITED</v>
    <v>345.1</v>
    <v>12.85</v>
    <v>345.1</v>
    <v>349.7</v>
    <v>4225319000</v>
    <v>HINDZINC</v>
    <v>HINDUSTAN ZINC LIMITED (XNSE:HINDZINC)</v>
    <v>647059</v>
    <v>650350</v>
    <v>1966</v>
  </rv>
  <rv s="2">
    <v>94</v>
  </rv>
  <rv s="0">
    <v>https://www.bing.com/financeapi/forcetrigger?t=ahi96h&amp;q=XNSE%3aIEX&amp;form=skydnc</v>
    <v>Learn more on Bing</v>
  </rv>
  <rv s="1">
    <v>en-US</v>
    <v>ahi96h</v>
    <v>268435456</v>
    <v>1</v>
    <v>Powered by Refinitiv</v>
    <v>0</v>
    <v>INDIAN ENERGY EXCHANGE LIMITED (XNSE:IEX)</v>
    <v>2</v>
    <v>3</v>
    <v>Finance</v>
    <v>5</v>
    <v>272</v>
    <v>129.25</v>
    <v>0.90469999999999995</v>
    <v>0.25</v>
    <v>1.768E-3</v>
    <v>INR</v>
    <v>Indian Energy Exchange Limited is engaged in providing an automated trading platform for the physical delivery of electricity, renewables, and certificates. It offers various trade markets, such as the electricity market, green market and certificates. The electricity market includes day-ahead market, term ahead market, real-time market and cross border electricity trade. The green market includes green term ahead market and green day-ahead market. The certificate market includes renewable energy certificates and energy-saving certificates. Its products include day-ahead market, green day-ahead market (G-Dam), term-ahead market, real-time market, green term ahead market, rec market, escerts market, trading calendar, clearing holidays, weekly regional loss. Buyers and sellers electronically submit bids during the market session and the matching of bids is done on a double-sided closed auction mechanism with a uniform market clearing price.</v>
    <v>159</v>
    <v>National Stock Exchange of India</v>
    <v>XNSE</v>
    <v>XNSE</v>
    <v>Unit No. 3,4,5 and 6, Plot No. 7, Fourth Floor, TDI Centre,, Plot No - 7, Jasola,, NEW DELHI, DELHI, 110025 IN</v>
    <v>142.25</v>
    <v>Investment Banking &amp; Investment Services</v>
    <v>Stock</v>
    <v>44939.474444444444</v>
    <v>96</v>
    <v>140.6</v>
    <v>126947300000</v>
    <v>INDIAN ENERGY EXCHANGE LIMITED</v>
    <v>INDIAN ENERGY EXCHANGE LIMITED</v>
    <v>142</v>
    <v>41.09</v>
    <v>141.4</v>
    <v>141.65</v>
    <v>896204200</v>
    <v>IEX</v>
    <v>INDIAN ENERGY EXCHANGE LIMITED (XNSE:IEX)</v>
    <v>2106087</v>
    <v>2909310</v>
    <v>2007</v>
  </rv>
  <rv s="2">
    <v>97</v>
  </rv>
  <rv s="0">
    <v>https://www.bing.com/financeapi/forcetrigger?t=bqsoyc&amp;q=XNSE%3aINDIAMART&amp;form=skydnc</v>
    <v>Learn more on Bing</v>
  </rv>
  <rv s="1">
    <v>en-US</v>
    <v>bqsoyc</v>
    <v>268435456</v>
    <v>1</v>
    <v>Powered by Refinitiv</v>
    <v>0</v>
    <v>INDIAMART INTERMESH LIMITED (XNSE:INDIAMART)</v>
    <v>2</v>
    <v>3</v>
    <v>Finance</v>
    <v>5</v>
    <v>6907</v>
    <v>3676</v>
    <v>0.75039999999999996</v>
    <v>14</v>
    <v>3.1490000000000003E-3</v>
    <v>INR</v>
    <v>IndiaMART InterMESH Limited is an India-based online business-to-business (B2B) marketplace, which connects buyers with suppliers. The channel is focused on providing a platform for small and medium enterprises (SMEs), large enterprises, as well as individuals. The Company operates through two segments: Web and related Services and Accounting Software Services. Web and related services segment provides business-to-business e-marketplace services, which acts as an interactive hub for domestic and international buyers and suppliers. Accounting software services segment provides the business of development, system analysis, designing and marketing of integrated business accounting software to help and manage businesses with increased efficiency. Its solutions include IndiaMART Leading Supplier, Star Supplier, TrustSEAL Combo, Maximiser, IndiaMART Paid Service (MDC), IndiaMART Verified Exporter, enterprise solutions and advertising solutions.</v>
    <v>3672</v>
    <v>National Stock Exchange of India</v>
    <v>XNSE</v>
    <v>XNSE</v>
    <v>6th floor, Tower 2, Assotech Business Cresterra, Plot No.22, Sec 135, NOIDA, UTTAR PRADESH, 201305 IN</v>
    <v>4479.2</v>
    <v>Software &amp; IT Services</v>
    <v>Stock</v>
    <v>44939.474444444444</v>
    <v>99</v>
    <v>4399</v>
    <v>136266500000</v>
    <v>INDIAMART INTERMESH LIMITED</v>
    <v>INDIAMART INTERMESH LIMITED</v>
    <v>4456.95</v>
    <v>55.89</v>
    <v>4446.55</v>
    <v>4460.55</v>
    <v>30549260</v>
    <v>INDIAMART</v>
    <v>INDIAMART INTERMESH LIMITED (XNSE:INDIAMART)</v>
    <v>34233</v>
    <v>32080</v>
    <v>1999</v>
  </rv>
  <rv s="2">
    <v>100</v>
  </rv>
  <rv s="0">
    <v>https://www.bing.com/financeapi/forcetrigger?t=ahidhw&amp;q=XNSE%3aIOLCP&amp;form=skydnc</v>
    <v>Learn more on Bing</v>
  </rv>
  <rv s="1">
    <v>en-US</v>
    <v>ahidhw</v>
    <v>268435456</v>
    <v>1</v>
    <v>Powered by Refinitiv</v>
    <v>0</v>
    <v>IOL CHEMICALS AND PHARMACEUTICALS LIMITED (XNSE:IOLCP)</v>
    <v>2</v>
    <v>3</v>
    <v>Finance</v>
    <v>5</v>
    <v>537.20000000000005</v>
    <v>292.8</v>
    <v>1.4001999999999999</v>
    <v>2.2000000000000002</v>
    <v>6.3149999999999994E-3</v>
    <v>INR</v>
    <v>IOL Chemicals and Pharmaceuticals Limited is an India-based generic pharmaceutical company. The Company is engaged in manufacturing and selling of organic chemicals, specialty, intermediates, and bulk drugs. Its product portfolio covers various therapeutic categories, such as Pain Management, Anti-diabetic, Anti-hypertensive, and Anti-convulsant, amongst others. Its active pharma ingredients (API) product portfolio include Ibuprofen, Ibuprofen Lysinate, Ibuprofen Sodium, Dex-Ibuprofen, Metformin HCL, Clopidogrel Bisulphate (Form II), Pantoprazole Sodium, Fenofibrate, Gabapentin, Lamotrigine, Ursodeoxycholic Acid, Losartan Potassium and Levetiracetam. Its specialty chemical division include Ethyl Acetate, Iso Butyl Benzene, Acetyl Chloride and Mono Chloro Acetic Acid. The Company caters to the pharmaceutical and specialty chemical requirements across both domestic and international markets. It serves Austria, Belgium, Hungry, Spain, Germany, Italy, Netherlands, Switzerland and others.</v>
    <v>2316</v>
    <v>National Stock Exchange of India</v>
    <v>XNSE</v>
    <v>XNSE</v>
    <v>85, Industrial Area, `A',, LUDHIANA, PUNJAB, 141003 IN</v>
    <v>352.95</v>
    <v>Pharmaceuticals</v>
    <v>Stock</v>
    <v>44939.474456018521</v>
    <v>102</v>
    <v>346.4</v>
    <v>20579210000</v>
    <v>IOL CHEMICALS AND PHARMACEUTICALS LIMITED</v>
    <v>IOL CHEMICALS AND PHARMACEUTICALS LIMITED</v>
    <v>348</v>
    <v>16.98</v>
    <v>348.35</v>
    <v>350.55</v>
    <v>58705500</v>
    <v>IOLCP</v>
    <v>IOL CHEMICALS AND PHARMACEUTICALS LIMITED (XNSE:IOLCP)</v>
    <v>105722</v>
    <v>248790</v>
    <v>1986</v>
  </rv>
  <rv s="2">
    <v>103</v>
  </rv>
  <rv s="0">
    <v>https://www.bing.com/financeapi/forcetrigger?t=bsg5qh&amp;q=XNSE%3aIRCTC&amp;form=skydnc</v>
    <v>Learn more on Bing</v>
  </rv>
  <rv s="1">
    <v>en-US</v>
    <v>bsg5qh</v>
    <v>268435456</v>
    <v>1</v>
    <v>Powered by Refinitiv</v>
    <v>0</v>
    <v>INDIAN RAILWAY CATERING AND TOURISM CORPORATION LIMITED (XNSE:IRCTC)</v>
    <v>2</v>
    <v>3</v>
    <v>Finance</v>
    <v>5</v>
    <v>918.65</v>
    <v>557</v>
    <v>0.96299999999999997</v>
    <v>0.85</v>
    <v>1.3270000000000001E-3</v>
    <v>INR</v>
    <v>Indian Railway Catering and Tourism Corporation Limited is an India-based company that is engaged in offering Internet ticketing, catering and tourism. The Company's primary business activity is offering catering and hospitality services at stations, on trains and other locations. Its segments include Catering and Hospitality; Internet Ticketing; Travel and Tourism, and Packaged Drinking Water (Rail Neer). Its services include flight booking, hotel booking, rail Drishti, e-catering, bus service, holiday packages, tourist train, hill railways, charter train, and others. Its holiday packages include Maharajas' Express, International Packages, Domestic Air Packages, Buddhist Circuit Tourist Train, Rail Tour Packages, and others. It also operates s air ticketing agency for booking of air ticket on official tour for government employees. The Company also provides IRCTC official application which consists of eWallet, loyalty program, iPay Payment Gateway, and IRCTC Zone.</v>
    <v>1971</v>
    <v>National Stock Exchange of India</v>
    <v>XNSE</v>
    <v>XNSE</v>
    <v>IRCTC Ltd, 11th Floor, B ? 148, Statesman House, Barakhamba Road, New Delhi ? 110 001, Delhi, Indi, DELHI, DELHI, 110001 IN</v>
    <v>643.5</v>
    <v>Passenger Transportation Services</v>
    <v>Stock</v>
    <v>44939.474456018521</v>
    <v>105</v>
    <v>637.04999999999995</v>
    <v>513200000000</v>
    <v>INDIAN RAILWAY CATERING AND TOURISM CORPORATION LIMITED</v>
    <v>INDIAN RAILWAY CATERING AND TOURISM CORPORATION LIMITED</v>
    <v>642.5</v>
    <v>57.29</v>
    <v>640.65</v>
    <v>641.5</v>
    <v>800000000</v>
    <v>IRCTC</v>
    <v>INDIAN RAILWAY CATERING AND TOURISM CORPORATION LIMITED (XNSE:IRCTC)</v>
    <v>697974</v>
    <v>1014860</v>
    <v>1999</v>
  </rv>
  <rv s="2">
    <v>106</v>
  </rv>
  <rv s="0">
    <v>https://www.bing.com/financeapi/forcetrigger?t=ah7wxm&amp;q=XBOM%3a500220&amp;form=skydnc</v>
    <v>Learn more on Bing</v>
  </rv>
  <rv s="1">
    <v>en-US</v>
    <v>ah7wxm</v>
    <v>268435456</v>
    <v>1</v>
    <v>Powered by Refinitiv</v>
    <v>0</v>
    <v>JASCH INDUSTRIES LIMITED (XBOM:500220)</v>
    <v>2</v>
    <v>3</v>
    <v>Finance</v>
    <v>4</v>
    <v>235</v>
    <v>133.30000000000001</v>
    <v>1.5994999999999999</v>
    <v>1.1499999999999999</v>
    <v>6.8510000000000003E-3</v>
    <v>INR</v>
    <v>Jasch Industries Limited is a manufacturer of coated textile/synthetic leather and electronic thickness gauge. It operates through two segments: synthetic leather cloth &amp; allied products division and electronic thickness gauge division. It manufactures polyurethane (PU) or polyvinyl chloride (PVC) coated fabrics and allied products in coated fabrics division, and nucleonic and x- ray source based thickness gauging systems in electronic gauge division. Its PU/PVC coated is used in footwear industry as raw material for shoe-upper, lining, insole, sandal straps; garment as lining material; automobiles as seat cover; furniture upholstery material; bags, luggage and in the manufacture of sports goods and accessories. Electronic Gauges are used for online measurement of thickness, grammage, moisture and ash contents in paper making industry, online measurement of thickness and coating weight in plastics, steel, sheet rolling, galvanizing, aluminum foil and non-ferrous metal rolling industry.</v>
    <v>229</v>
    <v>Bombay Stock Exchange</v>
    <v>XBOM</v>
    <v>XBOM</v>
    <v>502, Block C, Ndm-2,, Netaji Subhash Place, Pitampura,, NEW DELHI, DELHI, 110034 IN</v>
    <v>169.9</v>
    <v>Textiles &amp; Apparel</v>
    <v>Stock</v>
    <v>44939.438414351855</v>
    <v>108</v>
    <v>166.5</v>
    <v>1915903000</v>
    <v>JASCH INDUSTRIES LIMITED</v>
    <v>JASCH INDUSTRIES LIMITED</v>
    <v>168</v>
    <v>8.3800000000000008</v>
    <v>167.85</v>
    <v>169</v>
    <v>11330000</v>
    <v>500220</v>
    <v>JASCH INDUSTRIES LIMITED (XBOM:500220)</v>
    <v>10182</v>
    <v>8930</v>
    <v>1985</v>
  </rv>
  <rv s="2">
    <v>109</v>
  </rv>
  <rv s="0">
    <v>https://www.bing.com/financeapi/forcetrigger?t=ahij7w&amp;q=XNSE%3aJUSTDIAL&amp;form=skydnc</v>
    <v>Learn more on Bing</v>
  </rv>
  <rv s="1">
    <v>en-US</v>
    <v>ahij7w</v>
    <v>268435456</v>
    <v>1</v>
    <v>Powered by Refinitiv</v>
    <v>0</v>
    <v>JUST DIAL LIMITED (XNSE:JUSTDIAL)</v>
    <v>2</v>
    <v>3</v>
    <v>Finance</v>
    <v>5</v>
    <v>957.55</v>
    <v>520</v>
    <v>1.3171999999999999</v>
    <v>-0.75</v>
    <v>-1.2790000000000002E-3</v>
    <v>INR</v>
    <v>Just Dial Limited is a local search engine company. The Company is involved in other information service activities. It provides its services across various platforms, such as Web, mobile (application or browser), voice and short message service (SMS). It offers various services, such as JD Mart, JD Omni, and JD Pay. Its JD Mart enables manufacturers, suppliers, distributors, wholesalers, exporters, importers, and retailers across product categories to showcase and sell their products online. Its JD Omni provides end-to-end cloud-based solutions for digitalizing micro, small, and medium enterprises (MSMEs). It digitalizes businesses and helps business owners go online by building their own customizable Website and third-party tools. Its JD Pay supports cashless transactions, offers flexibility to transfer online payments through debit or credit card, net banking or online wallet. It provides JD Pay Escrow, which provides trade and payment protection for both buyer and seller.</v>
    <v>13343</v>
    <v>National Stock Exchange of India</v>
    <v>XNSE</v>
    <v>XNSE</v>
    <v>Palm Court, Building ? M, 501/B, 5th Floor, Besides Goregaon Sports Complex,, New Link Road, Malad (W), MUMBAI, MAHARASHTRA, 400064 IN</v>
    <v>598.79999999999995</v>
    <v>Software &amp; IT Services</v>
    <v>Stock</v>
    <v>44939.474456018521</v>
    <v>111</v>
    <v>581</v>
    <v>49382210000</v>
    <v>JUST DIAL LIMITED</v>
    <v>JUST DIAL LIMITED</v>
    <v>590</v>
    <v>102.62</v>
    <v>586.5</v>
    <v>585.75</v>
    <v>84305950</v>
    <v>JUSTDIAL</v>
    <v>JUST DIAL LIMITED (XNSE:JUSTDIAL)</v>
    <v>126401</v>
    <v>89760</v>
    <v>1993</v>
  </rv>
  <rv s="2">
    <v>112</v>
  </rv>
  <rv s="0">
    <v>https://www.bing.com/financeapi/forcetrigger?t=ah7xim&amp;q=XBOM%3a500235&amp;form=skydnc</v>
    <v>Learn more on Bing</v>
  </rv>
  <rv s="1">
    <v>en-US</v>
    <v>ah7xim</v>
    <v>268435456</v>
    <v>1</v>
    <v>Powered by Refinitiv</v>
    <v>0</v>
    <v>KALYANI STEELS LTD (XBOM:500235)</v>
    <v>2</v>
    <v>3</v>
    <v>Finance</v>
    <v>4</v>
    <v>390</v>
    <v>263.7</v>
    <v>1.4272</v>
    <v>-0.65</v>
    <v>-1.8459999999999998E-3</v>
    <v>INR</v>
    <v>Kalyani Steels Limited is engaged in the business of manufacturing and sale of Iron and Steel Products. The Company’s operating segment includes Forging and Engineering quality carbon and alloy steels. The Company is an integrated manufacturer of a diverse range of steel products with its manufacturing facility located at Hospet Works in Karnataka. Its products include applications, grades and sizes, and production facilities. Its products and services include Quality Medium Carbon, High Carbon, Medium Alloy, and Micro-Alloyed steels for Rolled Bars for Automotive Application, Rolled Bars for Engineering Application, Round Cast for Seamless Tube Industry and Machined Bars for Aluminium Smelting Industry. The integrated steel plant of the Company is located at Village Ginigera, Taluka and District Koppal, in the State of Karnataka. The Company's subsidiary is Lord Ganesha Minerals Private Limited.</v>
    <v>1096</v>
    <v>Bombay Stock Exchange</v>
    <v>XBOM</v>
    <v>XBOM</v>
    <v>Corporate Building, 2nd Floor, Mundhwa, PUNE, MAHARASHTRA, 411036 IN</v>
    <v>361.95</v>
    <v>Metals &amp; Mining</v>
    <v>Stock</v>
    <v>44939.438402777778</v>
    <v>114</v>
    <v>349.2</v>
    <v>15324410000</v>
    <v>KALYANI STEELS LTD</v>
    <v>KALYANI STEELS LTD</v>
    <v>354.8</v>
    <v>6.29</v>
    <v>352.2</v>
    <v>351.55</v>
    <v>43653060</v>
    <v>500235</v>
    <v>KALYANI STEELS LTD (XBOM:500235)</v>
    <v>3375</v>
    <v>75600</v>
    <v>1973</v>
  </rv>
  <rv s="2">
    <v>115</v>
  </rv>
  <rv s="0">
    <v>https://www.bing.com/financeapi/forcetrigger?t=ahdqar&amp;q=XBOM%3a532652&amp;form=skydnc</v>
    <v>Learn more on Bing</v>
  </rv>
  <rv s="1">
    <v>en-US</v>
    <v>ahdqar</v>
    <v>268435456</v>
    <v>1</v>
    <v>Powered by Refinitiv</v>
    <v>0</v>
    <v>THE KARNATAKA BANK LIMITED (XBOM:532652)</v>
    <v>2</v>
    <v>3</v>
    <v>Finance</v>
    <v>4</v>
    <v>168.5</v>
    <v>55.25</v>
    <v>1.3130999999999999</v>
    <v>1.05</v>
    <v>7.0589999999999993E-3</v>
    <v>INR</v>
    <v>The Karnataka Bank Limited is an India-based banking company. The Company is engaged in providing a range of banking and financial services, including retail, corporate banking and para-banking activities in addition to treasury and foreign exchange business. It operates in four segments: Treasury, Corporate Banking, Retail Banking and Other Banking Operations. Its products and services include borrowing facilities, deposits, providing returns on funds and helping with overseas transactions. It offers business banking services, such as working capital finance, term loans and business finance products. It offers personal banking services that include savings accounts, cards, loans, deposits, insurance, investment other services and other products. Its loan portfolio includes housing loan, vehicle loans, personal loan, loan against property, education loan, gold loan and other loans.</v>
    <v>8520</v>
    <v>Bombay Stock Exchange</v>
    <v>XBOM</v>
    <v>XBOM</v>
    <v>P B No 599, Mahaveera Circle, MANGALORE, KARNATAKA, 575002 IN</v>
    <v>150.75</v>
    <v>Banking Services</v>
    <v>Stock</v>
    <v>44939.438402777778</v>
    <v>117</v>
    <v>148.5</v>
    <v>46718320000</v>
    <v>THE KARNATAKA BANK LIMITED</v>
    <v>THE KARNATAKA BANK LIMITED</v>
    <v>149.5</v>
    <v>5.77</v>
    <v>148.75</v>
    <v>149.80000000000001</v>
    <v>311767200</v>
    <v>532652</v>
    <v>THE KARNATAKA BANK LIMITED (XBOM:532652)</v>
    <v>43870</v>
    <v>1565130</v>
    <v>1924</v>
  </rv>
  <rv s="2">
    <v>118</v>
  </rv>
  <rv s="0">
    <v>https://www.bing.com/financeapi/forcetrigger?t=ahimpr&amp;q=XNSE%3aKITEX&amp;form=skydnc</v>
    <v>Learn more on Bing</v>
  </rv>
  <rv s="1">
    <v>en-US</v>
    <v>ahimpr</v>
    <v>268435456</v>
    <v>1</v>
    <v>Powered by Refinitiv</v>
    <v>0</v>
    <v>KITEX GARMENTS LIMITED (XNSE:KITEX)</v>
    <v>2</v>
    <v>3</v>
    <v>Finance</v>
    <v>5</v>
    <v>309</v>
    <v>168.05</v>
    <v>0.9476</v>
    <v>-0.35</v>
    <v>-1.874E-3</v>
    <v>INR</v>
    <v>Kitex Garments Limited is an India-based company that is engaged in the business of manufacturing garments. The Company is primarily engaged in exporting cotton and organic cotton garments, principally infant wear. The Company specializes in knitted garments for infants, toddlers, boys and girls. The Company's products include bodysuits, sleepsuits, sleepwear, rompers and skirts, tops and dresses, baby quilts and bedding, burps, bibs, and training pants and jackets. The Company exports its products to the United States and European markets. The Company's wholly owned subsidiaries include Kitex Littlewear Limited, Kitex Babywear Limited, Kitex Socks Limited, Kitex Packs Limited, Kitex Knits Limited and Kitex Kidswear Limited.</v>
    <v>5525</v>
    <v>National Stock Exchange of India</v>
    <v>XNSE</v>
    <v>XNSE</v>
    <v>Kitex House, 3rd Floor,, Shenoy Chambers,, Shanmugham Road,, KOCHI, KERALA, 682031 IN</v>
    <v>188.05</v>
    <v>Textiles &amp; Apparel</v>
    <v>Stock</v>
    <v>44939.474456018521</v>
    <v>120</v>
    <v>184.85</v>
    <v>12398920000</v>
    <v>KITEX GARMENTS LIMITED</v>
    <v>KITEX GARMENTS LIMITED</v>
    <v>188</v>
    <v>9.06</v>
    <v>186.8</v>
    <v>186.45</v>
    <v>66500000</v>
    <v>KITEX</v>
    <v>KITEX GARMENTS LIMITED (XNSE:KITEX)</v>
    <v>50409</v>
    <v>54400</v>
    <v>1992</v>
  </rv>
  <rv s="2">
    <v>121</v>
  </rv>
  <rv s="0">
    <v>https://www.bing.com/financeapi/forcetrigger?t=bpucm7&amp;q=XNSE%3aKPITTECH&amp;form=skydnc</v>
    <v>Learn more on Bing</v>
  </rv>
  <rv s="1">
    <v>en-US</v>
    <v>bpucm7</v>
    <v>268435456</v>
    <v>1</v>
    <v>Powered by Refinitiv</v>
    <v>0</v>
    <v>KPIT TECHNOLOGIES LIMITED (XNSE:KPITTECH)</v>
    <v>2</v>
    <v>3</v>
    <v>Finance</v>
    <v>5</v>
    <v>801</v>
    <v>440.4</v>
    <v>1.8693</v>
    <v>-0.15</v>
    <v>-2.1659999999999998E-4</v>
    <v>INR</v>
    <v>KPIT Technologies Limited is an India-based technology company, which is focused on automobile engineering and mobility solutions. It also analyzes data for diagnostics, maintenance and tracking of assets and related connectivity solutions, including data and analytics beyond embedded or mechanical engineering and their connectivity and integration with back-end information technology (IT) systems and platforms for the automobile and mobility sector. The Company provides software, artificial intelligence (AI), and digital solutions and operates in Europe, the United States, Japan, China, Thailand, and India. The Company’s solutions include autonomous driving and advanced driver assistance systems (ADAS), electric and conventional powertrain, connected vehicles, vehicle diagnostics, automotive open system architecture (AUTOSAR) and vehicle engineering and design.</v>
    <v>6404</v>
    <v>National Stock Exchange of India</v>
    <v>XNSE</v>
    <v>XNSE</v>
    <v>SEZ Unit, Plot-17, Rajiv Gandhi Infotech Park, MIDC-SEZ, Phase-III, Hinjawadi, PUNE, MAHARASHTRA, 411057 IN</v>
    <v>698.95</v>
    <v>Software &amp; IT Services</v>
    <v>Stock</v>
    <v>44939.474456018521</v>
    <v>123</v>
    <v>677</v>
    <v>187197900000</v>
    <v>KPIT TECHNOLOGIES LIMITED</v>
    <v>KPIT TECHNOLOGIES LIMITED</v>
    <v>695.2</v>
    <v>58.82</v>
    <v>692.55</v>
    <v>692.4</v>
    <v>270360900</v>
    <v>KPITTECH</v>
    <v>KPIT TECHNOLOGIES LIMITED (XNSE:KPITTECH)</v>
    <v>1673248</v>
    <v>1598320</v>
    <v>2018</v>
  </rv>
  <rv s="2">
    <v>124</v>
  </rv>
  <rv s="0">
    <v>https://www.bing.com/financeapi/forcetrigger?t=c2k8c7&amp;q=XNSE%3aKIMS&amp;form=skydnc</v>
    <v>Learn more on Bing</v>
  </rv>
  <rv s="1">
    <v>en-US</v>
    <v>c2k8c7</v>
    <v>268435456</v>
    <v>1</v>
    <v>Powered by Refinitiv</v>
    <v>0</v>
    <v>KRISHNA INSTITUTE OF MEDICAL SCIENCES LIMITED (XNSE:KIMS)</v>
    <v>2</v>
    <v>3</v>
    <v>Finance</v>
    <v>5</v>
    <v>1668.4</v>
    <v>1113.25</v>
    <v>0.114</v>
    <v>-8.25</v>
    <v>-5.4669999999999996E-3</v>
    <v>INR</v>
    <v>Krishna Institute of Medical Sciences Ltd is an India-based company, engaged in the business of rendering medical and healthcare services. The Company’s departments include accident, Alzheimer center, andrology and infertility center, pediatric obesity, pediatric oncology, pediatric oncology and hematology center, pediatric orthopedics and rheumatology, pediatric renal center, pediatric surgical center, female urology center, fertility center, gastrointestinal oncology, general surgery, heart wellness center and hepatobiliary surgery center. The Company’s institutes include the institute of Cardiac Sciences, Institute of Dental Science, Institute of Gastroenterology &amp; Hepatology, Institute of Heart &amp; Lung Transplantation, Institute of Neuro Sciences, Institute of Oncological Sciences, Institute of Organ Transplantation, Institute of Orthopedic Sciences, Institute of Pediatrics, Institute of Renal Sciences, Institute of Reproductive Sciences and Institute of Robotic Sciences.</v>
    <v>7815</v>
    <v>National Stock Exchange of India</v>
    <v>XNSE</v>
    <v>XNSE</v>
    <v>1-8-31/1, Minister Rd, Krishna Nagar Colony, Begumpet, SECUNDERABAD, TELANGANA, 500003 IN</v>
    <v>1516.8</v>
    <v>Healthcare Providers &amp; Services</v>
    <v>Stock</v>
    <v>44939.474456018521</v>
    <v>126</v>
    <v>1496.45</v>
    <v>120109700000</v>
    <v>KRISHNA INSTITUTE OF MEDICAL SCIENCES LIMITED</v>
    <v>KRISHNA INSTITUTE OF MEDICAL SCIENCES LIMITED</v>
    <v>1509</v>
    <v>37.79</v>
    <v>1509.1</v>
    <v>1500.85</v>
    <v>80027790</v>
    <v>KIMS</v>
    <v>KRISHNA INSTITUTE OF MEDICAL SCIENCES LIMITED (XNSE:KIMS)</v>
    <v>11686</v>
    <v>21790</v>
    <v>1973</v>
  </rv>
  <rv s="2">
    <v>127</v>
  </rv>
  <rv s="0">
    <v>https://www.bing.com/financeapi/forcetrigger?t=ahis77&amp;q=XNSE%3aLTTS&amp;form=skydnc</v>
    <v>Learn more on Bing</v>
  </rv>
  <rv s="1">
    <v>en-US</v>
    <v>ahis77</v>
    <v>268435456</v>
    <v>1</v>
    <v>Powered by Refinitiv</v>
    <v>0</v>
    <v>L&amp;T TECHNOLOGY SERVICES LIMITED (XNSE:LTTS)</v>
    <v>2</v>
    <v>3</v>
    <v>Finance</v>
    <v>5</v>
    <v>5828.9</v>
    <v>2924.2</v>
    <v>1.0654999999999999</v>
    <v>-194.05</v>
    <v>-5.3269000000000004E-2</v>
    <v>INR</v>
    <v>L&amp;T Technology Services Limited is an India-based engineering research and development services company. The Company provides services and solutions in the areas of product software, mechanical and manufacturing engineering, embedded systems, engineering analytics and plant engineering. The Company operates through five segments: Transportation, Telecom &amp; Hi Tech, Industrial Products, Plant Engineering and Medical Devices. It offers a range of engineering services and solutions for its global customers in the transportation industry for original equipment manufacturers (OEMs) in the automotive, trucks and off-highway vehicles and aerospace sectors. Its Telecom and Hi-tech segment provide engineering services and solutions that cater various sectors, including telecom, consumer electronics, semiconductor and media and entertainment. The Company exports engineering and design services to North America, Europe, the Middle East, Japan, Korea and other Asia-Pacific (APAC) countries.</v>
    <v>21474</v>
    <v>National Stock Exchange of India</v>
    <v>XNSE</v>
    <v>XNSE</v>
    <v>L&amp;T Technology Services Limited, 5th Floor, West Block-II, L&amp;T Knowledge City (IT/ITES) SEZ, VADODARA, GUJARAT, 390019 IN</v>
    <v>3580</v>
    <v>Construction &amp; Engineering</v>
    <v>Stock</v>
    <v>44939.474456018521</v>
    <v>129</v>
    <v>3404.2</v>
    <v>364172500000</v>
    <v>L&amp;T TECHNOLOGY SERVICES LIMITED</v>
    <v>L&amp;T TECHNOLOGY SERVICES LIMITED</v>
    <v>3575</v>
    <v>36.01</v>
    <v>3642.8</v>
    <v>3448.75</v>
    <v>105595500</v>
    <v>LTTS</v>
    <v>L&amp;T TECHNOLOGY SERVICES LIMITED (XNSE:LTTS)</v>
    <v>1302790</v>
    <v>187210</v>
    <v>2012</v>
  </rv>
  <rv s="2">
    <v>130</v>
  </rv>
  <rv s="0">
    <v>https://www.bing.com/financeapi/forcetrigger?t=ahipz2&amp;q=XNSE%3aLAURUSLABS&amp;form=skydnc</v>
    <v>Learn more on Bing</v>
  </rv>
  <rv s="1">
    <v>en-US</v>
    <v>ahipz2</v>
    <v>268435456</v>
    <v>1</v>
    <v>Powered by Refinitiv</v>
    <v>0</v>
    <v>LAURUS LABS LIMITED (XNSE:LAURUSLABS)</v>
    <v>2</v>
    <v>3</v>
    <v>Finance</v>
    <v>5</v>
    <v>626.29999999999995</v>
    <v>354</v>
    <v>1.4974000000000001</v>
    <v>-3.2</v>
    <v>-8.8789999999999997E-3</v>
    <v>INR</v>
    <v>Laurus Labs Limited is an India-based pharmaceutical and biotechnology company. The Company is a manufacturer of active pharmaceutical ingredients (API) for antiretroviral (ARV), oncology, cardiovascular, antidiabetics, anti-asthma and gastroenterology. It also develops and manufactures oral solid formulations, which provide contract research and manufacturing services (CRAMS) to other global pharma companies, and produce specialty ingredients for nutraceuticals, dietary supplements and cosmeceuticals. The Company operates through four business units covering a range of therapeutic applications, including Generics API, which is engaged in the development, manufacture and sale of APIs and advanced intermediates; Generics Finished Dosage Form (FDF), which is engaged in the development and manufacture of oral solid formulations; Synthesis, which is a key starting materials, intermediates and APIs for New Chemical Entities (NCEs), and Bio, which is engaged in the recombinant products.</v>
    <v>5131</v>
    <v>National Stock Exchange of India</v>
    <v>XNSE</v>
    <v>XNSE</v>
    <v>2nd Floor, Serene Chambers,, Road No. 7, Banjara Hills,, Hyderabad 500 034,, HYDERABAD, TELANGANA, 500034 IN</v>
    <v>362.25</v>
    <v>Pharmaceuticals</v>
    <v>Stock</v>
    <v>44939.474456018521</v>
    <v>132</v>
    <v>354</v>
    <v>192406100000</v>
    <v>LAURUS LABS LIMITED</v>
    <v>LAURUS LABS LIMITED</v>
    <v>360.4</v>
    <v>22.3</v>
    <v>360.4</v>
    <v>357.2</v>
    <v>538650900</v>
    <v>LAURUSLABS</v>
    <v>LAURUS LABS LIMITED (XNSE:LAURUSLABS)</v>
    <v>1614466</v>
    <v>1196680</v>
    <v>2005</v>
  </rv>
  <rv s="2">
    <v>133</v>
  </rv>
  <rv s="0">
    <v>https://www.bing.com/financeapi/forcetrigger?t=ahiqsm&amp;q=XNSE%3aLICHSGFIN&amp;form=skydnc</v>
    <v>Learn more on Bing</v>
  </rv>
  <rv s="1">
    <v>en-US</v>
    <v>ahiqsm</v>
    <v>268435456</v>
    <v>1</v>
    <v>Powered by Refinitiv</v>
    <v>0</v>
    <v>LIC HOUSING FINANCE LTD (XNSE:LICHSGFIN)</v>
    <v>2</v>
    <v>3</v>
    <v>Finance</v>
    <v>5</v>
    <v>443.6</v>
    <v>291.75</v>
    <v>1.2644</v>
    <v>2.75</v>
    <v>6.8720000000000005E-3</v>
    <v>INR</v>
    <v>LIC Housing Finance Limited is a housing finance company. The Company is engaged in the business of providing finance for purchase, construction, repairs, renovation of houses/buildings. The Company provides long term finance to individuals for the purchase or construction of house/flat for residential purposes in India. It also provides finance on existing property for business/ personal needs and also gives loans to professionals for purchase/construction of clinics/nursing homes/ diagnostic centers/ office space and also for purchase of equipment. It offers a range of housing loans, such as home loans, plot loans, Pradhan Mantri Awas Yojana, Griha Suvidha Home loan, home loan for non-resident Indian (NRI) and home loan for pensioners, home improvement loan, home construction loan, home extension loan and top up loans. Its other loans include loan against property, loan against security, loan to professionals and loan against property for listed/unlisted companies.</v>
    <v>2467</v>
    <v>National Stock Exchange of India</v>
    <v>XNSE</v>
    <v>XNSE</v>
    <v>131, Maker Tower, F Premises,13 th Floor, Cuffe Parade Mumbai-400005, MUMBAI, MAHARASHTRA, 400005 IN</v>
    <v>404.6</v>
    <v>Banking Services</v>
    <v>Stock</v>
    <v>44939.474456018521</v>
    <v>135</v>
    <v>398.7</v>
    <v>221620400000</v>
    <v>LIC HOUSING FINANCE LTD</v>
    <v>LIC HOUSING FINANCE LTD</v>
    <v>401</v>
    <v>6.81</v>
    <v>400.15</v>
    <v>402.9</v>
    <v>550063000</v>
    <v>LICHSGFIN</v>
    <v>LIC HOUSING FINANCE LTD (XNSE:LICHSGFIN)</v>
    <v>1012622</v>
    <v>2042070</v>
    <v>1989</v>
  </rv>
  <rv s="2">
    <v>136</v>
  </rv>
  <rv s="0">
    <v>https://www.bing.com/financeapi/forcetrigger?t=ahiqyc&amp;q=XNSE%3aLINCOLN&amp;form=skydnc</v>
    <v>Learn more on Bing</v>
  </rv>
  <rv s="1">
    <v>en-US</v>
    <v>ahiqyc</v>
    <v>268435456</v>
    <v>1</v>
    <v>Powered by Refinitiv</v>
    <v>0</v>
    <v>LINCOLN PHARMACEUTICALS LTD (XNSE:LINCOLN)</v>
    <v>2</v>
    <v>3</v>
    <v>Finance</v>
    <v>5</v>
    <v>385</v>
    <v>255</v>
    <v>1.0162</v>
    <v>-0.05</v>
    <v>-1.4190000000000001E-4</v>
    <v>INR</v>
    <v>Lincoln Pharmaceuticals Limited is engaged in the business of manufacturing and trading of pharmaceuticals products like medicines, injections and other related products. The Company offers products, such as tablets, capsules, liquid injection, cream in tubes, dry power injection, liquid in bott, liquid injection and pharma products. It has operations in cardiac, diabetic, anti-malarial, anti-biotics, cephalosporins, analgesic, antipyretics, vitamin-minerals and iron preparations, among others. The Company serves approximately 60 countries in Europe, Latin America, Africa, Asia Pacific, Southeast Asia and 26 States across India. The Company's products include ARHL Tablet (used to treat chloroquine resistant falciparum malaria symptoms), Ibuprofen Tablet (used to treat pain, fever, and inflammation), Dolomol Tablet (used to treat aches and pains), Namcold Tablet (used to treat common cold symptoms) and Tinnex Capsule used to treat tinnitus.</v>
    <v>1246</v>
    <v>National Stock Exchange of India</v>
    <v>XNSE</v>
    <v>XNSE</v>
    <v>LINCOLN HOUSE, B/h. Satyam Complex, Science City Road, Sola, AHMEDABAD, GUJARAT, 380062 IN</v>
    <v>355.95</v>
    <v>Pharmaceuticals</v>
    <v>Stock</v>
    <v>44939.474456018521</v>
    <v>138</v>
    <v>346.85</v>
    <v>7054470000</v>
    <v>LINCOLN PHARMACEUTICALS LTD</v>
    <v>LINCOLN PHARMACEUTICALS LTD</v>
    <v>351</v>
    <v>10.48</v>
    <v>352.25</v>
    <v>352.2</v>
    <v>20029730</v>
    <v>LINCOLN</v>
    <v>LINCOLN PHARMACEUTICALS LTD (XNSE:LINCOLN)</v>
    <v>20086</v>
    <v>33320</v>
    <v>1995</v>
  </rv>
  <rv s="2">
    <v>139</v>
  </rv>
  <rv s="0">
    <v>https://www.bing.com/financeapi/forcetrigger?t=ahizgh&amp;q=XNSE%3aM%26M&amp;form=skydnc</v>
    <v>Learn more on Bing</v>
  </rv>
  <rv s="1">
    <v>en-US</v>
    <v>ahizgh</v>
    <v>268435456</v>
    <v>1</v>
    <v>Powered by Refinitiv</v>
    <v>0</v>
    <v>MAHINDRA AND MAHINDRA LIMITED (XNSE:M&amp;M)</v>
    <v>2</v>
    <v>3</v>
    <v>Finance</v>
    <v>5</v>
    <v>1366.55</v>
    <v>671.15</v>
    <v>1.3287</v>
    <v>8.25</v>
    <v>6.2500000000000003E-3</v>
    <v>INR</v>
    <v>Mahindra and Mahindra Limited is an India-based company that is primarily engaged in the mobility products and farm solutions. The Company’s segments include Automotive and Farm Equipment. The Automotive segment comprises the sale of automobiles, spares, mobility solutions, construction equipment and related services. The Farm Equipment segment comprises the sale of tractors, implements, spares and related services It also comprises of Powerol and spares business unit. The Company offers a range of products and solutions, including sport utility vehicles (SUVs), pickups, commercial vehicles and tractors to electric vehicles, two-wheelers, and construction equipment. Its industries include aerospace, aftermarket, agribusiness, automotive, boats, clean energy, consulting, construction equipment, defense, farm equipment, hospitality, information technology, insurance broking, logistics, power backup, retail, steel, real estate and infrastructure, and vehicle and equipment finance.</v>
    <v>21297</v>
    <v>National Stock Exchange of India</v>
    <v>XNSE</v>
    <v>XNSE</v>
    <v>Mahindra Towers,, Dr. G. M. Bhosale Marg,, P. K. Kurne Chowk, Worli,, MUMBAI, MAHARASHTRA, 400018 IN</v>
    <v>1337</v>
    <v>Automobiles &amp; Auto Parts</v>
    <v>Stock</v>
    <v>44939.474456018521</v>
    <v>141</v>
    <v>1311.6</v>
    <v>1588033000000</v>
    <v>MAHINDRA AND MAHINDRA LIMITED</v>
    <v>MAHINDRA AND MAHINDRA LIMITED</v>
    <v>1325</v>
    <v>15.96</v>
    <v>1319.9</v>
    <v>1328.15</v>
    <v>1195673000</v>
    <v>M&amp;M</v>
    <v>MAHINDRA AND MAHINDRA LIMITED (XNSE:M&amp;M)</v>
    <v>2600139</v>
    <v>2339900</v>
    <v>1945</v>
  </rv>
  <rv s="2">
    <v>142</v>
  </rv>
  <rv s="0">
    <v>https://www.bing.com/financeapi/forcetrigger?t=ahiv52&amp;q=XNSE%3aMANAPPURAM&amp;form=skydnc</v>
    <v>Learn more on Bing</v>
  </rv>
  <rv s="1">
    <v>en-US</v>
    <v>ahiv52</v>
    <v>268435456</v>
    <v>1</v>
    <v>Powered by Refinitiv</v>
    <v>0</v>
    <v>MANAPPURAM FINANCE LIMITED (XNSE:MANAPPURAM)</v>
    <v>2</v>
    <v>3</v>
    <v>Finance</v>
    <v>5</v>
    <v>173.75</v>
    <v>81.5</v>
    <v>1.5886</v>
    <v>1.5</v>
    <v>1.2484E-2</v>
    <v>INR</v>
    <v>Manappuram Finance Limited is an India-based non-banking financial company (NBFC). The Company serves the credit requirements of people belonging to the lower socio-economic classes, particularly in rural and semi-urban areas of India. The Company offers a range of retail credit products and financial services. The Company has a diversified portfolio across retail, microfinance, small and medium enterprises (SMEs), and commercial customers. The Company offers gold loans against the security of gold jewelry. The Company’s short-term gold loan product is used primarily by customers who require immediate funds and may not have access to other forms of formal credit readily available. It offers online gold loan, gold loan, SME finance, forex and money transfer, vehicle loan, doorstep gold loan, personal loan, micro home finance, hospitality industrial loan, teachers loan division, healthcare industry loan, other loans, other services, and two-wheeler finance.</v>
    <v>27564</v>
    <v>National Stock Exchange of India</v>
    <v>XNSE</v>
    <v>XNSE</v>
    <v>IV / 470 (old) W638A (New), Manappuram House,, Valapad, TRICHUR, KERALA, 680567 IN</v>
    <v>121.9</v>
    <v>Banking Services</v>
    <v>Stock</v>
    <v>44939.474456018521</v>
    <v>144</v>
    <v>119.5</v>
    <v>102963900000</v>
    <v>MANAPPURAM FINANCE LIMITED</v>
    <v>MANAPPURAM FINANCE LIMITED</v>
    <v>120.8</v>
    <v>8.6</v>
    <v>120.15</v>
    <v>121.65</v>
    <v>846394700</v>
    <v>MANAPPURAM</v>
    <v>MANAPPURAM FINANCE LIMITED (XNSE:MANAPPURAM)</v>
    <v>3094130</v>
    <v>6907110</v>
    <v>1992</v>
  </rv>
  <rv s="2">
    <v>145</v>
  </rv>
  <rv s="0">
    <v>https://www.bing.com/financeapi/forcetrigger?t=ahixkr&amp;q=XNSE%3aMCX&amp;form=skydnc</v>
    <v>Learn more on Bing</v>
  </rv>
  <rv s="1">
    <v>en-US</v>
    <v>ahixkr</v>
    <v>268435456</v>
    <v>1</v>
    <v>Powered by Refinitiv</v>
    <v>0</v>
    <v>MULTI COMMODITY EXCHANGE OF INDIA LIMITED (XNSE:MCX)</v>
    <v>2</v>
    <v>3</v>
    <v>Finance</v>
    <v>5</v>
    <v>1697.1</v>
    <v>1143</v>
    <v>0.62170000000000003</v>
    <v>96.1</v>
    <v>6.3700999999999994E-2</v>
    <v>INR</v>
    <v>Multi Commodity Exchange of India Limited is a commodity derivatives exchange. The Company facilitates online trading of commodity derivatives transactions, thereby providing a platform for price discovery and risk management. The Company's product segments include bullion, energy, agricultural basket, base metals and index futures. Its flagship index series, MCX iCOMDEX, is a series of real-time commodity futures price indices, which give information on market movements in key commodities/ segments traded on the exchange. The MCX iCOMDEX series consists of a composite index, apart from three sectoral indices, such as the Base Metal index, the Bullion index and the Energy index, and also nine single-commodity indices, such as Gold, Silver, Aluminum, Copper and Lead, among others. Its subsidiary, Multi Commodity Exchange Clearing Corporation Limited, provides collateral management and risk management services, along with clearing and settlement of trades executed on the exchange.</v>
    <v>345</v>
    <v>National Stock Exchange of India</v>
    <v>XNSE</v>
    <v>XNSE</v>
    <v>Exchange Square, Suren Road chakala, Andheri (East), MUMBAI, MAHARASHTRA, 400093 IN</v>
    <v>1610</v>
    <v>Investment Banking &amp; Investment Services</v>
    <v>Stock</v>
    <v>44939.474456018521</v>
    <v>147</v>
    <v>1513.35</v>
    <v>81683750000</v>
    <v>MULTI COMMODITY EXCHANGE OF INDIA LIMITED</v>
    <v>MULTI COMMODITY EXCHANGE OF INDIA LIMITED</v>
    <v>1516.55</v>
    <v>43.7</v>
    <v>1508.6</v>
    <v>1604.7</v>
    <v>50902820</v>
    <v>MCX</v>
    <v>MULTI COMMODITY EXCHANGE OF INDIA LIMITED (XNSE:MCX)</v>
    <v>1723640</v>
    <v>409900</v>
    <v>2002</v>
  </rv>
  <rv s="2">
    <v>148</v>
  </rv>
  <rv s="0">
    <v>https://www.bing.com/financeapi/forcetrigger?t=c4ny5r&amp;q=XNSE%3aMEDPLUS&amp;form=skydnc</v>
    <v>Learn more on Bing</v>
  </rv>
  <rv s="1">
    <v>en-US</v>
    <v>c4ny5r</v>
    <v>268435456</v>
    <v>1</v>
    <v>Powered by Refinitiv</v>
    <v>0</v>
    <v>MEDPLUS HEALTH SERVICES LIMITED (XNSE:MEDPLUS)</v>
    <v>2</v>
    <v>3</v>
    <v>Finance</v>
    <v>5</v>
    <v>1343</v>
    <v>548.25</v>
    <v>0.92700000000000005</v>
    <v>1.1000000000000001</v>
    <v>1.7569999999999999E-3</v>
    <v>INR</v>
    <v>MedPlus Health Services Limited is an India-based omni channel retail pharmacy. The Company is a pharmacy retail brand, which offers medicine. The Company operates approximately 2165 stores in 242 cities distributed across Tamil Nadu, Andhra Pradesh, Telangana, Karnataka, Odisha, West Bengal and Maharashtra. Its omni-channel platform enables the Company to service its customers through its stores, as well as its online channels. Its click and pick service allows customers to place orders directly online for collection at their preferred store. Its customers also have the option to return any items purchased through its online channel at their preferred stores, subject to the standard terms and conditions. Through its door-to-door delivery service, in the cities of Hyderabad and Bangalore, its customers can place orders over the telephone, through its Website or mobile application.</v>
    <v>18086</v>
    <v>National Stock Exchange of India</v>
    <v>XNSE</v>
    <v>XNSE</v>
    <v>707, 7th Floor, 5-9-13, Taramandal Commercial Complex,, Saifabad, HYDERABAD, TELANGANA, 500 004 IN</v>
    <v>631.75</v>
    <v>Food &amp; Drug Retailing</v>
    <v>Stock</v>
    <v>44939.474456018521</v>
    <v>150</v>
    <v>621.1</v>
    <v>74581710000</v>
    <v>MEDPLUS HEALTH SERVICES LIMITED</v>
    <v>MEDPLUS HEALTH SERVICES LIMITED</v>
    <v>629.79999999999995</v>
    <v>187.57</v>
    <v>626.20000000000005</v>
    <v>627.29999999999995</v>
    <v>118893200</v>
    <v>MEDPLUS</v>
    <v>MEDPLUS HEALTH SERVICES LIMITED (XNSE:MEDPLUS)</v>
    <v>16859</v>
    <v>66870</v>
    <v>2006</v>
  </rv>
  <rv s="2">
    <v>151</v>
  </rv>
  <rv s="0">
    <v>https://www.bing.com/financeapi/forcetrigger?t=c35oqh&amp;q=XNSE%3aMFL&amp;form=skydnc</v>
    <v>Learn more on Bing</v>
  </rv>
  <rv s="3">
    <v>en-US</v>
    <v>c35oqh</v>
    <v>268435456</v>
    <v>1</v>
    <v>Powered by Refinitiv</v>
    <v>6</v>
    <v>MEGHMANI FINECHEM LIMITED (XNSE:MFL)</v>
    <v>2</v>
    <v>7</v>
    <v>Finance</v>
    <v>5</v>
    <v>1736</v>
    <v>740.05</v>
    <v>9.1999999999999993</v>
    <v>7.7149999999999996E-3</v>
    <v>INR</v>
    <v>Meghmani Finechem Limited (MFL) is an India-based manufacturer of essential chemicals. The Company is engaged in manufacturing and selling of Chlor Alkali &amp; its Derivatives. It is also engaged in the Trading of Agrochemical products. The Company manufactures a range of products: caustic soda, caustic potash, chlorine, hydrogen, chloromethanes, and hydrogen peroxide. The Company’s products are used in alumina, textile, crop protection, refineries, pharmaceutical, paper &amp; pulp, soaps &amp; detergent, and other industries. The Company’s subsidiaries include Meghmani Advanced Sciences Limited.</v>
    <v>872</v>
    <v>National Stock Exchange of India</v>
    <v>XNSE</v>
    <v>XNSE</v>
    <v>Meghmani House, B/h Safal Profitaire,, Corporate Road, Prahladnagar, AHMEDABAD, GUJARAT, 380015 IN</v>
    <v>1210.25</v>
    <v>Chemicals</v>
    <v>Stock</v>
    <v>44939.474456018521</v>
    <v>153</v>
    <v>1192.1500000000001</v>
    <v>49930820000</v>
    <v>MEGHMANI FINECHEM LIMITED</v>
    <v>MEGHMANI FINECHEM LIMITED</v>
    <v>1198.5</v>
    <v>13.46</v>
    <v>1192.5</v>
    <v>1201.7</v>
    <v>41550160</v>
    <v>MFL</v>
    <v>MEGHMANI FINECHEM LIMITED (XNSE:MFL)</v>
    <v>15500</v>
    <v>30200</v>
    <v>2007</v>
  </rv>
  <rv s="2">
    <v>154</v>
  </rv>
  <rv s="0">
    <v>https://www.bing.com/financeapi/forcetrigger?t=ahj1oc&amp;q=XNSE%3aMOREPENLAB&amp;form=skydnc</v>
    <v>Learn more on Bing</v>
  </rv>
  <rv s="1">
    <v>en-US</v>
    <v>ahj1oc</v>
    <v>268435456</v>
    <v>1</v>
    <v>Powered by Refinitiv</v>
    <v>0</v>
    <v>MOREPEN LABORATORIES LIMITED (XNSE:MOREPENLAB)</v>
    <v>2</v>
    <v>3</v>
    <v>Finance</v>
    <v>5</v>
    <v>57.9</v>
    <v>23.6</v>
    <v>1.4616</v>
    <v>-0.5</v>
    <v>-1.4881E-2</v>
    <v>INR</v>
    <v>Morepen Laboratories Limited is an India-based pharmaceutical company. The Company is in the business of manufacturing, producing, developing and marketing a range of active pharmaceutical ingredients (APIs), branded and generic formulations and also the home health products. Its APIs include Apixaban, Edoxaban, Sitagliptin, Linagliptin, Empagliflozin, Atorvastatin, Loratadine, Desloratadine, Montelukast Sodium, Atorvastatin Calcium, Fexofenadine, Sitagliptin Phosphate, Vildagliptin and Rivaroxaban, among others. Its finished formulations include Intebact Capsules, Intelicaps Lax, Rythmix Kid Drop, Rythmix Kid Syrup, Kompact Powder, Saltum and Acifix 3X Suspension among others. Its home health products include Dr. Morepen 49W Room Air Purifier With HEPA Filter, Dr. Morepen VP06 Breathe Free Vaporizer, Dr. Morepen CN06 Compressor Nebulizer and Dr. Morepen ST03 Dual Head Stethoscope, among others. Its subsidiaries include Dr. Morepen Limited and Total Care Limited, among others.</v>
    <v>2378</v>
    <v>National Stock Exchange of India</v>
    <v>XNSE</v>
    <v>XNSE</v>
    <v>409, Antriksh Bhawan, 22, Kasturba Gandhi Marg, New Delhi, NEW DELHI, DELHI, 110001 IN</v>
    <v>33.65</v>
    <v>Pharmaceuticals</v>
    <v>Stock</v>
    <v>44939.474456018521</v>
    <v>156</v>
    <v>33</v>
    <v>16919680000</v>
    <v>MOREPEN LABORATORIES LIMITED</v>
    <v>MOREPEN LABORATORIES LIMITED</v>
    <v>33.5</v>
    <v>27.95</v>
    <v>33.6</v>
    <v>33.1</v>
    <v>511168700</v>
    <v>MOREPENLAB</v>
    <v>MOREPEN LABORATORIES LIMITED (XNSE:MOREPENLAB)</v>
    <v>3729104</v>
    <v>7554090</v>
    <v>1984</v>
  </rv>
  <rv s="2">
    <v>157</v>
  </rv>
  <rv s="0">
    <v>https://www.bing.com/financeapi/forcetrigger?t=c111oc&amp;q=XNSE%3aMTARTECH&amp;form=skydnc</v>
    <v>Learn more on Bing</v>
  </rv>
  <rv s="1">
    <v>en-US</v>
    <v>c111oc</v>
    <v>268435456</v>
    <v>1</v>
    <v>Powered by Refinitiv</v>
    <v>0</v>
    <v>MTAR TECHNOLOGIES LIMITED (XNSE:MTARTECH)</v>
    <v>2</v>
    <v>3</v>
    <v>Finance</v>
    <v>5</v>
    <v>2409.85</v>
    <v>1205</v>
    <v>1.0449999999999999</v>
    <v>16.05</v>
    <v>9.6039999999999997E-3</v>
    <v>INR</v>
    <v>MTAR Technologies Limited is an India-based precision engineering company. The Company is engaged in the manufacture of mission critical precision components with close tolerances (5-10 microns) and in critical assemblies, to serve projects of high national importance, through its precision machining, assembly, testing, quality control and specialized fabrication competencies, some of which have been indigenously developed and manufactured. Its segments include Civilian Nuclear Power, Space, Defence &amp; Aerospace, Clean Energy, Ball Screws &amp; Roller Screws, and Other Segments-Marine. Civilian Nuclear Power segment has a product portfolio, which includes complex assemblies, such as fuel machining head, drive mechanisms, bridge and column and coolant channel assemblies and others. Space segment provides a range of mission critical assemblies to ISRO for its various missions. The segment includes ISRO Geosynchronous Satellite Launch Vehicle and ISRO Polar Satellite Launch Vehicle.</v>
    <v>1218</v>
    <v>National Stock Exchange of India</v>
    <v>XNSE</v>
    <v>XNSE</v>
    <v>18, Technocrats Industrial Estate, Balanagar, HYDERABAD, TELANGANA, 500037 IN</v>
    <v>1719.9</v>
    <v>Machinery, Equipment &amp; Components</v>
    <v>Stock</v>
    <v>44939.474456018521</v>
    <v>159</v>
    <v>1683</v>
    <v>51896040000</v>
    <v>MTAR TECHNOLOGIES LIMITED</v>
    <v>MTAR TECHNOLOGIES LIMITED</v>
    <v>1684</v>
    <v>69.45</v>
    <v>1671.1</v>
    <v>1687.15</v>
    <v>30759590</v>
    <v>MTARTECH</v>
    <v>MTAR TECHNOLOGIES LIMITED (XNSE:MTARTECH)</v>
    <v>374186</v>
    <v>265680</v>
    <v>1999</v>
  </rv>
  <rv s="2">
    <v>160</v>
  </rv>
  <rv s="0">
    <v>https://www.bing.com/financeapi/forcetrigger?t=c1d7ec&amp;q=XNSE%3aNAZARA&amp;form=skydnc</v>
    <v>Learn more on Bing</v>
  </rv>
  <rv s="1">
    <v>en-US</v>
    <v>c1d7ec</v>
    <v>268435456</v>
    <v>1</v>
    <v>Powered by Refinitiv</v>
    <v>0</v>
    <v>NAZARA TECHNOLOGIES LIMITED (XNSE:NAZARA)</v>
    <v>2</v>
    <v>3</v>
    <v>Finance</v>
    <v>5</v>
    <v>1343.5</v>
    <v>475.05</v>
    <v>1.3049999999999999</v>
    <v>-5.3</v>
    <v>-8.572999999999999E-3</v>
    <v>INR</v>
    <v>Nazara Technologies Limited is an India-based diversified gaming and sports media platform. The Company offers esports, sports simulation, early learners, skill-based fantasy, and others. Its markets are in Africa and North America, with offerings across interactive gaming, esports, and gamified learning ecosystems. The Company owns a range of intellectual property (IP), including World Cricket Championship (WCC) and CarromClash in mobile games, Kiddopia in gamified early learning, NODWIN, and Sportskeeda in esports and esports media, and Halaplay and Qunami in skill-based fantasy, and trivia games. The Company’s distribution pipelines/network with approximately 52 telcos in 58 countries including Africa, the Middle East, and South Asia. The Company's subsidiaries include Absolute Sports Private Limited, Nazara Technologies FZ LLC, Nazara Pte. Limited, Nazara Pro Gaming Private Limited, Next Wave Multimedia Private Limited, and Nodwin Gaming Private Limited.</v>
    <v>73</v>
    <v>National Stock Exchange of India</v>
    <v>XNSE</v>
    <v>XNSE</v>
    <v>51-57, Maker Chambers 3,, Nariman Point Mumbai, MUMBAI, MAHARASHTRA, 400021 IN</v>
    <v>621</v>
    <v>Software &amp; IT Services</v>
    <v>Stock</v>
    <v>44939.474456018521</v>
    <v>162</v>
    <v>608.79999999999995</v>
    <v>40558100000</v>
    <v>NAZARA TECHNOLOGIES LIMITED</v>
    <v>NAZARA TECHNOLOGIES LIMITED</v>
    <v>616.04999999999995</v>
    <v>118.67</v>
    <v>618.20000000000005</v>
    <v>612.9</v>
    <v>66174090</v>
    <v>NAZARA</v>
    <v>NAZARA TECHNOLOGIES LIMITED (XNSE:NAZARA)</v>
    <v>140785</v>
    <v>343690</v>
    <v>1999</v>
  </rv>
  <rv s="2">
    <v>163</v>
  </rv>
  <rv s="0">
    <v>https://www.bing.com/financeapi/forcetrigger?t=ays3k2&amp;q=XNSE%3aNEWGEN&amp;form=skydnc</v>
    <v>Learn more on Bing</v>
  </rv>
  <rv s="1">
    <v>en-US</v>
    <v>ays3k2</v>
    <v>268435456</v>
    <v>1</v>
    <v>Powered by Refinitiv</v>
    <v>0</v>
    <v>NEWGEN SOFTWARE TECHNOLOGIES LIMITED (XNSE:NEWGEN)</v>
    <v>2</v>
    <v>3</v>
    <v>Finance</v>
    <v>5</v>
    <v>671.7</v>
    <v>299.95</v>
    <v>1.2276</v>
    <v>20.149999999999999</v>
    <v>5.5601999999999999E-2</v>
    <v>INR</v>
    <v>Newgen Software Technologies Limited is an India-based enterprise software company. The Company offers cloud-based content services and low code process automation technologies. The Company's three core products are contextual content services (ECM), intelligent process automation (BPM) and omnichannel customer engagement (CCM). Its NewgenONE Digital Transformation is a cloud-based platform, with integration ecosystem, for automating end-to-end business processes and comprehensively managing content and communications. Its ECM platform helps customers in managing the end-to-end lifecycle of enterprise content, from origination to disposition, and providing the flexibility to access and deliver digital content across all channels and devices. The Low Code Process Automation platform enables application development for deep and complex business applications across devices. The CCM enhances customer experience with personalized, and consistent communication across channels.</v>
    <v>2603</v>
    <v>National Stock Exchange of India</v>
    <v>XNSE</v>
    <v>XNSE</v>
    <v>A-6, Satsang Vihar Marg, Qutab Institutional Area, NEW DELHI, DELHI, 110067 IN</v>
    <v>393.6</v>
    <v>Software &amp; IT Services</v>
    <v>Stock</v>
    <v>44939.474456018521</v>
    <v>165</v>
    <v>363.45</v>
    <v>26642050000</v>
    <v>NEWGEN SOFTWARE TECHNOLOGIES LIMITED</v>
    <v>NEWGEN SOFTWARE TECHNOLOGIES LIMITED</v>
    <v>365.8</v>
    <v>16.27</v>
    <v>362.4</v>
    <v>382.55</v>
    <v>69643310</v>
    <v>NEWGEN</v>
    <v>NEWGEN SOFTWARE TECHNOLOGIES LIMITED (XNSE:NEWGEN)</v>
    <v>438471</v>
    <v>69120</v>
    <v>1992</v>
  </rv>
  <rv s="2">
    <v>166</v>
  </rv>
  <rv s="0">
    <v>https://www.bing.com/financeapi/forcetrigger?t=ahj852&amp;q=XNSE%3aNMDC&amp;form=skydnc</v>
    <v>Learn more on Bing</v>
  </rv>
  <rv s="1">
    <v>en-US</v>
    <v>ahj852</v>
    <v>268435456</v>
    <v>1</v>
    <v>Powered by Refinitiv</v>
    <v>0</v>
    <v>NMDC LIMITED (XNSE:NMDC)</v>
    <v>2</v>
    <v>3</v>
    <v>Finance</v>
    <v>5</v>
    <v>131.80000000000001</v>
    <v>70.27</v>
    <v>0.78500000000000003</v>
    <v>2.6</v>
    <v>2.0232999999999998E-2</v>
    <v>INR</v>
    <v>NMDC Limited is an India-based company engaged in the mining of iron ore which is crucial for the steel industry. The Company is engaged in the exploration of a range of minerals, including copper, rock phosphate, limestone, magnesite, diamond, tungsten and beach sands. The Company's segments include Iron Ore, and Pellet, Other Minerals &amp; Services. The Company produces approximately 35 million tons per annum of iron ore from three mechanized mining complexes, two in Chhattisgarh and one in Karnataka which supply ore in the form of lumps and fines for production to various steel industries using the blast furnace / direct reduced iron (DRI) route. The Company develops creates a global value chain that includes exploration, development, extraction, processing, transportation, marketing and logistics.</v>
    <v>5539</v>
    <v>National Stock Exchange of India</v>
    <v>XNSE</v>
    <v>XNSE</v>
    <v>Khanij Bhavan, Masab Tank, HYDERABAD, TELANGANA, 500028 IN</v>
    <v>131.80000000000001</v>
    <v>Metals &amp; Mining</v>
    <v>Stock</v>
    <v>44939.474456018521</v>
    <v>168</v>
    <v>128.65</v>
    <v>384202400000</v>
    <v>NMDC LIMITED</v>
    <v>NMDC LIMITED</v>
    <v>129.15</v>
    <v>5.99</v>
    <v>128.5</v>
    <v>131.1</v>
    <v>2930606000</v>
    <v>NMDC</v>
    <v>NMDC LIMITED (XNSE:NMDC)</v>
    <v>10268748</v>
    <v>8536550</v>
    <v>1958</v>
  </rv>
  <rv s="2">
    <v>169</v>
  </rv>
  <rv s="0">
    <v>https://www.bing.com/financeapi/forcetrigger?t=ahj87w&amp;q=XNSE%3aNOCIL&amp;form=skydnc</v>
    <v>Learn more on Bing</v>
  </rv>
  <rv s="1">
    <v>en-US</v>
    <v>ahj87w</v>
    <v>268435456</v>
    <v>1</v>
    <v>Powered by Refinitiv</v>
    <v>0</v>
    <v>NOCIL LIMITED (XNSE:NOCIL)</v>
    <v>2</v>
    <v>3</v>
    <v>Finance</v>
    <v>5</v>
    <v>294.89999999999998</v>
    <v>190.7</v>
    <v>1.2934000000000001</v>
    <v>-0.05</v>
    <v>-2.1829999999999999E-4</v>
    <v>INR</v>
    <v>NOCIL Limited is an India-based company, that is engaged in the business of manufacturing and sale of rubber chemicals. The Company offers its products in various categories, such as antidegradants / antioxidants, accelerators, pre-vulcanization inhibitor and post vulcanization stabilizer. The Company’s products include PILFLEX 13, PILNOX TDQ, PILNOX TDQ (HP), PILNOX SP, PILCURE MBT, PILCURE MBTS, PILCURE ZMBT, PILCURE F, PILCURE CBS, PILCURE NS, PILCURE MOR, PILCURE TMT, PILCURE ZDC, PILCURE ZDBC, PILCURE SDBC, PILCURE ZBZDC, PILGARD PVI and PILCURE DHTS. The products manufactured by the Company are used by the tire industry and other rubber processing industries. It has manufacturing facilities at TTC Industrial Area in Thane, Maharashtra and at Dahej, Gujarat. Its subsidiary includes PIL Chemicals Limited, which is engaged in processing of rubber chemical products.</v>
    <v>675</v>
    <v>National Stock Exchange of India</v>
    <v>XNSE</v>
    <v>XNSE</v>
    <v>Mafatlal House, H.T. Parekh Marg, Backbay Reclamation, Churchgate, MUMBAI, MAHARASHTRA, 400020 IN</v>
    <v>230.85</v>
    <v>Chemicals</v>
    <v>Stock</v>
    <v>44939.474456018521</v>
    <v>171</v>
    <v>226</v>
    <v>38148300000</v>
    <v>NOCIL LIMITED</v>
    <v>NOCIL LIMITED</v>
    <v>229.45</v>
    <v>18.989999999999998</v>
    <v>229</v>
    <v>228.95</v>
    <v>166622800</v>
    <v>NOCIL</v>
    <v>NOCIL LIMITED (XNSE:NOCIL)</v>
    <v>290073</v>
    <v>282400</v>
    <v>1961</v>
  </rv>
  <rv s="2">
    <v>172</v>
  </rv>
  <rv s="0">
    <v>https://www.bing.com/financeapi/forcetrigger?t=ahj94c&amp;q=XNSE%3aOCCL&amp;form=skydnc</v>
    <v>Learn more on Bing</v>
  </rv>
  <rv s="1">
    <v>en-US</v>
    <v>ahj94c</v>
    <v>268435456</v>
    <v>1</v>
    <v>Powered by Refinitiv</v>
    <v>0</v>
    <v>ORIENTAL CARBON &amp; CHEMICALS LTD (XNSE:OCCL)</v>
    <v>2</v>
    <v>3</v>
    <v>Finance</v>
    <v>5</v>
    <v>1009.95</v>
    <v>642.6</v>
    <v>1.1615</v>
    <v>-3.8</v>
    <v>-4.9020000000000001E-3</v>
    <v>INR</v>
    <v>Oriental Carbon &amp; Chemicals Limited is holding company engaged in the production of insoluble sulfur for the tire and rubber industry around the world. The Company's segments include Chemical Products and Investments. The Company’s insoluble sulfur includes regular grades, high stability grades and special grades. Its regular grades are DIAMOND SULF OT-10, DIAMOND SULF OT-20 and DIAMOND SULF OT-33. Its high stability grades DIAMOND SULF OT-10 HS, DIAMOND SULF OT-20 HS and DIAMOND SULF OT-33 HS. Its special grades are DIAMOND SULF OT-20 HD and DIAMOND SULF OT-25 AS. The Company manufactures Commercial grade, Battery grade sulfuric acid and oleum. The Company’s sulfuric acid is used as a dehydrating agent, catalyst and active reactant in chemical processes, solvents and absorbents. Its battery grade is used in storage batteries, rayon, dye, acid slurry and pharmaceutical applications. Its commercial grade is used in the manufacturing of steel, heavy chemicals and super-phosphates.</v>
    <v>418</v>
    <v>National Stock Exchange of India</v>
    <v>XNSE</v>
    <v>XNSE</v>
    <v>14th Floor Tower B, World Trade Tower, Plot No. C-1, Sector - 16, NOIDA, UTTAR PRADESH, 201301 IN</v>
    <v>780</v>
    <v>Chemicals</v>
    <v>Stock</v>
    <v>44939.474456018521</v>
    <v>174</v>
    <v>770.05</v>
    <v>7705857000</v>
    <v>ORIENTAL CARBON &amp; CHEMICALS LTD</v>
    <v>ORIENTAL CARBON &amp; CHEMICALS LTD</v>
    <v>779.15</v>
    <v>18.739999999999998</v>
    <v>775.15</v>
    <v>771.35</v>
    <v>9990090</v>
    <v>OCCL</v>
    <v>ORIENTAL CARBON &amp; CHEMICALS LTD (XNSE:OCCL)</v>
    <v>5352</v>
    <v>3020</v>
    <v>1978</v>
  </rv>
  <rv s="2">
    <v>175</v>
  </rv>
  <rv s="0">
    <v>https://www.bing.com/financeapi/forcetrigger?t=ahdvzr&amp;q=XBOM%3a532742&amp;form=skydnc</v>
    <v>Learn more on Bing</v>
  </rv>
  <rv s="1">
    <v>en-US</v>
    <v>ahdvzr</v>
    <v>268435456</v>
    <v>1</v>
    <v>Powered by Refinitiv</v>
    <v>0</v>
    <v>PAUSHAK LIMITED (XBOM:532742)</v>
    <v>2</v>
    <v>3</v>
    <v>Finance</v>
    <v>4</v>
    <v>12400</v>
    <v>7730.6</v>
    <v>1.3151999999999999</v>
    <v>-9.6</v>
    <v>-1.2310000000000001E-3</v>
    <v>INR</v>
    <v>Paushak Limited is a pharmaceutical company. It is engaged in the business of manufacturing of phosgene-based specialty chemicals and intermediates. It also involved in manufacturing organic intermediates, such as Isocyanates, Chloroformates and Carbonyl Chlorides. The Company’s product Isocyanates include 2-Chloro Ethyl Isocyanate, 2-Phenyl Ethyl Isocyanate, 3-Chlorophenyl Isocyanate, 4-Chloro-3-(trifluoromethyl) Phenl Isocynate, P-Toluenesulfonyl Isocyanate, and Trans-4-Methyl Cyclohexyl Isocyanate. Its Chloroformates products include 2-Ethylhexyl Chloroformate, Allyl Chloroformate, Benzyle Chloroformate, Cetyl Chloroformate, and Ethyl Chloroformate. Its Carbonate/ Carbamate products include Polyquaternium, N-Butyl Propargyl Carbonate, and 3-Iodo 2 propynyl N-butyl Carbonate. Its Chlorides products include 3-Chloropropionyl Cloride, 4-Chloro Butyryl Cloride, and Diphenyl Carbamoyl Cloride. Its others products include Tetrabutyl Urea, Vilsmeier Reagent, and Fenofibric Acid.</v>
    <v>311</v>
    <v>Bombay Stock Exchange</v>
    <v>XBOM</v>
    <v>XBOM</v>
    <v>Alembic Road, VADODARA, GUJARAT, 390003 IN</v>
    <v>7849</v>
    <v>Chemicals</v>
    <v>Stock</v>
    <v>44939.438402777778</v>
    <v>177</v>
    <v>7750</v>
    <v>24004270000</v>
    <v>PAUSHAK LIMITED</v>
    <v>PAUSHAK LIMITED</v>
    <v>7849</v>
    <v>53.37</v>
    <v>7799.6</v>
    <v>7790</v>
    <v>3082110</v>
    <v>532742</v>
    <v>PAUSHAK LIMITED (XBOM:532742)</v>
    <v>400</v>
    <v>760</v>
    <v>1972</v>
  </rv>
  <rv s="2">
    <v>178</v>
  </rv>
  <rv s="0">
    <v>https://www.bing.com/financeapi/forcetrigger?t=c433xm&amp;q=XNSE%3aPOLICYBZR&amp;form=skydnc</v>
    <v>Learn more on Bing</v>
  </rv>
  <rv s="1">
    <v>en-US</v>
    <v>c433xm</v>
    <v>268435456</v>
    <v>1</v>
    <v>Powered by Refinitiv</v>
    <v>0</v>
    <v>PB FINTECH LIMITED (XNSE:POLICYBZR)</v>
    <v>2</v>
    <v>3</v>
    <v>Finance</v>
    <v>5</v>
    <v>1052.95</v>
    <v>356.2</v>
    <v>1.177</v>
    <v>-1.5</v>
    <v>-3.2200000000000002E-3</v>
    <v>INR</v>
    <v>PB Fintech Limited is an India-based company that provides an online platform for insurance and lending products by leveraging the power of technology, data and innovation. The Company is engaged in providing online marketing, consulting and technology services to insurer and lending partners. It provides access to insurance, credit and other financial products. The Company offers Policybazaar and Paisabazaar platform that addresses the online insurance and lending markets. The Policybazaar platform is an online platform for consumers and insurer partners to buy and sell core insurance products. The Paisabazaar is an independent digital lending platform that enables consumers to compare, choose and apply for personal credit products. Its platforms serve consumers with varied needs, credit profiles, demographics, employment types and income levels. Through its consumer-centric approach, the Company seeks to enable online research-based purchases of insurance and lending products.</v>
    <v>208</v>
    <v>National Stock Exchange of India</v>
    <v>XNSE</v>
    <v>XNSE</v>
    <v>Plot 119,, Sector 44, GURGAON, HARYANA, 122001 IN</v>
    <v>468.2</v>
    <v>Financial Technology (Fintech) &amp; Infrastructure</v>
    <v>Stock</v>
    <v>44939.474456018521</v>
    <v>180</v>
    <v>461</v>
    <v>206754900000</v>
    <v>PB FINTECH LIMITED</v>
    <v>PB FINTECH LIMITED</v>
    <v>468</v>
    <v>0</v>
    <v>465.8</v>
    <v>464.3</v>
    <v>445304400</v>
    <v>POLICYBZR</v>
    <v>PB FINTECH LIMITED (XNSE:POLICYBZR)</v>
    <v>351770</v>
    <v>1008060</v>
    <v>2008</v>
  </rv>
  <rv s="2">
    <v>181</v>
  </rv>
  <rv s="0">
    <v>https://www.bing.com/financeapi/forcetrigger?t=ahjfbh&amp;q=XNSE%3aPIDILITIND&amp;form=skydnc</v>
    <v>Learn more on Bing</v>
  </rv>
  <rv s="1">
    <v>en-US</v>
    <v>ahjfbh</v>
    <v>268435456</v>
    <v>1</v>
    <v>Powered by Refinitiv</v>
    <v>0</v>
    <v>PIDILITE INDUSTRIES LIMITED (XNSE:PIDILITIND)</v>
    <v>2</v>
    <v>3</v>
    <v>Finance</v>
    <v>5</v>
    <v>2918.95</v>
    <v>1988.55</v>
    <v>0.70599999999999996</v>
    <v>9.65</v>
    <v>3.8669999999999998E-3</v>
    <v>INR</v>
    <v>Pidilite Industries Limited is an India-based company, which is engaged in consumer and industrial specialty chemicals. The Company operates through two segments: Consumer &amp; Bazaar (C&amp;B) and Business to Business (B2B). C&amp;B segment is engaged in the sale of products mainly to end consumers, which are retail users, such as carpenters, painters, plumbers, mechanics, households, students, offices and other. Its sales consist of mainly adhesives, sealants, art and craft materials and construction and paint chemicals. B2B segment is engaged in the sale of products to end customers, which are mainly large business users. This includes Industrial Products (IP), such as adhesives, synthetic resins, organic pigments, pigment preparations, construction chemicals (projects) and surfactants, and caters to various industries, such as packaging, textiles, paints, joineries, printing inks, paper, leather and other. Its subsidiaries include Tenax Pidilite India Pvt Ltd and Pidilite Adhesives Pvt Ltd.</v>
    <v>7622</v>
    <v>National Stock Exchange of India</v>
    <v>XNSE</v>
    <v>XNSE</v>
    <v>Ramkrishna Mandir Road, Off Mathuradas Vasanji Road, Andheri (E), MUMBAI, MAHARASHTRA, 400059 IN</v>
    <v>2514.0500000000002</v>
    <v>Chemicals</v>
    <v>Stock</v>
    <v>44939.474456018521</v>
    <v>183</v>
    <v>2472.6</v>
    <v>1273400000000</v>
    <v>PIDILITE INDUSTRIES LIMITED</v>
    <v>PIDILITE INDUSTRIES LIMITED</v>
    <v>2508</v>
    <v>97.66</v>
    <v>2495.5</v>
    <v>2505.15</v>
    <v>508313000</v>
    <v>PIDILITIND</v>
    <v>PIDILITE INDUSTRIES LIMITED (XNSE:PIDILITIND)</v>
    <v>185651</v>
    <v>230910</v>
    <v>1969</v>
  </rv>
  <rv s="2">
    <v>184</v>
  </rv>
  <rv s="0">
    <v>https://www.bing.com/financeapi/forcetrigger?t=ahjgar&amp;q=XNSE%3aPNBGILTS&amp;form=skydnc</v>
    <v>Learn more on Bing</v>
  </rv>
  <rv s="1">
    <v>en-US</v>
    <v>ahjgar</v>
    <v>268435456</v>
    <v>1</v>
    <v>Powered by Refinitiv</v>
    <v>0</v>
    <v>PNB GILTS LIMITED (XNSE:PNBGILTS)</v>
    <v>2</v>
    <v>3</v>
    <v>Finance</v>
    <v>5</v>
    <v>77.400000000000006</v>
    <v>57.4</v>
    <v>0.95730000000000004</v>
    <v>0.05</v>
    <v>7.8310000000000001E-4</v>
    <v>INR</v>
    <v>PNB Gilts Limited is an India-based non-banking financial Company. The Company is engaged in the business of non-banking financial institution as primary dealer (PD). The Company's primary activities include supporting government borrowing program via underwriting of government securities issuances and trade in a gamut of fixed income instruments such as government securities, treasury bills, state development loans, corporate bonds, interest rate swaps and various money market instruments such as certificates of deposits and commercial papers. The Company is also providing custodian services to its constituents. The Company is also engaged in the services of National Securities Depository Limited (NSDL), as an agency to provide remote e-voting facilities.</v>
    <v>45</v>
    <v>National Stock Exchange of India</v>
    <v>XNSE</v>
    <v>XNSE</v>
    <v>5, Pnb Building, Parliament Street, NEW DELHI, DELHI, 110001 IN</v>
    <v>64.2</v>
    <v>Investment Banking &amp; Investment Services</v>
    <v>Stock</v>
    <v>44939.474456018521</v>
    <v>186</v>
    <v>63.5</v>
    <v>11502650000</v>
    <v>PNB GILTS LIMITED</v>
    <v>PNB GILTS LIMITED</v>
    <v>63.9</v>
    <v>0</v>
    <v>63.85</v>
    <v>63.9</v>
    <v>180010100</v>
    <v>PNBGILTS</v>
    <v>PNB GILTS LIMITED (XNSE:PNBGILTS)</v>
    <v>65402</v>
    <v>128600</v>
    <v>1996</v>
  </rv>
  <rv s="2">
    <v>187</v>
  </rv>
  <rv s="0">
    <v>https://www.bing.com/financeapi/forcetrigger?t=bprqu2&amp;q=XNSE%3aPOLYCAB&amp;form=skydnc</v>
    <v>Learn more on Bing</v>
  </rv>
  <rv s="1">
    <v>en-US</v>
    <v>bprqu2</v>
    <v>268435456</v>
    <v>1</v>
    <v>Powered by Refinitiv</v>
    <v>0</v>
    <v>POLYCAB INDIA LIMITED (XNSE:POLYCAB)</v>
    <v>2</v>
    <v>3</v>
    <v>Finance</v>
    <v>5</v>
    <v>3025</v>
    <v>2043.85</v>
    <v>0.88039999999999996</v>
    <v>-13.35</v>
    <v>-4.9870000000000001E-3</v>
    <v>INR</v>
    <v>Polycab India Limited is an India-based manufacturer of wires and cables. The Company is engaged in fast moving electrical goods (FMEG). The Company is also in the business of engineering, procurement and construction (EPC) projects. The Company owns approximately 23 manufacturing facilities, located across the states of Gujarat, Maharashtra, Uttarakhand, and the union territory of Daman. It operates through three segments. Wire and Cable segment is engaged in the manufacturing and selling of wires and cables. Fast moving electrical goods (FMEG) segment is engaged in fans, light-emitting diode (LED) lighting and luminaires, switches, switchgear, solar products, pumps, hohm, conduits and domestic appliances. Others segment is comprised of the engineering, procurement and construction (EPC) business, which includes design, engineering, supply of materials, survey, execution and commissioning of power distribution, rural electrification projects on a trunky basis.</v>
    <v>4431</v>
    <v>National Stock Exchange of India</v>
    <v>XNSE</v>
    <v>XNSE</v>
    <v>Daman Industrial Estate, Plot NO.38-1-6,41-4-9,42-1-2,52-1-2,74-, 7-11, Village Kadaiaya, Nani Daman, Kadaiya, Daman, Dadra and, Nagar Haveli, DAMAN, DAMAN AND DIU, 396210 IN</v>
    <v>2693.4</v>
    <v>Machinery, Equipment &amp; Components</v>
    <v>Stock</v>
    <v>44939.474456018521</v>
    <v>189</v>
    <v>2651.55</v>
    <v>398798200000</v>
    <v>POLYCAB INDIA LIMITED</v>
    <v>POLYCAB INDIA LIMITED</v>
    <v>2685.4</v>
    <v>37.869999999999997</v>
    <v>2677.05</v>
    <v>2663.7</v>
    <v>149715900</v>
    <v>POLYCAB</v>
    <v>POLYCAB INDIA LIMITED (XNSE:POLYCAB)</v>
    <v>115048</v>
    <v>197510</v>
    <v>1996</v>
  </rv>
  <rv s="2">
    <v>190</v>
  </rv>
  <rv s="0">
    <v>https://www.bing.com/financeapi/forcetrigger?t=ahjehw&amp;q=XNSE%3aPFC&amp;form=skydnc</v>
    <v>Learn more on Bing</v>
  </rv>
  <rv s="1">
    <v>en-US</v>
    <v>ahjehw</v>
    <v>268435456</v>
    <v>1</v>
    <v>Powered by Refinitiv</v>
    <v>0</v>
    <v>POWER FINANCE CORPORATION LIMITED (XNSE:PFC)</v>
    <v>2</v>
    <v>3</v>
    <v>Finance</v>
    <v>5</v>
    <v>161.80000000000001</v>
    <v>97.1</v>
    <v>0.95489999999999997</v>
    <v>3.5</v>
    <v>2.3451E-2</v>
    <v>INR</v>
    <v>Power Finance Corporation Limited is an India-based non-banking financial company. The Company is primarily engaged in providing financial assistance to the power sector. The Company’s fund-based products include project term loans, lease financing for the purchase of equipment, short/medium-term loan to equipment manufacturers, grants/interest-free loans for studies/consultancies, corporate loan, line of credit for import of coal, buyer's line of credit, lease financing for wind power projects, debt refinancing and credit facility for the purchase of power through power exchange. Its non-fund-based products include deferred payment guarantee, letter of comfort (LoC), guarantee for the performance of contract/ obligations with regards to fuel supply agreement (FSA) and policy for a guarantee of credit enhancement. The Company offers consultancy and advisory services in financial, regulatory and capacity building. Its subsidiaries include REC Limited and PFC Consulting Ltd.</v>
    <v>501</v>
    <v>National Stock Exchange of India</v>
    <v>XNSE</v>
    <v>XNSE</v>
    <v>Urjanidhi', 1, Barakhamba Lane, Connaught Place, NEW DELHI, DELHI, 110001 IN</v>
    <v>153.75</v>
    <v>Banking Services</v>
    <v>Stock</v>
    <v>44939.474456018521</v>
    <v>192</v>
    <v>147.5</v>
    <v>403272400000</v>
    <v>POWER FINANCE CORPORATION LIMITED</v>
    <v>POWER FINANCE CORPORATION LIMITED</v>
    <v>149.25</v>
    <v>2.79</v>
    <v>149.25</v>
    <v>152.75</v>
    <v>2640081000</v>
    <v>PFC</v>
    <v>POWER FINANCE CORPORATION LIMITED (XNSE:PFC)</v>
    <v>10335562</v>
    <v>14407570</v>
    <v>1986</v>
  </rv>
  <rv s="2">
    <v>193</v>
  </rv>
  <rv s="0">
    <v>https://www.bing.com/financeapi/forcetrigger?t=ahjhr7&amp;q=XNSE%3aPRAJIND&amp;form=skydnc</v>
    <v>Learn more on Bing</v>
  </rv>
  <rv s="1">
    <v>en-US</v>
    <v>ahjhr7</v>
    <v>268435456</v>
    <v>1</v>
    <v>Powered by Refinitiv</v>
    <v>0</v>
    <v>PRAJ INDUSTRIES LIMITED (XNSE:PRAJIND)</v>
    <v>2</v>
    <v>3</v>
    <v>Finance</v>
    <v>5</v>
    <v>461.6</v>
    <v>287.94</v>
    <v>1.3817999999999999</v>
    <v>-2.0499999999999998</v>
    <v>-5.77E-3</v>
    <v>INR</v>
    <v>Praj Industries Limited is engaged in the manufacturing of other Special- Purpose Machinery. The Company is engaged in the business of process and project engineering. It caters to both domestic and international markets. The Company also provides designing and engineering services. The Company’s products and services include Bioenergy Plants, Engineering Businesses, and Research and development. The Bioenergy Plants produce generation ethanol and renewable biogas that can substitute fossil fuels and promotes sustainable decarbonization through circular bioeconomy. The Engineering Businesses offers critical process equipment &amp; skids, special projects, processes &amp; systems, brewery plants, water, and wastewater plants.</v>
    <v>1132</v>
    <v>National Stock Exchange of India</v>
    <v>XNSE</v>
    <v>XNSE</v>
    <v>Praj Tower 274 &amp; 275/2, Bhumkar Chowk, Hinjewadi Road, Hinjewadi, PUNE, MAHARASHTRA, 411057 IN</v>
    <v>361</v>
    <v>Construction &amp; Engineering</v>
    <v>Stock</v>
    <v>44939.474456018521</v>
    <v>195</v>
    <v>351.85</v>
    <v>64896650000</v>
    <v>PRAJ INDUSTRIES LIMITED</v>
    <v>PRAJ INDUSTRIES LIMITED</v>
    <v>357.3</v>
    <v>35.4</v>
    <v>355.3</v>
    <v>353.25</v>
    <v>183713100</v>
    <v>PRAJIND</v>
    <v>PRAJ INDUSTRIES LIMITED (XNSE:PRAJIND)</v>
    <v>647718</v>
    <v>498940</v>
    <v>1985</v>
  </rv>
  <rv s="2">
    <v>196</v>
  </rv>
  <rv s="0">
    <v>https://www.bing.com/financeapi/forcetrigger?t=bzs5r7&amp;q=XNSE%3aRAILTEL&amp;form=skydnc</v>
    <v>Learn more on Bing</v>
  </rv>
  <rv s="1">
    <v>en-US</v>
    <v>bzs5r7</v>
    <v>268435456</v>
    <v>1</v>
    <v>Powered by Refinitiv</v>
    <v>0</v>
    <v>RAILTEL CORPORATION OF INDIA LIMITED (XNSE:RAILTEL)</v>
    <v>2</v>
    <v>3</v>
    <v>Finance</v>
    <v>5</v>
    <v>148.69999999999999</v>
    <v>84</v>
    <v>1.006</v>
    <v>4.55</v>
    <v>3.5575000000000002E-2</v>
    <v>INR</v>
    <v>RailTel Corporation of India Limited is an India-based neutral telecom infrastructure provider, which owns pan-India optic fiber network on right of way (ROW) along railway track. The Company's segments include Telecom Services and Project Work Services. The Telecom Services segment provides a range of telecom services to its customers, which include managed data services, leased line, virtual private network, Internet leased line, data center, Tower collocation, Rack and space and national long-distance (NLD) for voice carriage. The Project Work Services segment includes various projects, such as national optical fiber network, telecom and information technology (IT) services related projects and enterprise-specific IT and information technology-enabled services (ITES) projects. The Company's OFC network covers towns and cities and several rural areas in India. The Company provides services to various other sectors, which include coal, banks, health and strategic sectors.</v>
    <v>698</v>
    <v>National Stock Exchange of India</v>
    <v>XNSE</v>
    <v>XNSE</v>
    <v>Plot No, 143, Sector 44 Road, Sector 44, Gurgaon, HARYANA IN</v>
    <v>133.19999999999999</v>
    <v>Telecommunications Services</v>
    <v>Stock</v>
    <v>44939.474456018521</v>
    <v>198</v>
    <v>127.55</v>
    <v>42508290000</v>
    <v>RAILTEL CORPORATION OF INDIA LIMITED</v>
    <v>RAILTEL CORPORATION OF INDIA LIMITED</v>
    <v>128.30000000000001</v>
    <v>20.37</v>
    <v>127.9</v>
    <v>132.44999999999999</v>
    <v>320938400</v>
    <v>RAILTEL</v>
    <v>RAILTEL CORPORATION OF INDIA LIMITED (XNSE:RAILTEL)</v>
    <v>3472176</v>
    <v>1923500</v>
    <v>2000</v>
  </rv>
  <rv s="2">
    <v>199</v>
  </rv>
  <rv s="0">
    <v>https://www.bing.com/financeapi/forcetrigger?t=ahjnmw&amp;q=XNSE%3aRELAXO&amp;form=skydnc</v>
    <v>Learn more on Bing</v>
  </rv>
  <rv s="1">
    <v>en-US</v>
    <v>ahjnmw</v>
    <v>268435456</v>
    <v>1</v>
    <v>Powered by Refinitiv</v>
    <v>0</v>
    <v>RELAXO FOOTWEARS LIMITED (XNSE:RELAXO)</v>
    <v>2</v>
    <v>3</v>
    <v>Finance</v>
    <v>5</v>
    <v>1369.7</v>
    <v>872</v>
    <v>0.52510000000000001</v>
    <v>-6.25</v>
    <v>-6.9579999999999998E-3</v>
    <v>INR</v>
    <v>Relaxo Footwears Limited is engaged in the manufacturing and trading of footwear and related products. It manufactures a range of slippers, sandals, casuals, and sports and casual shoes for men, women and kids. Its brands include Relaxo, Sparx, Flite, Bahamas, Maryjane and Kids Fun. The Company manufactures and sells a range of synthetic Ethylene Vinyl Acetate (EVA) product. Under Relaxo brand, it offers its products in various categories, such as slippers, including RPL-29, RPK-01, ORTHO-04 and FITNESS-03. Under Sparx brand, it offers its products in categories, such as shoe, including SL-86, SM-608 and SK-524; sandals, including SS-520, SS-497 and SS-708, and slippers, including SFG-1072, SFG-46 and SFL-560. Under Bahamas brand, it offers its products in various categories, such as slippers, including BHL-165, BHL-125, BHG-163, BHG-157, BHK-19 and BHK-16. The Company’s manufacturing facilities at Bahadurgarh (Haryana), Bhiwadi (Rajasthan) and Haridwar (Uttarakhand).</v>
    <v>8026</v>
    <v>National Stock Exchange of India</v>
    <v>XNSE</v>
    <v>XNSE</v>
    <v>Aggarwal City square,Plot no 10, District center,Manglam Palace, Sector-3,Rohini, DELHI, DELHI, 110085 IN</v>
    <v>901.95</v>
    <v>Textiles &amp; Apparel</v>
    <v>Stock</v>
    <v>44939.474456018521</v>
    <v>201</v>
    <v>889</v>
    <v>222029600000</v>
    <v>RELAXO FOOTWEARS LIMITED</v>
    <v>RELAXO FOOTWEARS LIMITED</v>
    <v>900</v>
    <v>115.19</v>
    <v>898.2</v>
    <v>891.95</v>
    <v>248926100</v>
    <v>RELAXO</v>
    <v>RELAXO FOOTWEARS LIMITED (XNSE:RELAXO)</v>
    <v>36722</v>
    <v>101510</v>
    <v>1984</v>
  </rv>
  <rv s="2">
    <v>202</v>
  </rv>
  <rv s="0">
    <v>https://www.bing.com/financeapi/forcetrigger?t=ahjtlh&amp;q=XNSE%3aSAREGAMA&amp;form=skydnc</v>
    <v>Learn more on Bing</v>
  </rv>
  <rv s="1">
    <v>en-US</v>
    <v>ahjtlh</v>
    <v>268435456</v>
    <v>1</v>
    <v>Powered by Refinitiv</v>
    <v>0</v>
    <v>SAREGAMA INDIA LIMITED (XNSE:SAREGAMA)</v>
    <v>2</v>
    <v>3</v>
    <v>Finance</v>
    <v>5</v>
    <v>539.9</v>
    <v>346.3</v>
    <v>1.8569</v>
    <v>-0.7</v>
    <v>-1.9450000000000001E-3</v>
    <v>INR</v>
    <v>Saregama India Limited is an India-based music label, film studio and multi-language television content producer. The Company's segments include Music and Films/Television Serials. The Music segment is primarily engaged in the business of manufacturing and sale of music storage devices, such as Carvaan, music cards, audio compact discs, digital versatile discs and dealing with related music rights. The Films/Television Serials segment is engaged in the production and sale/telecast/broadcast of films/television serials, pre-recorded programs and dealing in film rights. It is a global owner of both sound recording and publishing copyrights of Indian music across 14 different languages. Its portfolio includes intellectual property rights of over 4000 hours of television content produced for channels in Hindi, Tamil, Telugu, Kannada, Malayalam and Bengali languages. Carvaan is its portable digital music player. Yoodlee Films is its film production venture.</v>
    <v>282</v>
    <v>National Stock Exchange of India</v>
    <v>XNSE</v>
    <v>XNSE</v>
    <v>2nd Floor, Spencer Building, 30 Forjett Street,Landmark-The Lane Opp., Bhatia Hospital Grant Road (West), MUMBAI, MAHARASHTRA, 400036 IN</v>
    <v>363.7</v>
    <v>Media &amp; Publishing</v>
    <v>Stock</v>
    <v>44939.474456018521</v>
    <v>204</v>
    <v>357</v>
    <v>69178150000</v>
    <v>SAREGAMA INDIA LIMITED</v>
    <v>SAREGAMA INDIA LIMITED</v>
    <v>362.8</v>
    <v>50.36</v>
    <v>359.9</v>
    <v>359.2</v>
    <v>192589500</v>
    <v>SAREGAMA</v>
    <v>SAREGAMA INDIA LIMITED (XNSE:SAREGAMA)</v>
    <v>69747</v>
    <v>106970</v>
    <v>1946</v>
  </rv>
  <rv s="2">
    <v>205</v>
  </rv>
  <rv s="0">
    <v>https://www.bing.com/financeapi/forcetrigger?t=ahju6h&amp;q=XNSE%3aSBIN&amp;form=skydnc</v>
    <v>Learn more on Bing</v>
  </rv>
  <rv s="4">
    <v>en-US</v>
    <v>ahju6h</v>
    <v>268435456</v>
    <v>1</v>
    <v>Powered by Refinitiv</v>
    <v>8</v>
    <v>State Bank of India (XNSE:SBIN)</v>
    <v>2</v>
    <v>9</v>
    <v>Finance</v>
    <v>5</v>
    <v>629.54999999999995</v>
    <v>425</v>
    <v>1.38</v>
    <v>5.2</v>
    <v>8.7410000000000005E-3</v>
    <v>INR</v>
    <v>State Bank of India is an India-based banking and financial services company. The Company’s segments include Treasury, Corporate/Wholesale Banking, Retail Banking and Insurance Business. The Treasury segment includes the entire investment portfolio and trading in foreign exchange contracts and derivative contracts. The Corporate/Wholesale Banking segment comprises the lending activities of corporate accounts group, commercial client’s group and stressed assets resolution group. The Retail Banking segment comprises retail branches, which primarily includes personal banking activities, including lending activities to corporate customers, and also includes agency business and automated teller machines (ATMs). The Insurance Business segment comprises the results of SBI Life Insurance Co. Ltd. and SBI General Insurance Co. Ltd. It is involved in providing a range of products and services to individuals, commercial enterprises, large corporates, public bodies and institutional customers.</v>
    <v>244250</v>
    <v>National Stock Exchange of India</v>
    <v>XNSE</v>
    <v>XNSE</v>
    <v>Corporate Centre, State Bank Bhavan, Madame Cama Road, Nariman Point, MUMBAI, MAHARASHTRA, 400021 IN</v>
    <v>602.9</v>
    <v>Banking Services</v>
    <v>Stock</v>
    <v>44939.474456018521</v>
    <v>207</v>
    <v>593.65</v>
    <v>5355660000000</v>
    <v>State Bank of India</v>
    <v>State Bank of India</v>
    <v>597.9</v>
    <v>12.89</v>
    <v>594.9</v>
    <v>600.1</v>
    <v>8924611000</v>
    <v>SBIN</v>
    <v>State Bank of India (XNSE:SBIN)</v>
    <v>7877610</v>
    <v>7975140</v>
  </rv>
  <rv s="2">
    <v>208</v>
  </rv>
  <rv s="0">
    <v>https://www.bing.com/financeapi/forcetrigger?t=ahjxr7&amp;q=XNSE%3aSHREYANIND&amp;form=skydnc</v>
    <v>Learn more on Bing</v>
  </rv>
  <rv s="1">
    <v>en-US</v>
    <v>ahjxr7</v>
    <v>268435456</v>
    <v>1</v>
    <v>Powered by Refinitiv</v>
    <v>0</v>
    <v>SHREYANS INDUSTRIES LIMITED (XNSE:SHREYANIND)</v>
    <v>2</v>
    <v>3</v>
    <v>Finance</v>
    <v>5</v>
    <v>179.2</v>
    <v>79.599999999999994</v>
    <v>1.6012</v>
    <v>4.75</v>
    <v>2.9594999999999996E-2</v>
    <v>INR</v>
    <v>Shreyans Industries Limited is an India-based company that is engaged in the manufacturing of writing and printing paper. The Company caters to both domestic and international markets. The Company's plants include Shreyans Papers and Shree Rishabh Papers. Its products include high brightness paper, cream wove, colored paper, duplicating paper, surface sized printing paper, azure laid paper, maplitho paper, stamp paper, inland letter paper, postal envelope paper, offset paper, cover paper, super calendered paper, rail ticket paper and super printing paper. The Company offers its products in various grades ranging from 44 grams per square meter (GSM) to 200 GSM. The Shreyans Papers plant is located in Ahmedgarh, Sangrur district, Punjab, and the Shree Rishabh papers plant is located in Banah village, S.B.S. Nagar district, Punjab. The Company manufactures writing and printing paper with a capacity of approximately 10,000 metric tons per annum.</v>
    <v>1299</v>
    <v>National Stock Exchange of India</v>
    <v>XNSE</v>
    <v>XNSE</v>
    <v>302, Raheja Chambers, 3rd Floor, 213, Nariman Point, MUMBAI, MAHARASHTRA, 400021 IN</v>
    <v>166.45</v>
    <v>Paper &amp; Forest Products</v>
    <v>Stock</v>
    <v>44939.47446759259</v>
    <v>210</v>
    <v>161.80000000000001</v>
    <v>2284507000</v>
    <v>SHREYANS INDUSTRIES LIMITED</v>
    <v>SHREYANS INDUSTRIES LIMITED</v>
    <v>161.80000000000001</v>
    <v>7.54</v>
    <v>160.5</v>
    <v>165.25</v>
    <v>13824550</v>
    <v>SHREYANIND</v>
    <v>SHREYANS INDUSTRIES LIMITED (XNSE:SHREYANIND)</v>
    <v>8745</v>
    <v>46810</v>
    <v>1979</v>
  </rv>
  <rv s="2">
    <v>211</v>
  </rv>
  <rv s="0">
    <v>https://www.bing.com/financeapi/forcetrigger?t=c2jxar&amp;q=XNSE%3aSONACOMS&amp;form=skydnc</v>
    <v>Learn more on Bing</v>
  </rv>
  <rv s="1">
    <v>en-US</v>
    <v>c2jxar</v>
    <v>268435456</v>
    <v>1</v>
    <v>Powered by Refinitiv</v>
    <v>0</v>
    <v>Sona BLW Precision Forgings Ltd (XNSE:SONACOMS)</v>
    <v>2</v>
    <v>3</v>
    <v>Finance</v>
    <v>5</v>
    <v>794.8</v>
    <v>398.05</v>
    <v>1.234</v>
    <v>-2.8</v>
    <v>-6.535E-3</v>
    <v>INR</v>
    <v>Sona BLW Precision Forgings Limited is an India-based company, which is engaged in the manufacturing of precision forged bevel gears and differential case assemblies for automotive and other applications. The Company is engaged in the production of differential assemblies, differential gears, conventional and micro-hybrid starter motors, belt starter generator (BSG) systems, electric vehicle (EV) traction motors, such as brushless direct current (BLDC) and permanent magnet synchronous motors (PMSM) and motor control units. Its driveline technology products include precision forged gears, forged couplings and e-drive, among others. Its products offer application across various vehicle categories, including conventional passenger vehicles, commercial vehicles, off-highway vehicles, electric cars, electric light commercial vehicles, and electric two and three wheelers. The Company operates approximately nine manufacturing facilities across India, the United States, Mexico and China.</v>
    <v>3555</v>
    <v>National Stock Exchange of India</v>
    <v>XNSE</v>
    <v>XNSE</v>
    <v>Unit I, Unit II &amp; Unit III Sona Enclave, Village Begumpur Khatola Sector 35, P.O. - 90, GURGAON, HARYANA, 122004 IN</v>
    <v>429.9</v>
    <v>Automobiles &amp; Auto Parts</v>
    <v>Stock</v>
    <v>44939.47446759259</v>
    <v>213</v>
    <v>417.2</v>
    <v>248985800000</v>
    <v>Sona BLW Precision Forgings Ltd</v>
    <v>Sona BLW Precision Forgings Ltd</v>
    <v>429.9</v>
    <v>69.59</v>
    <v>428.45</v>
    <v>425.65</v>
    <v>584954200</v>
    <v>SONACOMS</v>
    <v>Sona BLW Precision Forgings Ltd (XNSE:SONACOMS)</v>
    <v>1278612</v>
    <v>2045340</v>
    <v>1995</v>
  </rv>
  <rv s="2">
    <v>214</v>
  </rv>
  <rv s="0">
    <v>https://www.bing.com/financeapi/forcetrigger?t=ahk3nm&amp;q=XNSE%3aSRF&amp;form=skydnc</v>
    <v>Learn more on Bing</v>
  </rv>
  <rv s="1">
    <v>en-US</v>
    <v>ahk3nm</v>
    <v>268435456</v>
    <v>1</v>
    <v>Powered by Refinitiv</v>
    <v>0</v>
    <v>SRF LIMITED (XNSE:SRF)</v>
    <v>2</v>
    <v>3</v>
    <v>Finance</v>
    <v>5</v>
    <v>2865</v>
    <v>2002.2</v>
    <v>1.1636</v>
    <v>-20.55</v>
    <v>-9.2600000000000009E-3</v>
    <v>INR</v>
    <v>SRF Limited is a chemical-based multi-business conglomerate company. The Company is engaged in the manufacturing of industrial and specialty intermediates. The Company classifies its businesses as Technical Textiles, Chemicals, Packaging Films, and Other Businesses. The Technical Textiles include Tyre Cord Fabrics, Belting Fabrics, and Industrial Yarn. The Chemicals include Fluorochemicals and Specialty Chemicals. The Packaging Films include Polyester Films viz. BOPET (Biaxially-oriented polyethylene terephthalate) and BOPP (Biaxially oriented polypropylene film). Its chemicals and polymers plants are located at Alwar, Rajasthan; Udham Singh Nagar; Uttarakhand, and Bharuch, Gujarat. Its technical textiles plants are located at Chennai, Tamil Nadu; Bhind, Madhya Pradesh; Thiruvallur, Tamil Nadu; Pudukottai, Tamil Nadu, and Udham Singh Nagar and Uttarakhand. The Company’s subsidiary includes SRF Industries (Thailand) Ltd., Thailand Packaging Films and South Africa Packaging Films.</v>
    <v>6674</v>
    <v>National Stock Exchange of India</v>
    <v>XNSE</v>
    <v>XNSE</v>
    <v>Block-C, Sector - 45, GURGAON, HARYANA, 122003 IN</v>
    <v>2224.1999999999998</v>
    <v>Chemicals</v>
    <v>Stock</v>
    <v>44939.47446759259</v>
    <v>216</v>
    <v>2180.1</v>
    <v>651764100000</v>
    <v>SRF LIMITED</v>
    <v>SRF LIMITED</v>
    <v>2219</v>
    <v>29.89</v>
    <v>2219.3000000000002</v>
    <v>2198.75</v>
    <v>296424800</v>
    <v>SRF</v>
    <v>SRF LIMITED (XNSE:SRF)</v>
    <v>339837</v>
    <v>444780</v>
    <v>1970</v>
  </rv>
  <rv s="2">
    <v>217</v>
  </rv>
  <rv s="0">
    <v>https://www.bing.com/financeapi/forcetrigger?t=ahk6fr&amp;q=XNSE%3aSUNTV&amp;form=skydnc</v>
    <v>Learn more on Bing</v>
  </rv>
  <rv s="1">
    <v>en-US</v>
    <v>ahk6fr</v>
    <v>268435456</v>
    <v>1</v>
    <v>Powered by Refinitiv</v>
    <v>0</v>
    <v>SUN TV NETWORK LIMITED (XNSE:SUNTV)</v>
    <v>2</v>
    <v>3</v>
    <v>Finance</v>
    <v>5</v>
    <v>568.5</v>
    <v>402.55</v>
    <v>0.98050000000000004</v>
    <v>8.6999999999999993</v>
    <v>1.8422000000000001E-2</v>
    <v>INR</v>
    <v>Sun TV Network Limited is an India-based television broadcaster. The Company operates through Media and Entertainment segment. It operates its satellite television (TV) channels across five languages. The Company operates television channels in four South Indian languages and also in Bangla to viewers in India, and also to viewers in Sri Lanka, Singapore, Malaysia, United Kingdom, Europe, Middle East, United States, Australia, South Africa and Canada. The Company’s channel is Sun TV. Its other satellite channels are Surya TV, Gemini TV, Udaya TV and Sun Bangla. The Company is also into the business of frequency modulation (FM) radio broadcasting at Chennai, Coimbatore and Tirunelveli. It produces its own content/acquires the related rights. It also has the license to operate an Indian Premier League franchise Sun Risers Hyderabad. The Company has license to operate over 24 Frequency Modulation (FM) stations in South India. It also operates an over-the-top (OTT) platform, SUNNXT.</v>
    <v>1106</v>
    <v>National Stock Exchange of India</v>
    <v>XNSE</v>
    <v>XNSE</v>
    <v>73,Murasoli Maran Towers, MRC Nagar Main Road, MRC Nagar, CHENNAI, TAMIL NADU, 600028 IN</v>
    <v>482.5</v>
    <v>Media &amp; Publishing</v>
    <v>Stock</v>
    <v>44939.47446759259</v>
    <v>219</v>
    <v>472</v>
    <v>189535000000</v>
    <v>SUN TV NETWORK LIMITED</v>
    <v>SUN TV NETWORK LIMITED</v>
    <v>474.65</v>
    <v>10.44</v>
    <v>472.25</v>
    <v>480.95</v>
    <v>394084600</v>
    <v>SUNTV</v>
    <v>SUN TV NETWORK LIMITED (XNSE:SUNTV)</v>
    <v>774785</v>
    <v>583060</v>
    <v>1985</v>
  </rv>
  <rv s="2">
    <v>220</v>
  </rv>
  <rv s="0">
    <v>https://www.bing.com/financeapi/forcetrigger?t=ahk6ww&amp;q=XNSE%3aSUPREMEIND&amp;form=skydnc</v>
    <v>Learn more on Bing</v>
  </rv>
  <rv s="1">
    <v>en-US</v>
    <v>ahk6ww</v>
    <v>268435456</v>
    <v>1</v>
    <v>Powered by Refinitiv</v>
    <v>0</v>
    <v>THE SUPREME INDUSTRIES LIMITED (XNSE:SUPREMEIND)</v>
    <v>2</v>
    <v>3</v>
    <v>Finance</v>
    <v>5</v>
    <v>2607.65</v>
    <v>1666.25</v>
    <v>1.1408</v>
    <v>16.850000000000001</v>
    <v>6.8700000000000002E-3</v>
    <v>INR</v>
    <v>The Supreme Industries Limited is an India-based plastic products manufacturing company. The Company has approximately 25 manufacturing facilities spread across the country, offering a comprehensive range of plastic products in India. The Company’s products designed and manufactured in the various group, including Plastic Piping System, Consumer Products, Industrial Products and Packaging Products. Its Plastic Piping System division offers various products, including unplasticized poly vinyl chloride (uPVC) pipes, injection molded polyvinyl chloride (PVC) fittings and handmade fittings, polypropylene random co-polymer pipe system, high density polyethylene (HDPE) pipe systems and other. Its Consumer Products division is engaged in furniture. Its Industrial Products division offers industrial components, material handling system and pallets-roto molded crates, pallets and garbage bins and composite liquefied petroleum gas cylinders.</v>
    <v>5228</v>
    <v>National Stock Exchange of India</v>
    <v>XNSE</v>
    <v>XNSE</v>
    <v>1161 &amp; 1162, Solitaire Corporate Park, 167, Guru Hargovindji Marg Andheri Ghatkopar Link Road, Andheri (E),, MUMBAI, MAHARASHTRA, 400093 IN</v>
    <v>2479.9</v>
    <v>Chemicals</v>
    <v>Stock</v>
    <v>44939.47446759259</v>
    <v>222</v>
    <v>2440</v>
    <v>313699200000</v>
    <v>THE SUPREME INDUSTRIES LIMITED</v>
    <v>THE SUPREME INDUSTRIES LIMITED</v>
    <v>2465.5500000000002</v>
    <v>35.99</v>
    <v>2452.6999999999998</v>
    <v>2469.5500000000002</v>
    <v>127026900</v>
    <v>SUPREMEIND</v>
    <v>THE SUPREME INDUSTRIES LIMITED (XNSE:SUPREMEIND)</v>
    <v>14235</v>
    <v>84230</v>
    <v>1942</v>
  </rv>
  <rv s="2">
    <v>223</v>
  </rv>
  <rv s="0">
    <v>https://www.bing.com/financeapi/forcetrigger?t=ahk7z2&amp;q=XNSE%3aSWARAJENG&amp;form=skydnc</v>
    <v>Learn more on Bing</v>
  </rv>
  <rv s="1">
    <v>en-US</v>
    <v>ahk7z2</v>
    <v>268435456</v>
    <v>1</v>
    <v>Powered by Refinitiv</v>
    <v>0</v>
    <v>SWARAJ ENGINES LTD (XNSE:SWARAJENG)</v>
    <v>2</v>
    <v>3</v>
    <v>Finance</v>
    <v>5</v>
    <v>1962</v>
    <v>1291.55</v>
    <v>0.64270000000000005</v>
    <v>20.75</v>
    <v>1.2849999999999999E-2</v>
    <v>INR</v>
    <v>Swaraj Engines Limited is an India-based company, which is primarily engaged in the business of diesel engines, diesel engine components and spare parts. It manufactures diesel engines for fitment into Swaraj tractors, which are manufactured by Mahindra &amp; Mahindra Ltd. (M&amp;M). It supplies diesel engines in the range of approximately 22 horsepower (HP) to 65 HP. It is also manufacturing hi-tech engine components. The Company has supplied approximately 1.2 million engines for fitment into Swaraj tractors.</v>
    <v>335</v>
    <v>National Stock Exchange of India</v>
    <v>XNSE</v>
    <v>XNSE</v>
    <v>Phase IV, Industrial Area,, S.A.S. Nagar, Mohali, MOHALI, PUNJAB, 160055 IN</v>
    <v>1640</v>
    <v>Automobiles &amp; Auto Parts</v>
    <v>Stock</v>
    <v>44939.47446759259</v>
    <v>225</v>
    <v>1613.8</v>
    <v>19862270000</v>
    <v>SWARAJ ENGINES LTD</v>
    <v>SWARAJ ENGINES LTD</v>
    <v>1619</v>
    <v>16.690000000000001</v>
    <v>1614.75</v>
    <v>1635.5</v>
    <v>12144470</v>
    <v>SWARAJENG</v>
    <v>SWARAJ ENGINES LTD (XNSE:SWARAJENG)</v>
    <v>3737</v>
    <v>3620</v>
    <v>1985</v>
  </rv>
  <rv s="2">
    <v>226</v>
  </rv>
  <rv s="0">
    <v>https://www.bing.com/financeapi/forcetrigger?t=ahdz1h&amp;q=XBOM%3a532790&amp;form=skydnc</v>
    <v>Learn more on Bing</v>
  </rv>
  <rv s="1">
    <v>en-US</v>
    <v>ahdz1h</v>
    <v>268435456</v>
    <v>1</v>
    <v>Powered by Refinitiv</v>
    <v>0</v>
    <v>TANLA PLATFORMS LIMITED (XBOM:532790)</v>
    <v>2</v>
    <v>3</v>
    <v>Finance</v>
    <v>4</v>
    <v>2094.4</v>
    <v>584.79999999999995</v>
    <v>1.8091999999999999</v>
    <v>7.6</v>
    <v>1.0492999999999999E-2</v>
    <v>INR</v>
    <v>Tanla Platforms Limited is an India-based cloud communication provider. The Company is a provider of application to person (A2P) messaging platforms. The Company develops and delivers technology and products, which meet the needs of a diverse clientele, from enterprises to carriers across the world. It provides mobile messaging and payment solutions for A2P messaging services. Its products include Wisely, Trubloq, messaging, voice and Internet of things (IOT). Wisely is a communication platform as a service, (CPaaS) offering a digital marketplace for enterprises and suppliers. Trubloq is a blockchain-based stack that enables individuals to own, control and manage their commercial communications, enabling businesses to build trusted relationships with their consumers. Its messaging products include short service messaging centers (SMSC's), SMS firewall, SMS hubbing, unstructured supplementary service data (USSD) center and push notifications.</v>
    <v>336</v>
    <v>Bombay Stock Exchange</v>
    <v>XBOM</v>
    <v>XBOM</v>
    <v>Tanla Technology Centre, Madhapur, HYDERABAD, TELANGANA, 500081 IN</v>
    <v>744.15</v>
    <v>Software &amp; IT Services</v>
    <v>Stock</v>
    <v>44939.438368055555</v>
    <v>228</v>
    <v>728.6</v>
    <v>99451710000</v>
    <v>TANLA PLATFORMS LIMITED</v>
    <v>TANLA PLATFORMS LIMITED</v>
    <v>736.85</v>
    <v>19.260000000000002</v>
    <v>724.3</v>
    <v>731.9</v>
    <v>135779500</v>
    <v>532790</v>
    <v>TANLA PLATFORMS LIMITED (XBOM:532790)</v>
    <v>27010</v>
    <v>281770</v>
    <v>1995</v>
  </rv>
  <rv s="2">
    <v>229</v>
  </rv>
  <rv s="0">
    <v>https://www.bing.com/financeapi/forcetrigger?t=c48sm7&amp;q=XNSE%3aTARSONS&amp;form=skydnc</v>
    <v>Learn more on Bing</v>
  </rv>
  <rv s="1">
    <v>en-US</v>
    <v>c48sm7</v>
    <v>268435456</v>
    <v>1</v>
    <v>Powered by Refinitiv</v>
    <v>0</v>
    <v>TARSONS PRODUCTS LIMITED (XNSE:TARSONS)</v>
    <v>2</v>
    <v>3</v>
    <v>Finance</v>
    <v>5</v>
    <v>914.45</v>
    <v>538.70000000000005</v>
    <v>1.01</v>
    <v>1.2</v>
    <v>1.776E-3</v>
    <v>INR</v>
    <v>Tarsons Products Limited, formerly Tarsons Products Private Limited, is a life sciences company. The Company is engaged in the designing, development, manufacturing and marketing of consumables, reusables and others including benchtop equipment, used in various laboratories across research organizations, academia institutes, pharmaceutical companies, contract research organizations (CROs), diagnostic companies and hospitals. It manufactures a range of labware products which helps scientific discovery and healthcare. Its product portfolio is classified into three categories which include consumables, reusables, and others. Its Consumables category includes products such as centrifuge ware, cryogenic ware, liquid handling, petri dish, transfer pipettes and others. Its Reusables category includes products such as bottles, carboys, beakers, measuring cylinders and tube racks. The Company's Others category includes benchtop instrumentation such as vortex shakers, and centrifuges pipettors.</v>
    <v>556</v>
    <v>National Stock Exchange of India</v>
    <v>XNSE</v>
    <v>XNSE</v>
    <v>902 Martin Burn Business Park, BP-3,Saltlake,Sector-V, KOLKATA, WEST BENGAL, 700091 IN</v>
    <v>680.25</v>
    <v>Machinery, Equipment &amp; Components</v>
    <v>Stock</v>
    <v>44939.47446759259</v>
    <v>231</v>
    <v>672.25</v>
    <v>36012670000</v>
    <v>TARSONS PRODUCTS LIMITED</v>
    <v>TARSONS PRODUCTS LIMITED</v>
    <v>679.05</v>
    <v>38.22</v>
    <v>675.65</v>
    <v>676.85</v>
    <v>53206280</v>
    <v>TARSONS</v>
    <v>TARSONS PRODUCTS LIMITED (XNSE:TARSONS)</v>
    <v>25980</v>
    <v>38290</v>
    <v>2021</v>
  </rv>
  <rv s="2">
    <v>232</v>
  </rv>
  <rv s="0">
    <v>https://www.bing.com/financeapi/forcetrigger?t=ahk9m7&amp;q=XNSE%3aTATAELXSI&amp;form=skydnc</v>
    <v>Learn more on Bing</v>
  </rv>
  <rv s="1">
    <v>en-US</v>
    <v>ahk9m7</v>
    <v>268435456</v>
    <v>1</v>
    <v>Powered by Refinitiv</v>
    <v>0</v>
    <v>TATA ELXSI LIMITED (XNSE:TATAELXSI)</v>
    <v>2</v>
    <v>3</v>
    <v>Finance</v>
    <v>5</v>
    <v>10760</v>
    <v>5709.05</v>
    <v>1.2215</v>
    <v>45.6</v>
    <v>7.3590000000000001E-3</v>
    <v>INR</v>
    <v>Tata Elxsi Limited is a provider of design and technology services company. The Company operates in two segments: system integration &amp; support and software development &amp; services. Its system integration &amp; support segment is engaged in implementing and integrating complete systems and solutions for computing, computer-aided design (CAD)/ computer-aided manufacturing (CAM) / computer-aided engineering (CAE)/ product lifecycle management (PLM), broadcast, virtual reality, storage, and disaster recovery and professional services for maintenance and support of infrastructure technology infrastructure in India and overseas. Its software development and services segment are engaged in technology consulting, new product design, development, and testing services; consumer insights and strategy, visual design and branding, product and packaging design, user experience design, service experience design and transportation design and high-end content and three dimensional (3D) animation services.</v>
    <v>8789</v>
    <v>National Stock Exchange of India</v>
    <v>XNSE</v>
    <v>XNSE</v>
    <v>ITPL Road,, Whitefield,, BANGALORE, KARNATAKA, 560048 IN</v>
    <v>6261.55</v>
    <v>Software &amp; IT Services</v>
    <v>Stock</v>
    <v>44939.47446759259</v>
    <v>234</v>
    <v>6190</v>
    <v>388745100000</v>
    <v>TATA ELXSI LIMITED</v>
    <v>TATA ELXSI LIMITED</v>
    <v>6225</v>
    <v>57.6</v>
    <v>6196.65</v>
    <v>6242.25</v>
    <v>62276440</v>
    <v>TATAELXSI</v>
    <v>TATA ELXSI LIMITED (XNSE:TATAELXSI)</v>
    <v>91031</v>
    <v>139920</v>
    <v>1989</v>
  </rv>
  <rv s="2">
    <v>235</v>
  </rv>
  <rv s="0">
    <v>https://www.bing.com/financeapi/forcetrigger?t=ahkdp2&amp;q=XNSE%3aTIPSINDLTD&amp;form=skydnc</v>
    <v>Learn more on Bing</v>
  </rv>
  <rv s="1">
    <v>en-US</v>
    <v>ahkdp2</v>
    <v>268435456</v>
    <v>1</v>
    <v>Powered by Refinitiv</v>
    <v>0</v>
    <v>TIPS INDUSTRIES LIMITED (XNSE:TIPSINDLTD)</v>
    <v>2</v>
    <v>3</v>
    <v>Finance</v>
    <v>5</v>
    <v>2253.37</v>
    <v>1250.0999999999999</v>
    <v>1.0543</v>
    <v>-11.25</v>
    <v>-6.6210000000000001E-3</v>
    <v>INR</v>
    <v>Tips Industries Limited is an India-based media and entertainment company. The Company is engaged in the business of production and distribution of motion pictures and acquisition and exploitation of music rights. The Company operates through two segments: Music (Audio/ Video) and Film Production/ distribution. In addition, the Company produces Punjabi films. The Company's films include jihne mera dil luteya, prince, toh baat pakki, kismet connection, race, and naqaab, among others. The Company has a range of catalogs of film, non-film, devotional, pop and remixes in Hindi, Punjabi, Gujarati, Bhojpuri and other languages, which straddle all genres of Indian music. The Company's diversified music library has a collection of approximately 29,000 songs across all genres and languages. Its songs are digitized and available on all online music stores, applications, and Web platforms. Its music albums include Rola Karvavegi, Majhe Ki Ya Manache, Zeher and others.</v>
    <v>49</v>
    <v>National Stock Exchange of India</v>
    <v>XNSE</v>
    <v>XNSE</v>
    <v>601, Durga Chambers, 6th Floor ,Linking Road, Khar (West), MUMBAI, MAHARASHTRA, 400052 IN</v>
    <v>1714.9</v>
    <v>Media &amp; Publishing</v>
    <v>Stock</v>
    <v>44939.47446759259</v>
    <v>237</v>
    <v>1680.1</v>
    <v>21891100000</v>
    <v>TIPS INDUSTRIES LIMITED</v>
    <v>TIPS INDUSTRIES LIMITED</v>
    <v>1714.9</v>
    <v>29.21</v>
    <v>1699.25</v>
    <v>1688</v>
    <v>12968660</v>
    <v>TIPSINDLTD</v>
    <v>TIPS INDUSTRIES LIMITED (XNSE:TIPSINDLTD)</v>
    <v>1984</v>
    <v>7170</v>
    <v>1996</v>
  </rv>
  <rv s="2">
    <v>238</v>
  </rv>
  <rv s="0">
    <v>https://www.bing.com/financeapi/forcetrigger?t=ahk9xm&amp;q=XNSE%3aTATAMOTORS&amp;form=skydnc</v>
    <v>Learn more on Bing</v>
  </rv>
  <rv s="1">
    <v>en-US</v>
    <v>ahk9xm</v>
    <v>268435456</v>
    <v>1</v>
    <v>Powered by Refinitiv</v>
    <v>0</v>
    <v>TATA MOTORS LIMITED (XNSE:TATAMOTORS)</v>
    <v>2</v>
    <v>3</v>
    <v>Finance</v>
    <v>5</v>
    <v>528.5</v>
    <v>366.2</v>
    <v>1.7378</v>
    <v>-0.75</v>
    <v>-1.8190000000000001E-3</v>
    <v>INR</v>
    <v>Tata Motors Limited is a global automobile manufacturing company. The Company’s diverse portfolio includes a range of cars, sports utility vehicles, trucks, buses and defense vehicles. Its segments include automotive operations and other operations. Its automotive segment consists of four reportable sub-segments: Tata Commercial Vehicles, which include small commercial vehicles (SCV) and pickup trucks, medium and heavy commercial vehicles and intermediate light commercial vehicle and CV passenger vehicles manufactured under the Tata and Daewoo brands; Tata Passenger Vehicles, which include passenger vehicles and utility vehicles manufactured under the Tata and Fiat brands; Jaguar Land Rover, which include vehicles manufactured under the Jaguar Land Rover brand; and Vehicle Financing, which include financing of new vehicles and pre-owned vehicles. Its other operations consist of information technology (IT) services, machine tools, and factory automation solutions.</v>
    <v>73608</v>
    <v>National Stock Exchange of India</v>
    <v>XNSE</v>
    <v>XNSE</v>
    <v>4th Floor, Ahura Centre, 82 Mahakali Caves Road, MIDC, Andheri East, MUMBAI, MAHARASHTRA, 400093 IN</v>
    <v>416.35</v>
    <v>Automobiles &amp; Auto Parts</v>
    <v>Stock</v>
    <v>44939.47446759259</v>
    <v>240</v>
    <v>408</v>
    <v>1475644000000</v>
    <v>TATA MOTORS LIMITED</v>
    <v>TATA MOTORS LIMITED</v>
    <v>413</v>
    <v>0</v>
    <v>412.25</v>
    <v>411.5</v>
    <v>3830057000</v>
    <v>TATAMOTORS</v>
    <v>TATA MOTORS LIMITED (XNSE:TATAMOTORS)</v>
    <v>10449630</v>
    <v>16908050</v>
    <v>1945</v>
  </rv>
  <rv s="2">
    <v>241</v>
  </rv>
  <rv s="0">
    <v>https://www.bing.com/financeapi/forcetrigger?t=ahdg9c&amp;q=XBOM%3a532384&amp;form=skydnc</v>
    <v>Learn more on Bing</v>
  </rv>
  <rv s="1">
    <v>en-US</v>
    <v>ahdg9c</v>
    <v>268435456</v>
    <v>1</v>
    <v>Powered by Refinitiv</v>
    <v>0</v>
    <v>TYCHE INDUSTRIES LIMITED (XBOM:532384)</v>
    <v>2</v>
    <v>3</v>
    <v>Finance</v>
    <v>4</v>
    <v>196.5</v>
    <v>105</v>
    <v>1.0805</v>
    <v>-0.6</v>
    <v>-4.6600000000000001E-3</v>
    <v>INR</v>
    <v>Tyche Industries Limited is an India-based company that is engaged in manufacturing and exporting active pharmaceutical ingredients (APIs), intermediates and nutraceuticals. The Company primarily manufactures bulk drug intermediates. Its APIs include Sertraline HCI, Racecadotril, Palonosetron HCI, Silodosin, Solifenacin Succinate, Tamsulosin HCI, Tenofovir Disoproxil Fumarate, Tenofovir Alafenamide Fumarate, Atazanavir, Rupatadine Fumarate, Glucosamine HCI, Glucosamine Sulfate KCL, Glucosamine Sulfate NaCl, Nitrofurantoin Monohydrate, Nitrofurantoin Anhydrous and Nitrofurantoin Macrocrystal. Its intermediaries include 6-Methoxy-2-(4-methoxyphenyl)benzo[b]thiophene, 3-Fluoro-4-methoxy acetophenone, 3-Hydroxymethyl quinuclidine HCl, (RS)-3-Quinuclidinol, 3-Quinuclidinone Hydrochloride and 1-Benzylpiperidine-4-Carboxaldehyde (BPCA). Its nutraceuticals include Glucosamine Hydrochloride, Glucosamine Sulfate Potassium Chloride and Glucosamine Sulfate Sodium Chloride.</v>
    <v>185</v>
    <v>Bombay Stock Exchange</v>
    <v>XBOM</v>
    <v>XBOM</v>
    <v>C-21/A, Road No.9,Film Nagar, Jubileehills, HYDERABAD, TELANGANA, 500096 IN</v>
    <v>129.44999999999999</v>
    <v>Pharmaceuticals</v>
    <v>Stock</v>
    <v>44939.438425925924</v>
    <v>243</v>
    <v>128.1</v>
    <v>1316100000</v>
    <v>TYCHE INDUSTRIES LIMITED</v>
    <v>TYCHE INDUSTRIES LIMITED</v>
    <v>128.1</v>
    <v>14.9</v>
    <v>128.75</v>
    <v>128.15</v>
    <v>10250000</v>
    <v>532384</v>
    <v>TYCHE INDUSTRIES LIMITED (XBOM:532384)</v>
    <v>934</v>
    <v>3550</v>
    <v>1998</v>
  </rv>
  <rv s="2">
    <v>244</v>
  </rv>
  <rv s="0">
    <v>https://www.bing.com/financeapi/forcetrigger?t=ahkkyc&amp;q=XNSE%3aVIMTALABS&amp;form=skydnc</v>
    <v>Learn more on Bing</v>
  </rv>
  <rv s="1">
    <v>en-US</v>
    <v>ahkkyc</v>
    <v>268435456</v>
    <v>1</v>
    <v>Powered by Refinitiv</v>
    <v>0</v>
    <v>VIMTA LABS LIMITED (XNSE:VIMTALABS)</v>
    <v>2</v>
    <v>3</v>
    <v>Finance</v>
    <v>5</v>
    <v>503.8</v>
    <v>291</v>
    <v>1.4023000000000001</v>
    <v>3.3</v>
    <v>7.9819999999999995E-3</v>
    <v>INR</v>
    <v>Vimta Labs Limited is an India-based company engaged in the business of contract research and testing services. The Company’s business includes analytical, clinical, preclinical services to life sciences industries; quality and safety testing for food and beverage industries; and environment services to a wide spectrum of industries. The Company provides services of testing and contract research in the fields of analytical food and water, preclinical research, clinical research, biopharma, environmental assessments and clinical reference lab. It supports regulatory authorities in mandatory certification of food and agricultural products exported from India. It assists the food industry for nutritional labelling, food safety evaluations, trace analysis and shelf life studies. Its environmental services include site selection and liability studies; environmental impact assessments; environment management plans and carrying capacity-based regional studies.</v>
    <v>1273</v>
    <v>National Stock Exchange of India</v>
    <v>XNSE</v>
    <v>XNSE</v>
    <v>Plot No.141/2 &amp; 142, IDA, Phase-II, Cherlapally, HYDERABAD, TELANGANA, 500051 IN</v>
    <v>418.95</v>
    <v>Biotechnology &amp; Medical Research</v>
    <v>Stock</v>
    <v>44939.47446759259</v>
    <v>246</v>
    <v>411</v>
    <v>9219689000</v>
    <v>VIMTA LABS LIMITED</v>
    <v>VIMTA LABS LIMITED</v>
    <v>411</v>
    <v>18.75</v>
    <v>413.45</v>
    <v>416.75</v>
    <v>22122830</v>
    <v>VIMTALABS</v>
    <v>VIMTA LABS LIMITED (XNSE:VIMTALABS)</v>
    <v>7483</v>
    <v>19060</v>
    <v>1990</v>
  </rv>
  <rv s="2">
    <v>247</v>
  </rv>
  <rv s="0">
    <v>https://www.bing.com/financeapi/forcetrigger?t=ahkl27&amp;q=XNSE%3aVINATIORGA&amp;form=skydnc</v>
    <v>Learn more on Bing</v>
  </rv>
  <rv s="1">
    <v>en-US</v>
    <v>ahkl27</v>
    <v>268435456</v>
    <v>1</v>
    <v>Powered by Refinitiv</v>
    <v>0</v>
    <v>VINATI ORGANICS LIMITED (XNSE:VINATIORGA)</v>
    <v>2</v>
    <v>3</v>
    <v>Finance</v>
    <v>5</v>
    <v>2377</v>
    <v>1674.2</v>
    <v>0.58599999999999997</v>
    <v>-10.199999999999999</v>
    <v>-5.0619999999999997E-3</v>
    <v>INR</v>
    <v>Vinati Organics Limited is an India-based company that is primarily engaged in the business of manufacturing of specialty organic intermediaries and monomers. The Company's specialty aromatics include Iso Butyl Benzene (IBB), normal butylbenzene (NBB), secondary butyl benzene (SBB), Tertiary amyl benzene (TAB), 3-Phenylpentane, (1-ethylpropyl) benzene, (3-PP), and C 10 Aromatic Solvent. Its specialty monomers include 2-acrylamido 2-methylapropane sulphonic acid (ATBS), sodium salt of 2-acrylamido-2-methylpropane sulphonic acid (NAATBS), N-tertiary butyl acrylamide (TBA) and N-tertiary octyl acrylamide (TOA). Its butyl phenols include ortho tertiary butyl phenol (OTBP), PARA tertiary butyl phenol (PTBP), 2,4-DI tertiary butyl phenol (2,4-DTBP) and 2,6-DI tertiary butyl phenol (2,6-DTBP). Its specialty products other methyl 4-tertiary butyl benzoate (PTBMB), PARA tertiary butyl benzoic acid (PTBBA), isobutylene, methanol, methyl tertiary butyl ether (HP-MTBE) and tertiary-butylamine.</v>
    <v>1009</v>
    <v>National Stock Exchange of India</v>
    <v>XNSE</v>
    <v>XNSE</v>
    <v>Parinee Crescenzo, 1102, 11th Floor,, G, Bandra Kurla Complex, Bandra East, MUMBAI, MAHARASHTRA, 400051 IN</v>
    <v>2035</v>
    <v>Chemicals</v>
    <v>Stock</v>
    <v>44939.47446759259</v>
    <v>249</v>
    <v>2000</v>
    <v>206042000000</v>
    <v>VINATI ORGANICS LIMITED</v>
    <v>VINATI ORGANICS LIMITED</v>
    <v>2024.95</v>
    <v>51.57</v>
    <v>2014.85</v>
    <v>2004.65</v>
    <v>102782100</v>
    <v>VINATIORGA</v>
    <v>VINATI ORGANICS LIMITED (XNSE:VINATIORGA)</v>
    <v>15243</v>
    <v>29180</v>
    <v>1989</v>
  </rv>
  <rv s="2">
    <v>250</v>
  </rv>
  <rv s="0">
    <v>https://www.bing.com/financeapi/forcetrigger?t=ahkp27&amp;q=XNSE%3aXCHANGING&amp;form=skydnc</v>
    <v>Learn more on Bing</v>
  </rv>
  <rv s="1">
    <v>en-US</v>
    <v>ahkp27</v>
    <v>268435456</v>
    <v>1</v>
    <v>Powered by Refinitiv</v>
    <v>0</v>
    <v>XCHANGING SOLUTIONS LIMITED (XNSE:XCHANGING)</v>
    <v>2</v>
    <v>3</v>
    <v>Finance</v>
    <v>5</v>
    <v>124.8</v>
    <v>55.8</v>
    <v>1.1910000000000001</v>
    <v>2</v>
    <v>3.0030000000000001E-2</v>
    <v>INR</v>
    <v>Xchanging Solutions Limited is engaged in computer programming activities. The Company is an information technology (IT) services provider with operations in India. The Company’s subsidiaries include Xchanging Solutions (Europe) Limited, UK (XSEL,UK) Xchanging Solutions (Singapore) Pte Limited, Singapore (XSSPL, Singapore) Xchanging Solutions (USA) Inc, USA (XSUI, USA) Xchanging Solutions (Malaysia) Sdn Bhd, Malaysia (XSMSB, Malaysia) and Nexplicit Infotech India Private Limited. The Company operates one segment Software Services. The Company provides services in the United States of America, India, Europe, and Singapore.</v>
    <v>137</v>
    <v>National Stock Exchange of India</v>
    <v>XNSE</v>
    <v>XNSE</v>
    <v>Kalyani Tech Park, Survey No. 1, 6 &amp; 24,, Kundanhalli Village, K R Puram,, Hobli,, BANGALORE, KARNATAKA, 560066 IN</v>
    <v>69.25</v>
    <v>Software &amp; IT Services</v>
    <v>Stock</v>
    <v>44939.47446759259</v>
    <v>252</v>
    <v>66.900000000000006</v>
    <v>7642295000</v>
    <v>XCHANGING SOLUTIONS LIMITED</v>
    <v>XCHANGING SOLUTIONS LIMITED</v>
    <v>67.349999999999994</v>
    <v>14.83</v>
    <v>66.599999999999994</v>
    <v>68.599999999999994</v>
    <v>111403700</v>
    <v>XCHANGING</v>
    <v>XCHANGING SOLUTIONS LIMITED (XNSE:XCHANGING)</v>
    <v>156985</v>
    <v>103680</v>
    <v>2002</v>
  </rv>
  <rv s="2">
    <v>253</v>
  </rv>
  <rv s="0">
    <v>https://www.bing.com/financeapi/forcetrigger?t=ahkpgh&amp;q=XNSE%3aZEEL&amp;form=skydnc</v>
    <v>Learn more on Bing</v>
  </rv>
  <rv s="1">
    <v>en-US</v>
    <v>ahkpgh</v>
    <v>268435456</v>
    <v>1</v>
    <v>Powered by Refinitiv</v>
    <v>0</v>
    <v>Zee Entertainment Enterprises Limited (XNSE:ZEEL)</v>
    <v>2</v>
    <v>3</v>
    <v>Finance</v>
    <v>5</v>
    <v>332.2</v>
    <v>200.5</v>
    <v>1.1028</v>
    <v>2.9</v>
    <v>1.2756E-2</v>
    <v>INR</v>
    <v>Zee Entertainment Enterprises Limited is an India-based company, which is engaged in the business of media and entertainment. It is involved in the business of broadcasting of general entertainment television channels, such as non-news and current affairs television. It operates in content and broadcasting segment. Its businesses include broadcasting of satellite television channels and digital media; space selling agent for other satellite television channels and sale of media content, which includes programs, film rights, feeds, music rights, and movie production and distribution. Its domestic broadcast portfolio consists of approximately 49 channels. Its international broadcast portfolio consists of approximately 35 channels. Its digital publishing’s offers content across genres, such as news, entertainment, technology, cricket, health and lifestyle. Its regional channels include Zee Marathi, Zee Bangla, Zee Tami, Zee Kannada, Zee Telugu, Zee Keralam, Zee Sarthak, and Zee Punjab.</v>
    <v>3182</v>
    <v>National Stock Exchange of India</v>
    <v>XNSE</v>
    <v>XNSE</v>
    <v>18th Floor, A Wing, Marathon Futurex, N M Joshi Marg Lower Parel, MUMBAI, MAHARASHTRA, 400013 IN</v>
    <v>230.9</v>
    <v>Media &amp; Publishing</v>
    <v>Stock</v>
    <v>44939.47446759259</v>
    <v>255</v>
    <v>227.1</v>
    <v>221159600000</v>
    <v>Zee Entertainment Enterprises Limited</v>
    <v>Zee Entertainment Enterprises Limited</v>
    <v>228.4</v>
    <v>31.17</v>
    <v>227.35</v>
    <v>230.25</v>
    <v>960519400</v>
    <v>ZEEL</v>
    <v>Zee Entertainment Enterprises Limited (XNSE:ZEEL)</v>
    <v>3503797</v>
    <v>4779120</v>
    <v>1982</v>
  </rv>
  <rv s="2">
    <v>256</v>
  </rv>
  <rv s="0">
    <v>https://www.bing.com/financeapi/forcetrigger?t=bwd9im&amp;q=XNSE%3aCAMS&amp;form=skydnc</v>
    <v>Learn more on Bing</v>
  </rv>
  <rv s="1">
    <v>en-US</v>
    <v>bwd9im</v>
    <v>268435456</v>
    <v>1</v>
    <v>Powered by Refinitiv</v>
    <v>0</v>
    <v>COMPUTER AGE MANAGEMENT SERVICES LIMITED (XNSE:CAMS)</v>
    <v>2</v>
    <v>3</v>
    <v>Finance</v>
    <v>5</v>
    <v>2971.5</v>
    <v>2037.15</v>
    <v>0.69199999999999995</v>
    <v>38.1</v>
    <v>1.7041000000000001E-2</v>
    <v>INR</v>
    <v>Computer Age Management Services Limited is an India-based mutual funds transfer agency. The Company provides services for investors, services for distributors and services for businesses. Its services for investors include myCAMS, GoCorp, e-KYC, CAMSPay e-mandate, CAS - CAMS + KFintech, capital gain/loss, digital bank mandate change, net asset value (NAV) and Income distribution cum capital withdrawal (IDCW), transmission helpdesk and investor touchpoints. The Company’s services for distributors include edge360, e-KYC, distributor mail back services, service requests, the Association of Mutual Funds in India (AMFI) services and distributor helpdesk. Its services for businesses include mutual funds, reconciliations, loans against mutual funds, payments, AIF &amp; PMS, account aggregators, insurance companies and sandbox. It also serves its customers through a range of touch points, such as the pan-India network of service centers, white label call centers, online, mobile app and chatbot.</v>
    <v>4914</v>
    <v>National Stock Exchange of India</v>
    <v>XNSE</v>
    <v>XNSE</v>
    <v>'Rayala Towers', 158, Anna Salai, CHENNAI, TAMIL NADU, 600 002 IN</v>
    <v>2279.9</v>
    <v>Professional &amp; Commercial Services</v>
    <v>Stock</v>
    <v>44939.474444444444</v>
    <v>258</v>
    <v>2235.0500000000002</v>
    <v>111404100000</v>
    <v>COMPUTER AGE MANAGEMENT SERVICES LIMITED</v>
    <v>COMPUTER AGE MANAGEMENT SERVICES LIMITED</v>
    <v>2242</v>
    <v>37.97</v>
    <v>2235.75</v>
    <v>2273.85</v>
    <v>48993600</v>
    <v>CAMS</v>
    <v>COMPUTER AGE MANAGEMENT SERVICES LIMITED (XNSE:CAMS)</v>
    <v>129596</v>
    <v>62780</v>
    <v>1988</v>
  </rv>
  <rv s="2">
    <v>259</v>
  </rv>
  <rv s="0">
    <v>https://www.bing.com/financeapi/forcetrigger?t=ahhcf2&amp;q=XNSE%3aCDSL&amp;form=skydnc</v>
    <v>Learn more on Bing</v>
  </rv>
  <rv s="1">
    <v>en-US</v>
    <v>ahhcf2</v>
    <v>268435456</v>
    <v>1</v>
    <v>Powered by Refinitiv</v>
    <v>0</v>
    <v>CENTRAL DEPOSITORY SERVICES (INDIA) LIMITED (XNSE:CDSL)</v>
    <v>2</v>
    <v>3</v>
    <v>Finance</v>
    <v>5</v>
    <v>1654</v>
    <v>1015</v>
    <v>0.79159999999999997</v>
    <v>-1</v>
    <v>-9.2710000000000004E-4</v>
    <v>INR</v>
    <v>Central Depository Services (India) Limited is an India-based company, which is engaged in providing depository services, data processing services, and others. The Company operates through three segments: Depository Segment, Data Entry and Storage, and Repository. Depository Segment includes providing various services to the investors like dematerialization, rematerialization, holding, transfer and pledge of securities in electronic form and providing e-voting services to companies. Data Entry and Storage segment relates to Centralized record keeping of Know your Customer (KYC) documents of capital market investors. Repository segment provides policyholders/warehouse receipts holder a facility to keep insurance policies/ warehouse receipts in electronic form and to undertake changes, modifications and revisions in the policy/receipt. It also offers e-Locker, Myeasi Mobile App, M-Voting, e-Voting, SMART, and electronic access to securities information &amp; execution of secure transactions.</v>
    <v>246</v>
    <v>National Stock Exchange of India</v>
    <v>XNSE</v>
    <v>XNSE</v>
    <v>17th Floor, Phiroze Jeejeebhoy Towers, Dalal Street, MUMBAI, MAHARASHTRA, 400001 IN</v>
    <v>1086.4000000000001</v>
    <v>Investment Banking &amp; Investment Services</v>
    <v>Stock</v>
    <v>44939.474444444444</v>
    <v>261</v>
    <v>1073.3499999999999</v>
    <v>112614400000</v>
    <v>CENTRAL DEPOSITORY SERVICES (INDIA) LIMITED</v>
    <v>CENTRAL DEPOSITORY SERVICES (INDIA) LIMITED</v>
    <v>1083.7</v>
    <v>37.64</v>
    <v>1078.6500000000001</v>
    <v>1077.6500000000001</v>
    <v>104500000</v>
    <v>CDSL</v>
    <v>CENTRAL DEPOSITORY SERVICES (INDIA) LIMITED (XNSE:CDSL)</v>
    <v>250751</v>
    <v>227060</v>
    <v>1997</v>
  </rv>
  <rv s="2">
    <v>262</v>
  </rv>
  <rv s="0">
    <v>https://www.bing.com/financeapi/forcetrigger?t=ahhdvh&amp;q=XNSE%3aCHOLAFIN&amp;form=skydnc</v>
    <v>Learn more on Bing</v>
  </rv>
  <rv s="1">
    <v>en-US</v>
    <v>ahhdvh</v>
    <v>268435456</v>
    <v>1</v>
    <v>Powered by Refinitiv</v>
    <v>0</v>
    <v>CHOLAMANDALAM INVESTMENT AND FINANCE COMPANY LIMITED (XNSE:CHOLAFIN)</v>
    <v>2</v>
    <v>3</v>
    <v>Finance</v>
    <v>5</v>
    <v>817.75</v>
    <v>551.4</v>
    <v>1.5827</v>
    <v>26.1</v>
    <v>3.8068999999999999E-2</v>
    <v>INR</v>
    <v>Cholamandalam Investment and Finance Company Limited is an India-based equipment financing company. The Company offers financial services, including vehicle finance, home loans, home equity loans, small and medium enterprises (SME) loans, investment advisory services, stock broking and a range of other financial services to its customers. The Company’s segments include Vehicle Finance Loans, Loan against property and Home Loans. The Vehicle Finance Loans segment provides loans to customers against purchase of new/used vehicles, tractors, construction equipments and loan to automobile dealers. The Loan against property segment provides loans to customer against immovable property. The Home Loans segment provides loans for given acquisition of residential property. It offers loans against shares, and other unsecured loans and security broking and insurance agency business. Its subsidiaries include Cholamandalam Securities Limited (CSEC) and Cholamandalam Home Finance Limited (CHFL).</v>
    <v>9125</v>
    <v>National Stock Exchange of India</v>
    <v>XNSE</v>
    <v>XNSE</v>
    <v>Dare House, 2, NSC Bose Road, Parrys, CHENNAI, TAMIL NADU, 600001 IN</v>
    <v>714.95</v>
    <v>Banking Services</v>
    <v>Stock</v>
    <v>44939.474444444444</v>
    <v>264</v>
    <v>685.1</v>
    <v>584850800000</v>
    <v>CHOLAMANDALAM INVESTMENT AND FINANCE COMPANY LIMITED</v>
    <v>CHOLAMANDALAM INVESTMENT AND FINANCE COMPANY LIMITED</v>
    <v>687</v>
    <v>24.07</v>
    <v>685.6</v>
    <v>711.7</v>
    <v>821765800</v>
    <v>CHOLAFIN</v>
    <v>CHOLAMANDALAM INVESTMENT AND FINANCE COMPANY LIMITED (XNSE:CHOLAFIN)</v>
    <v>3136135</v>
    <v>2144530</v>
    <v>1978</v>
  </rv>
  <rv s="2">
    <v>265</v>
  </rv>
  <rv s="0">
    <v>https://www.bing.com/financeapi/forcetrigger?t=ahjn8m&amp;q=XNSE%3aRECLTD&amp;form=skydnc</v>
    <v>Learn more on Bing</v>
  </rv>
  <rv s="1">
    <v>en-US</v>
    <v>ahjn8m</v>
    <v>268435456</v>
    <v>1</v>
    <v>Powered by Refinitiv</v>
    <v>0</v>
    <v>REC LIMITED (XNSE:RECLTD)</v>
    <v>2</v>
    <v>3</v>
    <v>Finance</v>
    <v>5</v>
    <v>126.25</v>
    <v>82.24</v>
    <v>1.0036</v>
    <v>2.15</v>
    <v>1.7819999999999999E-2</v>
    <v>INR</v>
    <v>REC Limited is an India-based infrastructure finance company. The Company's main business is to provide finance to power sector. The Company's principal products include interest-bearing loans to state electricity boards, state power utilities/state power departments and private sector for all segments of power infrastructure. It is engaged in financing projects and schemes of various power sector value chain, including generation (both conventional and renewable energy), transmission, distribution, rural electrification and activities having forward or backward linkage with power projects. It provides financial assistance to state electricity boards, state governments, central/state power utilities, independent power producers, rural electric cooperatives and private sector utilities through its network of approximately 22 offices. The Company also acts as the nodal agency or project implementing agency for various schemes and programs of the Ministry of Power, Government of India.</v>
    <v>440</v>
    <v>National Stock Exchange of India</v>
    <v>XNSE</v>
    <v>XNSE</v>
    <v>Plot No. I-4, Sector 29,, Near IFFCO Chowk Metro Station,, GURGAON, HARYANA, 122001 IN</v>
    <v>123.45</v>
    <v>Banking Services</v>
    <v>Stock</v>
    <v>44939.474456018521</v>
    <v>267</v>
    <v>120.3</v>
    <v>323359900000</v>
    <v>REC LIMITED</v>
    <v>REC LIMITED</v>
    <v>121</v>
    <v>3.1</v>
    <v>120.65</v>
    <v>122.8</v>
    <v>2633224000</v>
    <v>RECLTD</v>
    <v>REC LIMITED (XNSE:RECLTD)</v>
    <v>5902262</v>
    <v>13368630</v>
    <v>1969</v>
  </rv>
  <rv s="2">
    <v>268</v>
  </rv>
  <rv s="0">
    <v>https://www.bing.com/financeapi/forcetrigger?t=ahh3oc&amp;q=XNSE%3aBALAMINES&amp;form=skydnc</v>
    <v>Learn more on Bing</v>
  </rv>
  <rv s="1">
    <v>en-US</v>
    <v>ahh3oc</v>
    <v>268435456</v>
    <v>1</v>
    <v>Powered by Refinitiv</v>
    <v>0</v>
    <v>BALAJI AMINES LIMITED (XNSE:BALAMINES)</v>
    <v>2</v>
    <v>3</v>
    <v>Finance</v>
    <v>5</v>
    <v>3844</v>
    <v>2512</v>
    <v>2.0647000000000002</v>
    <v>6.65</v>
    <v>2.6040000000000004E-3</v>
    <v>INR</v>
    <v>Balaji Amines Limited is an India-based company, which is engaged in the manufacturing of Aliphatic Amines, their derivatives, specialty chemicals and pharma excipients. The Company is running a five-star hotel in Solapur, Maharashtra, namely Balaji Sarovar Premiere. The Company operates through three segments: Specialty Chemicals and Amines, Hotel and CFL Lamps. Its amines products include MONOMETHYLAMINE (MMA), DIMETHYLAMINE (DMA) and TRIMETHYLAMINE (TMA). Its specialty chemicals include N-Methyl Pyrrolidone (NMP), Morpholine, 2-PYRROLIDONE (2-P), N-ETHYL-2-PYRROLIDONE, GAMMA-BUTYROLACTONE, ACETONITRILE (ACN) and DIMETHYLFORMAMIDE (DMF). Its derivatives include Di-Methyl Acetamide (DMAC), Di-Ethyl Amine Hydrochloride (DMA HCL), Tri-Ethyl Amine Hydrochloride (TEA HCL), Di-Ethyl Amine Hydrochloride (DEA HCL) and Tri-Methyl Amine Hydrochloride (TMA HCL). Its pharma excipients include POLY VINYL PYRROLIDONE(PVP-30) IP/BP/JP GRADE and POLY VINYL PYRROLIDONE(PVP-30)-TECHNICAL GRADE.</v>
    <v>1071</v>
    <v>National Stock Exchange of India</v>
    <v>XNSE</v>
    <v>XNSE</v>
    <v>3rd Floor, KPR House, C.P.Road, SECUNDERABAD, TELANGANA, 500003 IN</v>
    <v>2582.25</v>
    <v>Chemicals</v>
    <v>Stock</v>
    <v>44939.474444444444</v>
    <v>270</v>
    <v>2551</v>
    <v>82975720000</v>
    <v>BALAJI AMINES LIMITED</v>
    <v>BALAJI AMINES LIMITED</v>
    <v>2566.9499999999998</v>
    <v>20</v>
    <v>2554.25</v>
    <v>2560.9</v>
    <v>32401000</v>
    <v>BALAMINES</v>
    <v>BALAJI AMINES LIMITED (XNSE:BALAMINES)</v>
    <v>22410</v>
    <v>39890</v>
    <v>1988</v>
  </rv>
  <rv s="2">
    <v>271</v>
  </rv>
  <rv s="5">
    <v>en-US</v>
    <v>c8gy3m</v>
    <v>268435456</v>
    <v>1</v>
    <v>Powered by Refinitiv</v>
    <v>10</v>
    <v>KFIN TECHNOLOGIES LIMITED (XNSE:KFINTECH)</v>
    <v>11</v>
    <v>7</v>
    <v>Finance</v>
    <v>5</v>
    <v>373</v>
    <v>328</v>
    <v>5.9</v>
    <v>1.7944000000000002E-2</v>
    <v>INR</v>
    <v>KFin Technologies Limited is an India-based company. The Company serves the mission-critical needs of asset managers with clients spanning mutual funds, alternate investment funds (AIFs), pension, wealth managers, and corporates in India and abroad. The Company provides software as a service (SaaS) based end-to-end transaction management, channel management, including brokerage computation and channel servicing, compliance solutions, data analytics, and various other digital services to asset managers across segments, as well as outsourcing services. The Company's global business solutions include mortgage solutions, MFTA solutions, legal solutions, and finance and accounting solutions. It serves to a range of other Asian economies, such as Malaysia, Philippines, and Hong Kong. The Company also renders mortgage solutions to America, parts of Europe and Australia.</v>
    <v>5155</v>
    <v>National Stock Exchange of India</v>
    <v>XNSE</v>
    <v>XNSE</v>
    <v>Selenium Building, Tower-B,, Plot No 31 &amp; 32, Financial District,Nanakramguda, Serilingampally, HYDERABAD, TELANGANA, 500 032 IN</v>
    <v>337.6</v>
    <v>Investment Banking &amp; Investment Services</v>
    <v>Stock</v>
    <v>44939.474456018521</v>
    <v>328</v>
    <v>56085300000</v>
    <v>KFIN TECHNOLOGIES LIMITED</v>
    <v>KFIN TECHNOLOGIES LIMITED</v>
    <v>329.8</v>
    <v>37.090000000000003</v>
    <v>328.8</v>
    <v>334.7</v>
    <v>167568900</v>
    <v>KFINTECH</v>
    <v>KFIN TECHNOLOGIES LIMITED (XNSE:KFINTECH)</v>
    <v>86403</v>
    <v>266390</v>
    <v>2017</v>
  </rv>
  <rv s="2">
    <v>273</v>
  </rv>
  <rv s="0">
    <v>https://www.bing.com/financeapi/forcetrigger?t=ahhkkr&amp;q=XNSE%3aDIXON&amp;form=skydnc</v>
    <v>Learn more on Bing</v>
  </rv>
  <rv s="1">
    <v>en-US</v>
    <v>ahhkkr</v>
    <v>268435456</v>
    <v>1</v>
    <v>Powered by Refinitiv</v>
    <v>0</v>
    <v>DIXON TECHNOLOGIES (INDIA) LIMITED (XNSE:DIXON)</v>
    <v>2</v>
    <v>3</v>
    <v>Finance</v>
    <v>5</v>
    <v>5444.1</v>
    <v>3180.55</v>
    <v>1.1047</v>
    <v>-24.5</v>
    <v>-6.7100000000000007E-3</v>
    <v>INR</v>
    <v>Dixon Technologies (India) Limited is a home-grown manufacturing company. The Company provides electronic manufacturing services (EMS) with a diversified portfolio across consumer electronics, home appliances, lighting products, mobile phones &amp; Emergency Medical Services (Ems), reverse logistics, and security systems. Its products and services include LED TVs, AC PCB, Washing Machines LED Bulbs, Battens, Downlighters, Feature &amp; Smart Phones, PCB for Mobile Phones, Medical Electronics, Set-top boxes, Repair Services, CCTV camera and Digital Video Recorders (DVRs). The Company solutions include international and national brands, serving as both Original Equipment Manufacturer (OEM) as well as Original Design Manufacturer (ODM) for various companies.</v>
    <v>2528</v>
    <v>National Stock Exchange of India</v>
    <v>XNSE</v>
    <v>XNSE</v>
    <v>B 14 &amp; 15, Noida Phase II, Gautam Buddha Nagar, NOIDA, UTTAR PRADESH, 201305 IN</v>
    <v>3671</v>
    <v>Computers, Phones &amp; Household Electronics</v>
    <v>Stock</v>
    <v>44939.474444444444</v>
    <v>275</v>
    <v>3603.05</v>
    <v>215997900000</v>
    <v>DIXON TECHNOLOGIES (INDIA) LIMITED</v>
    <v>DIXON TECHNOLOGIES (INDIA) LIMITED</v>
    <v>3659.95</v>
    <v>93.27</v>
    <v>3651.05</v>
    <v>3626.55</v>
    <v>59560160</v>
    <v>DIXON</v>
    <v>DIXON TECHNOLOGIES (INDIA) LIMITED (XNSE:DIXON)</v>
    <v>134883</v>
    <v>112470</v>
    <v>1993</v>
  </rv>
  <rv s="2">
    <v>276</v>
  </rv>
</rvData>
</file>

<file path=xl/richData/rdrichvaluestructure.xml><?xml version="1.0" encoding="utf-8"?>
<rvStructures xmlns="http://schemas.microsoft.com/office/spreadsheetml/2017/richdata" count="6">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4">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ExchangeID</v>
      <v t="s">%ProviderInfo</v>
    </a>
  </spbArrays>
  <spbData count="12">
    <spb s="0">
      <v>0</v>
      <v>Name</v>
      <v>LearnMoreOnLink</v>
    </spb>
    <spb s="1">
      <v>0</v>
      <v>0</v>
      <v>0</v>
    </spb>
    <spb s="2">
      <v>1</v>
      <v>1</v>
      <v>1</v>
      <v>1</v>
    </spb>
    <spb s="3">
      <v>1</v>
      <v>2</v>
      <v>2</v>
      <v>1</v>
      <v>3</v>
      <v>1</v>
      <v>1</v>
      <v>1</v>
      <v>4</v>
      <v>4</v>
      <v>5</v>
      <v>6</v>
      <v>1</v>
      <v>1</v>
      <v>1</v>
      <v>4</v>
      <v>7</v>
      <v>8</v>
      <v>9</v>
      <v>4</v>
    </spb>
    <spb s="4">
      <v>Delayed 15 minutes</v>
      <v>from previous close</v>
      <v>from previous close</v>
      <v>GMT</v>
    </spb>
    <spb s="4">
      <v>Delayed 5 minutes</v>
      <v>from previous close</v>
      <v>from previous close</v>
      <v>GMT</v>
    </spb>
    <spb s="0">
      <v>1</v>
      <v>Name</v>
      <v>LearnMoreOnLink</v>
    </spb>
    <spb s="5">
      <v>1</v>
      <v>2</v>
      <v>1</v>
      <v>3</v>
      <v>1</v>
      <v>1</v>
      <v>1</v>
      <v>4</v>
      <v>4</v>
      <v>5</v>
      <v>6</v>
      <v>1</v>
      <v>1</v>
      <v>1</v>
      <v>4</v>
      <v>7</v>
      <v>8</v>
      <v>9</v>
      <v>4</v>
    </spb>
    <spb s="0">
      <v>2</v>
      <v>Name</v>
      <v>LearnMoreOnLink</v>
    </spb>
    <spb s="6">
      <v>1</v>
      <v>2</v>
      <v>2</v>
      <v>1</v>
      <v>3</v>
      <v>1</v>
      <v>1</v>
      <v>1</v>
      <v>4</v>
      <v>4</v>
      <v>5</v>
      <v>6</v>
      <v>1</v>
      <v>1</v>
      <v>1</v>
      <v>4</v>
      <v>7</v>
      <v>9</v>
      <v>4</v>
    </spb>
    <spb s="7">
      <v>3</v>
      <v>Name</v>
    </spb>
    <spb s="8">
      <v>1</v>
      <v>1</v>
      <v>1</v>
    </spb>
  </spbData>
</supportingPropertyBags>
</file>

<file path=xl/richData/rdsupportingpropertybagstructure.xml><?xml version="1.0" encoding="utf-8"?>
<spbStructures xmlns="http://schemas.microsoft.com/office/spreadsheetml/2017/richdata2" count="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Order" t="spba"/>
    <k n="TitleProperty" t="s"/>
  </s>
  <s>
    <k n="ExchangeID" t="spb"/>
    <k n="UniqueName" t="spb"/>
    <k n="`%ProviderInfo"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165" formatCode="_ [$₹-44D]\ * #,##0.00_ ;_ [$₹-44D]\ * \-#,##0.00_ ;_ [$₹-44D]\ * &quot;-&quot;??_ ;_ @_ "/>
    </x:dxf>
    <x:dxf>
      <x:numFmt numFmtId="27" formatCode="m/d/yyyy\ h:mm"/>
    </x:dxf>
    <x:dxf>
      <x:numFmt numFmtId="14" formatCode="0.00%"/>
    </x:dxf>
    <x:dxf>
      <x:numFmt numFmtId="3" formatCode="#,##0"/>
    </x:dxf>
    <x:dxf>
      <x:numFmt numFmtId="164" formatCode="_ [$₹-44D]\ * #,##0_ ;_ [$₹-44D]\ * \-#,##0_ ;_ [$₹-44D]\ * &quot;-&quot;_ ;_ @_ "/>
    </x:dxf>
    <x:dxf>
      <x:numFmt numFmtId="4" formatCode="#,##0.00"/>
    </x:dxf>
    <x:dxf>
      <x:numFmt numFmtId="1" formatCode="0"/>
    </x:dxf>
  </dxfs>
  <richProperties>
    <rPr n="IsTitleField" t="b"/>
  </richProperties>
  <richStyles>
    <rSty dxfid="1"/>
    <rSty dxfid="6"/>
    <rSty>
      <rpv i="0">1</rpv>
    </rSty>
    <rSty dxfid="4"/>
    <rSty dxfid="3"/>
    <rSty dxfid="5"/>
    <rSty dxfid="2"/>
    <rSty dxfid="7"/>
    <rSty dxfid="0"/>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L94"/>
  <sheetViews>
    <sheetView tabSelected="1" zoomScale="85" zoomScaleNormal="85" workbookViewId="0">
      <pane xSplit="7" ySplit="2" topLeftCell="Y3" activePane="bottomRight" state="frozen"/>
      <selection pane="topRight" activeCell="H1" sqref="H1"/>
      <selection pane="bottomLeft" activeCell="A4" sqref="A4"/>
      <selection pane="bottomRight" activeCell="F105" sqref="F105"/>
    </sheetView>
  </sheetViews>
  <sheetFormatPr defaultRowHeight="14.5"/>
  <cols>
    <col min="1" max="1" width="5.453125" style="2" customWidth="1"/>
    <col min="2" max="2" width="17.26953125" style="2" customWidth="1"/>
    <col min="3" max="3" width="8.7265625" style="1" customWidth="1"/>
    <col min="4" max="4" width="7.453125" style="130" customWidth="1"/>
    <col min="5" max="5" width="8.54296875" style="2" customWidth="1"/>
    <col min="6" max="6" width="8.26953125" style="4" customWidth="1"/>
    <col min="7" max="7" width="10.54296875" style="4" customWidth="1"/>
    <col min="8" max="9" width="8.7265625" style="2" customWidth="1"/>
    <col min="10" max="10" width="49.26953125" style="2" customWidth="1"/>
    <col min="11" max="11" width="8.7265625" style="31"/>
    <col min="12" max="12" width="8.26953125" style="1" bestFit="1" customWidth="1"/>
    <col min="13" max="13" width="8.7265625" style="35" bestFit="1" customWidth="1"/>
    <col min="14" max="14" width="9.7265625" style="39" bestFit="1" customWidth="1"/>
    <col min="15" max="15" width="11.7265625" style="1" bestFit="1" customWidth="1"/>
    <col min="16" max="16" width="9.54296875" style="1" bestFit="1" customWidth="1"/>
    <col min="17" max="17" width="12" style="32" bestFit="1" customWidth="1"/>
    <col min="18" max="18" width="12.7265625" style="1" bestFit="1" customWidth="1"/>
    <col min="19" max="19" width="6.7265625" style="1" customWidth="1"/>
    <col min="20" max="20" width="8" style="1" bestFit="1" customWidth="1"/>
    <col min="25" max="25" width="8.7265625" style="17"/>
    <col min="26" max="26" width="9.7265625" style="17" bestFit="1" customWidth="1"/>
    <col min="30" max="30" width="9.7265625" style="23" bestFit="1" customWidth="1"/>
  </cols>
  <sheetData>
    <row r="1" spans="1:38">
      <c r="C1" s="1">
        <v>5000</v>
      </c>
      <c r="D1" s="126">
        <v>10</v>
      </c>
      <c r="E1" s="49">
        <v>127.1</v>
      </c>
      <c r="F1" s="45">
        <f>(100+D1)*E1/100</f>
        <v>139.81</v>
      </c>
      <c r="G1" s="4">
        <f>C1/F1</f>
        <v>35.76282097131822</v>
      </c>
      <c r="N1" s="39">
        <f>SUBTOTAL(9,N3:N116)</f>
        <v>876766</v>
      </c>
      <c r="O1" s="39">
        <f>SUBTOTAL(9,O3:O116)</f>
        <v>912504.75</v>
      </c>
      <c r="P1" s="39">
        <f>SUBTOTAL(9,P3:P116)</f>
        <v>35738.75</v>
      </c>
      <c r="Q1" s="32">
        <f>P1/N1%</f>
        <v>4.076201631906347</v>
      </c>
      <c r="R1" s="39">
        <f>SUBTOTAL(9,R3:R116)</f>
        <v>889407.55405405408</v>
      </c>
      <c r="T1" s="39">
        <f>SUBTOTAL(9,T3:T116)</f>
        <v>11829</v>
      </c>
    </row>
    <row r="2" spans="1:38" ht="28.15" customHeight="1">
      <c r="A2" s="3" t="s">
        <v>0</v>
      </c>
      <c r="B2" s="2" t="s">
        <v>1</v>
      </c>
      <c r="C2" s="6" t="s">
        <v>3</v>
      </c>
      <c r="D2" s="127" t="s">
        <v>390</v>
      </c>
      <c r="E2" s="46" t="s">
        <v>391</v>
      </c>
      <c r="F2" s="46" t="s">
        <v>392</v>
      </c>
      <c r="G2" s="8" t="s">
        <v>393</v>
      </c>
      <c r="H2" s="7" t="s">
        <v>2</v>
      </c>
      <c r="I2" s="7" t="s">
        <v>519</v>
      </c>
      <c r="J2" s="7" t="s">
        <v>41</v>
      </c>
      <c r="K2" s="33" t="s">
        <v>43</v>
      </c>
      <c r="L2" s="6" t="s">
        <v>4</v>
      </c>
      <c r="M2" s="36" t="s">
        <v>5</v>
      </c>
      <c r="N2" s="42" t="s">
        <v>6</v>
      </c>
      <c r="O2" s="6" t="s">
        <v>7</v>
      </c>
      <c r="P2" s="6" t="s">
        <v>160</v>
      </c>
      <c r="Q2" s="33" t="s">
        <v>161</v>
      </c>
      <c r="R2" s="6" t="s">
        <v>183</v>
      </c>
      <c r="S2" s="6" t="s">
        <v>47</v>
      </c>
      <c r="T2" s="6" t="s">
        <v>243</v>
      </c>
      <c r="U2" s="6" t="s">
        <v>42</v>
      </c>
      <c r="V2" s="15" t="s">
        <v>48</v>
      </c>
      <c r="W2" s="15" t="s">
        <v>50</v>
      </c>
      <c r="X2" s="13" t="s">
        <v>49</v>
      </c>
      <c r="Y2" s="16" t="s">
        <v>51</v>
      </c>
      <c r="Z2" s="16" t="s">
        <v>52</v>
      </c>
      <c r="AA2" s="9" t="s">
        <v>57</v>
      </c>
      <c r="AB2" s="9" t="s">
        <v>62</v>
      </c>
      <c r="AC2" s="6" t="s">
        <v>46</v>
      </c>
      <c r="AD2" s="22" t="s">
        <v>67</v>
      </c>
      <c r="AE2" t="s">
        <v>555</v>
      </c>
      <c r="AF2" t="s">
        <v>556</v>
      </c>
      <c r="AG2" t="s">
        <v>557</v>
      </c>
      <c r="AH2" t="s">
        <v>558</v>
      </c>
      <c r="AI2" t="s">
        <v>559</v>
      </c>
      <c r="AJ2" t="s">
        <v>562</v>
      </c>
      <c r="AK2" t="s">
        <v>560</v>
      </c>
      <c r="AL2" t="s">
        <v>561</v>
      </c>
    </row>
    <row r="3" spans="1:38" ht="14.65" hidden="1" customHeight="1">
      <c r="A3" s="3">
        <v>1</v>
      </c>
      <c r="B3" s="450" t="s">
        <v>530</v>
      </c>
      <c r="C3" s="3">
        <v>446.8</v>
      </c>
      <c r="D3" s="128">
        <v>27.124773960216999</v>
      </c>
      <c r="E3" s="19">
        <v>47.292000000000002</v>
      </c>
      <c r="F3" s="47">
        <v>0</v>
      </c>
      <c r="G3" s="20">
        <v>5.9517945209647403</v>
      </c>
      <c r="H3" s="19" t="s">
        <v>44</v>
      </c>
      <c r="I3" s="3"/>
      <c r="J3" s="3"/>
      <c r="K3" s="34" t="e">
        <f>((C3-U3)/U3)*100</f>
        <v>#DIV/0!</v>
      </c>
      <c r="L3" s="14">
        <v>683</v>
      </c>
      <c r="M3" s="38">
        <v>545.13323572474383</v>
      </c>
      <c r="N3" s="40">
        <v>372326</v>
      </c>
      <c r="O3" s="10">
        <f>L3*C3</f>
        <v>305164.40000000002</v>
      </c>
      <c r="P3" s="3">
        <f>O3-N3</f>
        <v>-67161.599999999977</v>
      </c>
      <c r="Q3" s="3">
        <f>(P3/N3)*100</f>
        <v>-18.038385715743726</v>
      </c>
      <c r="R3" s="40">
        <v>277096.08108108101</v>
      </c>
      <c r="S3" s="14"/>
      <c r="T3" s="14">
        <v>11732</v>
      </c>
      <c r="U3" s="9"/>
      <c r="V3" s="9"/>
      <c r="W3" s="9"/>
      <c r="X3" s="9"/>
      <c r="Y3" s="16"/>
      <c r="Z3" s="16"/>
      <c r="AA3" s="9"/>
      <c r="AB3" s="9"/>
      <c r="AE3">
        <f>L3</f>
        <v>683</v>
      </c>
      <c r="AF3">
        <v>0</v>
      </c>
      <c r="AG3">
        <v>330</v>
      </c>
      <c r="AH3">
        <v>193</v>
      </c>
      <c r="AI3">
        <v>0</v>
      </c>
      <c r="AJ3">
        <v>160</v>
      </c>
      <c r="AK3">
        <f>AF3+AG3+AH3+AI3+AJ3</f>
        <v>683</v>
      </c>
      <c r="AL3" s="216">
        <f>AK3-AE3</f>
        <v>0</v>
      </c>
    </row>
    <row r="4" spans="1:38" hidden="1">
      <c r="A4" s="3">
        <v>2</v>
      </c>
      <c r="B4" s="194" t="s">
        <v>712</v>
      </c>
      <c r="C4" s="159">
        <v>1025.6500000000001</v>
      </c>
      <c r="D4" s="127">
        <v>8.1554460864805698</v>
      </c>
      <c r="E4" s="3">
        <v>165.21208053691299</v>
      </c>
      <c r="F4" s="8"/>
      <c r="G4" s="8">
        <v>1.8007934417368601</v>
      </c>
      <c r="H4" s="3" t="s">
        <v>44</v>
      </c>
      <c r="I4" s="3"/>
      <c r="J4" s="3"/>
      <c r="K4" s="34" t="e">
        <f>((C4-U4)/U4)*100</f>
        <v>#DIV/0!</v>
      </c>
      <c r="L4" s="14">
        <v>234</v>
      </c>
      <c r="M4" s="38">
        <v>1049.4957264957266</v>
      </c>
      <c r="N4" s="40">
        <v>245582</v>
      </c>
      <c r="O4" s="10">
        <f>L4*C4</f>
        <v>240002.10000000003</v>
      </c>
      <c r="P4" s="3">
        <f>O4-N4</f>
        <v>-5579.8999999999651</v>
      </c>
      <c r="Q4" s="3">
        <f>(P4/N4)*100</f>
        <v>-2.2721127769950424</v>
      </c>
      <c r="R4" s="40">
        <v>227098.09797297296</v>
      </c>
      <c r="S4" s="14"/>
      <c r="T4" s="14">
        <v>11536</v>
      </c>
      <c r="U4" s="9"/>
      <c r="V4" s="9"/>
      <c r="W4" s="9">
        <f>((C4-V4)/C4)*100</f>
        <v>100</v>
      </c>
      <c r="X4" s="9"/>
      <c r="Y4" s="9" t="e">
        <f>((C4-X4)/X4)*100</f>
        <v>#DIV/0!</v>
      </c>
      <c r="Z4" s="16">
        <f>O4/E4</f>
        <v>1452.6909849451165</v>
      </c>
      <c r="AA4" s="9"/>
      <c r="AB4" s="9"/>
      <c r="AE4">
        <f>L4</f>
        <v>234</v>
      </c>
      <c r="AF4">
        <v>0</v>
      </c>
      <c r="AG4">
        <v>76</v>
      </c>
      <c r="AH4">
        <v>81</v>
      </c>
      <c r="AI4">
        <v>20</v>
      </c>
      <c r="AJ4">
        <v>57</v>
      </c>
      <c r="AK4">
        <f>AF4+AG4+AH4+AI4+AJ4</f>
        <v>234</v>
      </c>
      <c r="AL4" s="216">
        <f>AK4-AE4</f>
        <v>0</v>
      </c>
    </row>
    <row r="5" spans="1:38" ht="53.15" hidden="1" customHeight="1">
      <c r="A5" s="3">
        <v>3</v>
      </c>
      <c r="B5" s="150" t="s">
        <v>533</v>
      </c>
      <c r="C5" s="210">
        <v>2702.85</v>
      </c>
      <c r="D5" s="128">
        <v>3.90350877192982</v>
      </c>
      <c r="E5" s="19">
        <v>219.325842696629</v>
      </c>
      <c r="F5" s="47"/>
      <c r="G5" s="20">
        <v>3.54181618332689</v>
      </c>
      <c r="H5" s="19" t="s">
        <v>268</v>
      </c>
      <c r="I5" s="3"/>
      <c r="J5" s="3"/>
      <c r="K5" s="50">
        <f>((C5-U5)/U5)*100</f>
        <v>-9.9050000000000029</v>
      </c>
      <c r="L5" s="14">
        <v>77</v>
      </c>
      <c r="M5" s="38">
        <v>2894.8441558441559</v>
      </c>
      <c r="N5" s="40">
        <v>222903</v>
      </c>
      <c r="O5" s="10">
        <f>L5*C5</f>
        <v>208119.44999999998</v>
      </c>
      <c r="P5" s="3">
        <f>O5-N5</f>
        <v>-14783.550000000017</v>
      </c>
      <c r="Q5" s="178"/>
      <c r="R5" s="40">
        <v>243082.36824324325</v>
      </c>
      <c r="S5" s="14"/>
      <c r="T5" s="14">
        <v>3662</v>
      </c>
      <c r="U5" s="18">
        <v>3000</v>
      </c>
      <c r="V5" s="9"/>
      <c r="W5" s="9"/>
      <c r="X5" s="9"/>
      <c r="Y5" s="16"/>
      <c r="Z5" s="16"/>
      <c r="AA5" s="9"/>
      <c r="AB5" s="9"/>
      <c r="AC5" s="18"/>
      <c r="AD5" s="58"/>
      <c r="AE5">
        <f>L5</f>
        <v>77</v>
      </c>
      <c r="AF5">
        <v>0</v>
      </c>
      <c r="AG5">
        <v>45</v>
      </c>
      <c r="AH5">
        <v>32</v>
      </c>
      <c r="AI5">
        <v>0</v>
      </c>
      <c r="AJ5">
        <v>0</v>
      </c>
      <c r="AK5">
        <f>AF5+AG5+AH5+AI5+AJ5</f>
        <v>77</v>
      </c>
      <c r="AL5">
        <f>AK5-AE5</f>
        <v>0</v>
      </c>
    </row>
    <row r="6" spans="1:38" ht="58.15" hidden="1" customHeight="1">
      <c r="A6" s="3">
        <v>4</v>
      </c>
      <c r="B6" s="150" t="s">
        <v>472</v>
      </c>
      <c r="C6" s="159">
        <v>1581.3</v>
      </c>
      <c r="D6" s="127">
        <v>1.2135922330097099E-2</v>
      </c>
      <c r="E6" s="3">
        <v>191200</v>
      </c>
      <c r="F6" s="8"/>
      <c r="G6" s="8">
        <v>12.091317270600101</v>
      </c>
      <c r="H6" s="3" t="s">
        <v>268</v>
      </c>
      <c r="I6" s="3"/>
      <c r="J6" s="3"/>
      <c r="K6" s="50">
        <f>((C6-U6)/U6)*100</f>
        <v>-13.400876232201536</v>
      </c>
      <c r="L6" s="14">
        <v>111</v>
      </c>
      <c r="M6" s="38">
        <v>1080.8288288288288</v>
      </c>
      <c r="N6" s="40">
        <v>119972</v>
      </c>
      <c r="O6" s="14">
        <f>L6*C6</f>
        <v>175524.3</v>
      </c>
      <c r="P6" s="14">
        <f>O6-N6</f>
        <v>55552.299999999988</v>
      </c>
      <c r="Q6" s="178">
        <f>(P6/N6)*100</f>
        <v>46.304387690461098</v>
      </c>
      <c r="R6" s="40">
        <v>75658.952702702692</v>
      </c>
      <c r="S6" s="14"/>
      <c r="T6" s="14">
        <v>1666</v>
      </c>
      <c r="U6" s="18">
        <v>1826</v>
      </c>
      <c r="V6" s="9"/>
      <c r="W6" s="9"/>
      <c r="X6" s="9"/>
      <c r="Y6" s="16"/>
      <c r="Z6" s="16"/>
      <c r="AA6" s="9"/>
      <c r="AB6" s="9"/>
      <c r="AC6" s="18"/>
      <c r="AE6">
        <f>L6</f>
        <v>111</v>
      </c>
      <c r="AF6">
        <v>0</v>
      </c>
      <c r="AG6">
        <v>40</v>
      </c>
      <c r="AH6">
        <v>0</v>
      </c>
      <c r="AI6">
        <v>51</v>
      </c>
      <c r="AJ6">
        <v>20</v>
      </c>
      <c r="AK6">
        <f>AF6+AG6+AH6+AI6+AJ6</f>
        <v>111</v>
      </c>
      <c r="AL6">
        <f>AK6-AE6</f>
        <v>0</v>
      </c>
    </row>
    <row r="7" spans="1:38" hidden="1">
      <c r="A7" s="3">
        <v>96</v>
      </c>
      <c r="B7" s="194" t="s">
        <v>1028</v>
      </c>
      <c r="C7" s="14">
        <v>466.45</v>
      </c>
      <c r="D7" s="127">
        <v>8.2644628099173598</v>
      </c>
      <c r="E7" s="3">
        <v>216.8</v>
      </c>
      <c r="F7" s="8"/>
      <c r="G7" s="8">
        <v>4.4810644140244298</v>
      </c>
      <c r="H7" s="3" t="s">
        <v>44</v>
      </c>
      <c r="I7" s="3"/>
      <c r="J7" s="3"/>
      <c r="K7" s="34" t="e">
        <f>((C7-U7)/U7)*100</f>
        <v>#DIV/0!</v>
      </c>
      <c r="L7" s="14">
        <v>467</v>
      </c>
      <c r="M7" s="38">
        <v>478.4561027837259</v>
      </c>
      <c r="N7" s="40">
        <v>223439</v>
      </c>
      <c r="O7" s="10">
        <f>L7*C7</f>
        <v>217832.15</v>
      </c>
      <c r="P7" s="3">
        <f>O7-N7</f>
        <v>-5606.8500000000058</v>
      </c>
      <c r="Q7" s="3">
        <f>(P7/N7)*100</f>
        <v>-2.5093425946231438</v>
      </c>
      <c r="R7" s="14">
        <v>181239.62837837837</v>
      </c>
      <c r="S7" s="14"/>
      <c r="T7" s="14">
        <v>8072</v>
      </c>
      <c r="U7" s="18"/>
      <c r="V7" s="9"/>
      <c r="W7" s="9"/>
      <c r="X7" s="9"/>
      <c r="Y7" s="16"/>
      <c r="Z7" s="16"/>
      <c r="AA7" s="9"/>
      <c r="AB7" s="9"/>
      <c r="AE7">
        <f>L7</f>
        <v>467</v>
      </c>
      <c r="AF7">
        <v>0</v>
      </c>
      <c r="AG7">
        <v>122</v>
      </c>
      <c r="AH7">
        <v>305</v>
      </c>
      <c r="AI7">
        <v>0</v>
      </c>
      <c r="AJ7">
        <v>40</v>
      </c>
      <c r="AK7">
        <f>AF7+AG7+AH7+AI7+AJ7</f>
        <v>467</v>
      </c>
      <c r="AL7">
        <f>AK7-AE7</f>
        <v>0</v>
      </c>
    </row>
    <row r="8" spans="1:38" hidden="1">
      <c r="A8" s="3">
        <v>5</v>
      </c>
      <c r="B8" s="194" t="s">
        <v>803</v>
      </c>
      <c r="C8" s="14">
        <v>297.55</v>
      </c>
      <c r="D8" s="127">
        <v>55.641592920354</v>
      </c>
      <c r="E8" s="3">
        <v>13.3598409542744</v>
      </c>
      <c r="F8" s="8"/>
      <c r="G8" s="8">
        <v>2.2773038841233402</v>
      </c>
      <c r="H8" s="3" t="s">
        <v>268</v>
      </c>
      <c r="I8" s="3"/>
      <c r="J8" s="3"/>
      <c r="K8" s="34">
        <f>((C8-U8)/U8)*100</f>
        <v>8.1213662790697771</v>
      </c>
      <c r="L8" s="14">
        <v>242</v>
      </c>
      <c r="M8" s="38">
        <v>322.1694214876033</v>
      </c>
      <c r="N8" s="40">
        <v>77965</v>
      </c>
      <c r="O8" s="10">
        <f>L8*C8</f>
        <v>72007.100000000006</v>
      </c>
      <c r="P8" s="3">
        <f>O8-N8</f>
        <v>-5957.8999999999942</v>
      </c>
      <c r="Q8" s="3">
        <f>(P8/N8)*100</f>
        <v>-7.6417623292502972</v>
      </c>
      <c r="R8" s="40">
        <v>25744.013513513513</v>
      </c>
      <c r="S8" s="14"/>
      <c r="T8" s="14">
        <v>0</v>
      </c>
      <c r="U8" s="443">
        <v>275.2</v>
      </c>
      <c r="V8" s="9"/>
      <c r="W8" s="9"/>
      <c r="X8" s="9"/>
      <c r="Y8" s="16"/>
      <c r="Z8" s="16"/>
      <c r="AA8" s="9"/>
      <c r="AB8" s="9"/>
      <c r="AE8">
        <f>L8</f>
        <v>242</v>
      </c>
      <c r="AF8">
        <v>0</v>
      </c>
      <c r="AG8">
        <v>100</v>
      </c>
      <c r="AH8">
        <v>0</v>
      </c>
      <c r="AI8">
        <v>142</v>
      </c>
      <c r="AJ8">
        <v>0</v>
      </c>
      <c r="AK8">
        <f>AF8+AG8+AH8+AI8+AJ8</f>
        <v>242</v>
      </c>
      <c r="AL8">
        <f>AK8-AE8</f>
        <v>0</v>
      </c>
    </row>
    <row r="9" spans="1:38">
      <c r="A9" s="3">
        <v>6</v>
      </c>
      <c r="B9" s="150" t="s">
        <v>512</v>
      </c>
      <c r="C9" s="458">
        <v>2909.15</v>
      </c>
      <c r="D9" s="494">
        <v>6.9048033414549304</v>
      </c>
      <c r="E9" s="48">
        <v>213.63579080025201</v>
      </c>
      <c r="F9" s="495"/>
      <c r="G9" s="496">
        <v>1.2151662433352499</v>
      </c>
      <c r="H9" s="3" t="s">
        <v>44</v>
      </c>
      <c r="I9" s="3"/>
      <c r="J9" s="3"/>
      <c r="K9" s="497">
        <f>((C9-U9)/U9)*100</f>
        <v>21.214583333333337</v>
      </c>
      <c r="L9" s="498">
        <v>85</v>
      </c>
      <c r="M9" s="499">
        <v>2748.3764705882354</v>
      </c>
      <c r="N9" s="501">
        <v>233612</v>
      </c>
      <c r="O9" s="14">
        <f>L9*C9</f>
        <v>247277.75</v>
      </c>
      <c r="P9" s="14">
        <f>O9-N9</f>
        <v>13665.75</v>
      </c>
      <c r="Q9" s="178">
        <f>(P9/N9)*100</f>
        <v>5.8497637107682827</v>
      </c>
      <c r="R9" s="501">
        <v>196742.61486486485</v>
      </c>
      <c r="S9" s="503"/>
      <c r="T9" s="503">
        <v>5481</v>
      </c>
      <c r="U9" s="18">
        <v>2400</v>
      </c>
      <c r="V9" s="9"/>
      <c r="W9" s="9"/>
      <c r="X9" s="9"/>
      <c r="Y9" s="9"/>
      <c r="Z9" s="16"/>
      <c r="AA9" s="9"/>
      <c r="AB9" s="9"/>
      <c r="AC9" s="24">
        <v>2400</v>
      </c>
      <c r="AD9" s="57"/>
      <c r="AE9">
        <f>L9</f>
        <v>85</v>
      </c>
      <c r="AF9">
        <v>0</v>
      </c>
      <c r="AG9">
        <v>4</v>
      </c>
      <c r="AH9">
        <v>23</v>
      </c>
      <c r="AI9">
        <v>29</v>
      </c>
      <c r="AJ9">
        <v>18</v>
      </c>
      <c r="AK9">
        <f>AF9+AG9+AH9+AI9+AJ9</f>
        <v>74</v>
      </c>
      <c r="AL9">
        <f>AK9-AE9</f>
        <v>-11</v>
      </c>
    </row>
    <row r="10" spans="1:38" ht="14.65" hidden="1" customHeight="1">
      <c r="A10" s="3">
        <v>8</v>
      </c>
      <c r="B10" s="491" t="s">
        <v>9</v>
      </c>
      <c r="C10" s="210">
        <v>413.65</v>
      </c>
      <c r="D10" s="127">
        <v>14.545454545454501</v>
      </c>
      <c r="E10" s="3">
        <v>146.48750000000001</v>
      </c>
      <c r="F10" s="46"/>
      <c r="G10" s="8">
        <v>13.9751263732943</v>
      </c>
      <c r="H10" s="3" t="s">
        <v>165</v>
      </c>
      <c r="I10" s="3">
        <v>20</v>
      </c>
      <c r="J10" s="3" t="s">
        <v>232</v>
      </c>
      <c r="K10" s="34">
        <f>((C10-U10)/U10)*100</f>
        <v>69.528688524590152</v>
      </c>
      <c r="L10" s="10">
        <v>261</v>
      </c>
      <c r="M10" s="37">
        <v>149.36398467432952</v>
      </c>
      <c r="N10" s="41">
        <v>38984</v>
      </c>
      <c r="O10" s="10">
        <f>L10*C10</f>
        <v>107962.65</v>
      </c>
      <c r="P10" s="3">
        <f>O10-N10</f>
        <v>68978.649999999994</v>
      </c>
      <c r="Q10" s="3">
        <f>(P10/N10)*100</f>
        <v>176.94092448183869</v>
      </c>
      <c r="R10" s="41">
        <v>39200.020270270274</v>
      </c>
      <c r="S10" s="11"/>
      <c r="T10" s="11">
        <v>4885</v>
      </c>
      <c r="U10" s="9">
        <v>244</v>
      </c>
      <c r="V10" s="9"/>
      <c r="W10" s="9">
        <f>((C10-V10)/C10)*100</f>
        <v>100</v>
      </c>
      <c r="X10" s="9">
        <v>545.65</v>
      </c>
      <c r="Y10" s="9">
        <f>((C10-X10)/X10)*100</f>
        <v>-24.191331439567492</v>
      </c>
      <c r="Z10" s="16">
        <f>O10/E10</f>
        <v>737.00930113490904</v>
      </c>
      <c r="AA10" s="9" t="s">
        <v>64</v>
      </c>
      <c r="AB10" s="9">
        <v>40</v>
      </c>
      <c r="AC10" s="52"/>
      <c r="AD10" s="57"/>
      <c r="AE10">
        <f>L10</f>
        <v>261</v>
      </c>
      <c r="AF10">
        <v>0</v>
      </c>
      <c r="AG10">
        <v>134</v>
      </c>
      <c r="AH10">
        <v>127</v>
      </c>
      <c r="AI10">
        <v>0</v>
      </c>
      <c r="AJ10">
        <v>0</v>
      </c>
      <c r="AK10">
        <f>AF10+AG10+AH10+AI10+AJ10</f>
        <v>261</v>
      </c>
      <c r="AL10">
        <f>AK10-AE10</f>
        <v>0</v>
      </c>
    </row>
    <row r="11" spans="1:38" ht="14.65" hidden="1" customHeight="1">
      <c r="A11" s="3">
        <v>9</v>
      </c>
      <c r="B11" s="194" t="s">
        <v>671</v>
      </c>
      <c r="C11" s="159">
        <v>5977.8</v>
      </c>
      <c r="D11" s="127">
        <v>76.748850035271403</v>
      </c>
      <c r="E11" s="3">
        <v>6.4408067150290496</v>
      </c>
      <c r="F11" s="8">
        <v>0</v>
      </c>
      <c r="G11" s="8">
        <v>2.3497723372563</v>
      </c>
      <c r="H11" s="3" t="s">
        <v>44</v>
      </c>
      <c r="I11" s="3"/>
      <c r="J11" s="3"/>
      <c r="K11" s="34" t="e">
        <f>((C11-U11)/U11)*100</f>
        <v>#DIV/0!</v>
      </c>
      <c r="L11" s="14">
        <v>41</v>
      </c>
      <c r="M11" s="38">
        <v>6434.5853658536589</v>
      </c>
      <c r="N11" s="40">
        <v>263818</v>
      </c>
      <c r="O11" s="10">
        <f>L11*C11</f>
        <v>245089.80000000002</v>
      </c>
      <c r="P11" s="3">
        <f>O11-N11</f>
        <v>-18728.199999999983</v>
      </c>
      <c r="Q11" s="3">
        <f>(P11/N11)*100</f>
        <v>-7.0989090964225277</v>
      </c>
      <c r="R11" s="40">
        <v>171203.25000000003</v>
      </c>
      <c r="S11" s="14"/>
      <c r="T11" s="14">
        <v>6768</v>
      </c>
      <c r="U11" s="18"/>
      <c r="V11" s="9"/>
      <c r="W11" s="9"/>
      <c r="X11" s="9"/>
      <c r="Y11" s="16"/>
      <c r="Z11" s="16"/>
      <c r="AA11" s="9"/>
      <c r="AB11" s="9"/>
      <c r="AC11" s="18"/>
      <c r="AD11" s="58"/>
      <c r="AE11">
        <f>L11</f>
        <v>41</v>
      </c>
      <c r="AF11">
        <v>0</v>
      </c>
      <c r="AG11">
        <v>26</v>
      </c>
      <c r="AH11">
        <v>7</v>
      </c>
      <c r="AI11">
        <v>0</v>
      </c>
      <c r="AJ11">
        <v>8</v>
      </c>
      <c r="AK11">
        <f>AF11+AG11+AH11+AI11+AJ11</f>
        <v>41</v>
      </c>
      <c r="AL11">
        <f>AK11-AE11</f>
        <v>0</v>
      </c>
    </row>
    <row r="12" spans="1:38" hidden="1">
      <c r="A12" s="3">
        <v>10</v>
      </c>
      <c r="B12" s="450" t="s">
        <v>194</v>
      </c>
      <c r="C12" s="456">
        <v>1391.15</v>
      </c>
      <c r="D12" s="129">
        <v>3.16364591209494E-3</v>
      </c>
      <c r="E12" s="123">
        <v>5055000</v>
      </c>
      <c r="F12" s="124"/>
      <c r="G12" s="125">
        <v>22.847296941306599</v>
      </c>
      <c r="H12" s="19" t="s">
        <v>44</v>
      </c>
      <c r="I12" s="48"/>
      <c r="J12" s="3"/>
      <c r="K12" s="34">
        <f>((C12-U12)/U12)*100</f>
        <v>-92.19069271359605</v>
      </c>
      <c r="L12" s="14">
        <v>204</v>
      </c>
      <c r="M12" s="38">
        <v>1510.6372549019609</v>
      </c>
      <c r="N12" s="40">
        <v>308170</v>
      </c>
      <c r="O12" s="10">
        <f>L12*C12</f>
        <v>283794.60000000003</v>
      </c>
      <c r="P12" s="3">
        <f>O12-N12</f>
        <v>-24375.399999999965</v>
      </c>
      <c r="Q12" s="3">
        <f>(P12/N12)*100</f>
        <v>-7.9097251517019709</v>
      </c>
      <c r="R12" s="40">
        <v>218111.99324324325</v>
      </c>
      <c r="S12" s="14">
        <v>7218</v>
      </c>
      <c r="T12" s="14">
        <v>2303</v>
      </c>
      <c r="U12" s="485">
        <v>17814</v>
      </c>
      <c r="V12" s="9"/>
      <c r="W12" s="9"/>
      <c r="X12" s="9"/>
      <c r="Y12" s="9"/>
      <c r="Z12" s="16">
        <f>O12/E12</f>
        <v>5.6141364985163214E-2</v>
      </c>
      <c r="AA12" s="9" t="s">
        <v>65</v>
      </c>
      <c r="AB12" s="9">
        <v>30</v>
      </c>
      <c r="AC12" s="18">
        <v>6112.85</v>
      </c>
      <c r="AD12" s="59" t="s">
        <v>197</v>
      </c>
      <c r="AE12">
        <f>L12</f>
        <v>204</v>
      </c>
      <c r="AF12">
        <v>0</v>
      </c>
      <c r="AG12">
        <v>144</v>
      </c>
      <c r="AH12">
        <v>20</v>
      </c>
      <c r="AI12">
        <v>0</v>
      </c>
      <c r="AJ12">
        <v>40</v>
      </c>
      <c r="AK12">
        <f>AF12+AG12+AH12+AI12+AJ12</f>
        <v>204</v>
      </c>
      <c r="AL12">
        <f>AK12-AE12</f>
        <v>0</v>
      </c>
    </row>
    <row r="13" spans="1:38" hidden="1">
      <c r="A13" s="3">
        <v>95</v>
      </c>
      <c r="B13" s="194" t="s">
        <v>1216</v>
      </c>
      <c r="C13" s="14">
        <v>2560.9</v>
      </c>
      <c r="D13" s="127"/>
      <c r="E13" s="3"/>
      <c r="F13" s="8"/>
      <c r="G13" s="8"/>
      <c r="H13" s="3"/>
      <c r="I13" s="3"/>
      <c r="J13" s="3"/>
      <c r="K13" s="34"/>
      <c r="L13" s="14">
        <v>25</v>
      </c>
      <c r="M13" s="38">
        <v>2549.04</v>
      </c>
      <c r="N13" s="40">
        <v>63726</v>
      </c>
      <c r="O13" s="10">
        <f>L13*C13</f>
        <v>64022.5</v>
      </c>
      <c r="P13" s="3">
        <f>O13-N13</f>
        <v>296.5</v>
      </c>
      <c r="Q13" s="3">
        <f>(P13/N13)*100</f>
        <v>0.46527320089131596</v>
      </c>
      <c r="R13" s="14">
        <v>4521.1013513513517</v>
      </c>
      <c r="S13" s="14"/>
      <c r="T13" s="14">
        <v>0</v>
      </c>
      <c r="U13" s="9"/>
      <c r="V13" s="9"/>
      <c r="W13" s="9"/>
      <c r="X13" s="9"/>
      <c r="Y13" s="16"/>
      <c r="Z13" s="16"/>
      <c r="AA13" s="9"/>
      <c r="AB13" s="9"/>
      <c r="AE13">
        <f>L13</f>
        <v>25</v>
      </c>
      <c r="AF13">
        <v>0</v>
      </c>
      <c r="AG13">
        <v>25</v>
      </c>
      <c r="AH13">
        <v>0</v>
      </c>
      <c r="AI13">
        <v>0</v>
      </c>
      <c r="AJ13">
        <v>0</v>
      </c>
      <c r="AK13">
        <f>AF13+AG13+AH13+AI13+AJ13</f>
        <v>25</v>
      </c>
      <c r="AL13">
        <f>AK13-AE13</f>
        <v>0</v>
      </c>
    </row>
    <row r="14" spans="1:38" ht="14.65" hidden="1" customHeight="1">
      <c r="A14" s="3">
        <v>13</v>
      </c>
      <c r="B14" s="194" t="s">
        <v>743</v>
      </c>
      <c r="C14" s="14">
        <v>293.7</v>
      </c>
      <c r="D14" s="127">
        <v>3.63582618977239</v>
      </c>
      <c r="E14" s="3">
        <v>396.26016260162601</v>
      </c>
      <c r="F14" s="8"/>
      <c r="G14" s="8">
        <v>5.9821165567300696</v>
      </c>
      <c r="H14" s="3" t="s">
        <v>44</v>
      </c>
      <c r="I14" s="3"/>
      <c r="J14" s="3"/>
      <c r="K14" s="34">
        <f>((C14-U14)/U14)*100</f>
        <v>-26.644687546830514</v>
      </c>
      <c r="L14" s="14">
        <v>583</v>
      </c>
      <c r="M14" s="38">
        <v>362.75814751286447</v>
      </c>
      <c r="N14" s="40">
        <v>211488</v>
      </c>
      <c r="O14" s="10">
        <f>L14*C14</f>
        <v>171227.1</v>
      </c>
      <c r="P14" s="3">
        <f>O14-N14</f>
        <v>-40260.899999999994</v>
      </c>
      <c r="Q14" s="3">
        <f>(P14/N14)*100</f>
        <v>-19.036966636404902</v>
      </c>
      <c r="R14" s="40">
        <v>167349.69256756754</v>
      </c>
      <c r="S14" s="14"/>
      <c r="T14" s="14">
        <v>3417</v>
      </c>
      <c r="U14" s="9">
        <v>400.38</v>
      </c>
      <c r="V14" s="9"/>
      <c r="W14" s="9"/>
      <c r="X14" s="9"/>
      <c r="Y14" s="16"/>
      <c r="Z14" s="16"/>
      <c r="AA14" s="9"/>
      <c r="AB14" s="9"/>
      <c r="AE14">
        <f>L14</f>
        <v>583</v>
      </c>
      <c r="AF14">
        <v>0</v>
      </c>
      <c r="AG14">
        <v>259</v>
      </c>
      <c r="AH14">
        <v>204</v>
      </c>
      <c r="AI14">
        <v>0</v>
      </c>
      <c r="AJ14">
        <v>120</v>
      </c>
      <c r="AK14">
        <f>AF14+AG14+AH14+AI14+AJ14</f>
        <v>583</v>
      </c>
      <c r="AL14" s="216">
        <f>AK14-AE14</f>
        <v>0</v>
      </c>
    </row>
    <row r="15" spans="1:38" hidden="1">
      <c r="A15" s="3">
        <v>14</v>
      </c>
      <c r="B15" s="194" t="s">
        <v>969</v>
      </c>
      <c r="C15" s="159">
        <v>1071.5</v>
      </c>
      <c r="D15" s="127">
        <v>3.0947775628626699</v>
      </c>
      <c r="E15" s="3">
        <v>547.5</v>
      </c>
      <c r="F15" s="8"/>
      <c r="G15" s="8">
        <v>1.5354129742353899</v>
      </c>
      <c r="H15" s="3" t="s">
        <v>165</v>
      </c>
      <c r="I15" s="3"/>
      <c r="J15" s="3"/>
      <c r="K15" s="50">
        <f>((C15-U15)/U15)*100</f>
        <v>-14.96031746031746</v>
      </c>
      <c r="L15" s="14">
        <v>142</v>
      </c>
      <c r="M15" s="38">
        <v>1367.7394366197184</v>
      </c>
      <c r="N15" s="40">
        <v>194219</v>
      </c>
      <c r="O15" s="10">
        <f>L15*C15</f>
        <v>152153</v>
      </c>
      <c r="P15" s="3">
        <f>O15-N15</f>
        <v>-42066</v>
      </c>
      <c r="Q15" s="3">
        <f>(P15/N15)*100</f>
        <v>-21.65905498432182</v>
      </c>
      <c r="R15" s="40">
        <v>148811.14527027024</v>
      </c>
      <c r="S15" s="14"/>
      <c r="T15" s="14">
        <v>2419</v>
      </c>
      <c r="U15" s="227">
        <v>1260</v>
      </c>
      <c r="V15" s="9"/>
      <c r="W15" s="9"/>
      <c r="X15" s="9"/>
      <c r="Y15" s="16"/>
      <c r="Z15" s="16"/>
      <c r="AA15" s="9"/>
      <c r="AB15" s="9"/>
      <c r="AE15">
        <f>L15</f>
        <v>142</v>
      </c>
      <c r="AF15">
        <v>0</v>
      </c>
      <c r="AG15">
        <v>43</v>
      </c>
      <c r="AH15">
        <v>50</v>
      </c>
      <c r="AI15">
        <v>0</v>
      </c>
      <c r="AJ15">
        <v>49</v>
      </c>
      <c r="AK15">
        <f>AF15+AG15+AH15+AI15+AJ15</f>
        <v>142</v>
      </c>
      <c r="AL15" s="216">
        <f>AK15-AE15</f>
        <v>0</v>
      </c>
    </row>
    <row r="16" spans="1:38" ht="29.15" hidden="1" customHeight="1">
      <c r="A16" s="3">
        <v>96</v>
      </c>
      <c r="B16" s="194" t="s">
        <v>1172</v>
      </c>
      <c r="C16" s="14">
        <v>2273.85</v>
      </c>
      <c r="D16" s="127">
        <v>7.3394495412843996</v>
      </c>
      <c r="E16" s="3">
        <v>374.444444444444</v>
      </c>
      <c r="F16" s="8">
        <v>0</v>
      </c>
      <c r="G16" s="8">
        <v>2.4202767207340501</v>
      </c>
      <c r="H16" s="3" t="s">
        <v>44</v>
      </c>
      <c r="I16" s="3"/>
      <c r="J16" s="3"/>
      <c r="K16" s="34" t="e">
        <f>((C16-U16)/U16)*100</f>
        <v>#DIV/0!</v>
      </c>
      <c r="L16" s="14">
        <v>53</v>
      </c>
      <c r="M16" s="38">
        <v>2258.0754716981132</v>
      </c>
      <c r="N16" s="40">
        <v>119678</v>
      </c>
      <c r="O16" s="10">
        <f>L16*C16</f>
        <v>120514.04999999999</v>
      </c>
      <c r="P16" s="3">
        <f>O16-N16</f>
        <v>836.04999999998836</v>
      </c>
      <c r="Q16" s="3">
        <f>(P16/N16)*100</f>
        <v>0.69858286401843983</v>
      </c>
      <c r="R16" s="14">
        <v>24555.60135135135</v>
      </c>
      <c r="S16" s="14"/>
      <c r="T16" s="14">
        <v>0</v>
      </c>
      <c r="U16" s="9"/>
      <c r="V16" s="9"/>
      <c r="W16" s="9"/>
      <c r="X16" s="9"/>
      <c r="Y16" s="9" t="e">
        <f>((C16-X16)/X16)*100</f>
        <v>#DIV/0!</v>
      </c>
      <c r="Z16" s="16"/>
      <c r="AA16" s="9"/>
      <c r="AB16" s="9"/>
      <c r="AE16">
        <f>L16</f>
        <v>53</v>
      </c>
      <c r="AF16">
        <v>0</v>
      </c>
      <c r="AG16">
        <v>50</v>
      </c>
      <c r="AH16">
        <v>0</v>
      </c>
      <c r="AI16">
        <v>0</v>
      </c>
      <c r="AJ16">
        <v>3</v>
      </c>
      <c r="AK16">
        <f>AF16+AG16+AH16+AI16+AJ16</f>
        <v>53</v>
      </c>
      <c r="AL16">
        <f>AK16-AE16</f>
        <v>0</v>
      </c>
    </row>
    <row r="17" spans="1:38" ht="14.65" hidden="1" customHeight="1">
      <c r="A17" s="3">
        <v>15</v>
      </c>
      <c r="B17" s="492" t="s">
        <v>12</v>
      </c>
      <c r="C17" s="3">
        <v>712.6</v>
      </c>
      <c r="D17" s="127">
        <v>0.115207373271889</v>
      </c>
      <c r="E17" s="3">
        <v>15360</v>
      </c>
      <c r="F17" s="46">
        <v>0</v>
      </c>
      <c r="G17" s="8">
        <v>5.5139646101811701</v>
      </c>
      <c r="H17" s="3" t="s">
        <v>44</v>
      </c>
      <c r="I17" s="3">
        <v>25</v>
      </c>
      <c r="J17" s="3"/>
      <c r="K17" s="34">
        <f>((C17-U17)/U17)*100</f>
        <v>137.53333333333336</v>
      </c>
      <c r="L17" s="10">
        <v>342</v>
      </c>
      <c r="M17" s="37">
        <v>656.15789473684208</v>
      </c>
      <c r="N17" s="41">
        <v>224406</v>
      </c>
      <c r="O17" s="10">
        <f>L17*C17</f>
        <v>243709.2</v>
      </c>
      <c r="P17" s="3">
        <f>O17-N17</f>
        <v>19303.200000000012</v>
      </c>
      <c r="Q17" s="3">
        <f>(P17/N17)*100</f>
        <v>8.6019090398652498</v>
      </c>
      <c r="R17" s="41">
        <v>205617.95945945947</v>
      </c>
      <c r="S17" s="11"/>
      <c r="T17" s="11">
        <v>8011</v>
      </c>
      <c r="U17" s="18">
        <v>300</v>
      </c>
      <c r="V17" s="9"/>
      <c r="W17" s="9">
        <f>((C17-V17)/C17)*100</f>
        <v>100</v>
      </c>
      <c r="X17" s="9">
        <v>600</v>
      </c>
      <c r="Y17" s="9">
        <f>((C17-X17)/X17)*100</f>
        <v>18.766666666666669</v>
      </c>
      <c r="Z17" s="16">
        <f>O17/E17</f>
        <v>15.866484375000001</v>
      </c>
      <c r="AA17" s="9"/>
      <c r="AB17" s="9">
        <v>30</v>
      </c>
      <c r="AC17" s="44">
        <v>403.7</v>
      </c>
      <c r="AD17" s="57">
        <v>42794</v>
      </c>
      <c r="AE17">
        <f>L17</f>
        <v>342</v>
      </c>
      <c r="AF17">
        <v>0</v>
      </c>
      <c r="AG17">
        <v>249</v>
      </c>
      <c r="AH17">
        <v>0</v>
      </c>
      <c r="AI17">
        <v>89</v>
      </c>
      <c r="AJ17">
        <v>4</v>
      </c>
      <c r="AK17">
        <f>AF17+AG17+AH17+AI17+AJ17</f>
        <v>342</v>
      </c>
      <c r="AL17">
        <f>AK17-AE17</f>
        <v>0</v>
      </c>
    </row>
    <row r="18" spans="1:38" ht="14.65" hidden="1" customHeight="1">
      <c r="A18" s="3">
        <v>16</v>
      </c>
      <c r="B18" s="470" t="s">
        <v>783</v>
      </c>
      <c r="C18" s="159">
        <v>465.05</v>
      </c>
      <c r="D18" s="127">
        <v>3.37571240683911</v>
      </c>
      <c r="E18" s="3">
        <v>125.454545454545</v>
      </c>
      <c r="F18" s="8">
        <v>0</v>
      </c>
      <c r="G18" s="8">
        <v>-5.1381508255458899</v>
      </c>
      <c r="H18" s="3" t="s">
        <v>268</v>
      </c>
      <c r="I18" s="3"/>
      <c r="J18" s="3"/>
      <c r="K18" s="34">
        <f>((C18-U18)/U18)*100</f>
        <v>-6.9899999999999975</v>
      </c>
      <c r="L18" s="14">
        <v>316</v>
      </c>
      <c r="M18" s="38">
        <v>1163.3101265822784</v>
      </c>
      <c r="N18" s="40">
        <v>367606</v>
      </c>
      <c r="O18" s="10">
        <f>L18*C18</f>
        <v>146955.80000000002</v>
      </c>
      <c r="P18" s="3">
        <f>O18-N18</f>
        <v>-220650.19999999998</v>
      </c>
      <c r="Q18" s="3">
        <f>(P18/N18)*100</f>
        <v>-60.023557830938557</v>
      </c>
      <c r="R18" s="40">
        <v>398137.25675675675</v>
      </c>
      <c r="S18" s="14"/>
      <c r="T18" s="14">
        <v>2166</v>
      </c>
      <c r="U18" s="9">
        <v>500</v>
      </c>
      <c r="V18" s="9"/>
      <c r="W18" s="9"/>
      <c r="X18" s="9"/>
      <c r="Y18" s="16"/>
      <c r="Z18" s="16"/>
      <c r="AA18" s="9"/>
      <c r="AB18" s="9"/>
      <c r="AE18">
        <f>L18</f>
        <v>316</v>
      </c>
      <c r="AF18">
        <v>0</v>
      </c>
      <c r="AG18">
        <v>105</v>
      </c>
      <c r="AH18">
        <v>116</v>
      </c>
      <c r="AI18">
        <v>50</v>
      </c>
      <c r="AJ18">
        <v>45</v>
      </c>
      <c r="AK18">
        <f>AF18+AG18+AH18+AI18+AJ18</f>
        <v>316</v>
      </c>
      <c r="AL18">
        <f>AK18-AE18</f>
        <v>0</v>
      </c>
    </row>
    <row r="19" spans="1:38" hidden="1">
      <c r="A19" s="3">
        <v>97</v>
      </c>
      <c r="B19" s="194" t="s">
        <v>1175</v>
      </c>
      <c r="C19" s="14">
        <v>1077.6500000000001</v>
      </c>
      <c r="D19" s="127">
        <v>0.21598272138228899</v>
      </c>
      <c r="E19" s="3">
        <v>9773.3333333333303</v>
      </c>
      <c r="F19" s="8">
        <v>0</v>
      </c>
      <c r="G19" s="8">
        <v>2.6035945535632101</v>
      </c>
      <c r="H19" s="3" t="s">
        <v>44</v>
      </c>
      <c r="I19" s="3"/>
      <c r="J19" s="3"/>
      <c r="K19" s="34" t="e">
        <f>((C19-U19)/U19)*100</f>
        <v>#DIV/0!</v>
      </c>
      <c r="L19" s="14">
        <v>123</v>
      </c>
      <c r="M19" s="38">
        <v>1190.8699186991869</v>
      </c>
      <c r="N19" s="40">
        <v>146477</v>
      </c>
      <c r="O19" s="10">
        <f>L19*C19</f>
        <v>132550.95000000001</v>
      </c>
      <c r="P19" s="3">
        <f>O19-N19</f>
        <v>-13926.049999999988</v>
      </c>
      <c r="Q19" s="3">
        <f>(P19/N19)*100</f>
        <v>-9.5073287956470907</v>
      </c>
      <c r="R19" s="14">
        <v>28663.702702702703</v>
      </c>
      <c r="S19" s="14"/>
      <c r="T19" s="14">
        <v>0</v>
      </c>
      <c r="U19" s="9"/>
      <c r="V19" s="9"/>
      <c r="W19" s="9"/>
      <c r="X19" s="9"/>
      <c r="Y19" s="9" t="e">
        <f>((C19-X19)/X19)*100</f>
        <v>#DIV/0!</v>
      </c>
      <c r="Z19" s="16"/>
      <c r="AA19" s="9"/>
      <c r="AB19" s="9"/>
      <c r="AE19">
        <f>L19</f>
        <v>123</v>
      </c>
      <c r="AF19">
        <v>0</v>
      </c>
      <c r="AG19">
        <v>123</v>
      </c>
      <c r="AH19">
        <v>0</v>
      </c>
      <c r="AI19">
        <v>0</v>
      </c>
      <c r="AJ19">
        <v>0</v>
      </c>
      <c r="AK19">
        <f>AF19+AG19+AH19+AI19+AJ19</f>
        <v>123</v>
      </c>
      <c r="AL19">
        <f>AK19-AE19</f>
        <v>0</v>
      </c>
    </row>
    <row r="20" spans="1:38" ht="58" hidden="1">
      <c r="A20" s="3">
        <v>17</v>
      </c>
      <c r="B20" s="468" t="s">
        <v>13</v>
      </c>
      <c r="C20" s="457">
        <v>1157</v>
      </c>
      <c r="D20" s="129">
        <v>1.48514851485149</v>
      </c>
      <c r="E20" s="123">
        <v>1073.3333333333301</v>
      </c>
      <c r="F20" s="124">
        <v>0</v>
      </c>
      <c r="G20" s="125">
        <v>12.9107410354401</v>
      </c>
      <c r="H20" s="123" t="s">
        <v>44</v>
      </c>
      <c r="I20" s="48">
        <v>1191</v>
      </c>
      <c r="J20" s="48" t="s">
        <v>237</v>
      </c>
      <c r="K20" s="497">
        <f>((C20-U20)/U20)*100</f>
        <v>-17.357142857142858</v>
      </c>
      <c r="L20" s="498">
        <v>131</v>
      </c>
      <c r="M20" s="499">
        <v>1088.2977099236641</v>
      </c>
      <c r="N20" s="501">
        <v>142567</v>
      </c>
      <c r="O20" s="10">
        <f>L20*C20</f>
        <v>151567</v>
      </c>
      <c r="P20" s="3">
        <f>O20-N20</f>
        <v>9000</v>
      </c>
      <c r="Q20" s="3">
        <f>(P20/N20)*100</f>
        <v>6.3128213401418272</v>
      </c>
      <c r="R20" s="501">
        <v>123046.50337837837</v>
      </c>
      <c r="S20" s="12"/>
      <c r="T20" s="3">
        <v>7410</v>
      </c>
      <c r="U20" s="34">
        <v>1400</v>
      </c>
      <c r="V20" s="9"/>
      <c r="W20" s="9">
        <f>((C20-V20)/C20)*100</f>
        <v>100</v>
      </c>
      <c r="X20" s="9"/>
      <c r="Y20" s="9" t="e">
        <f>((C20-X20)/X20)*100</f>
        <v>#DIV/0!</v>
      </c>
      <c r="Z20" s="16">
        <f>O20/E20</f>
        <v>141.21149068323024</v>
      </c>
      <c r="AA20" s="9" t="s">
        <v>61</v>
      </c>
      <c r="AB20" s="9">
        <v>100</v>
      </c>
      <c r="AC20" s="44"/>
      <c r="AD20" s="57"/>
      <c r="AE20">
        <f>L20</f>
        <v>131</v>
      </c>
      <c r="AF20">
        <v>0</v>
      </c>
      <c r="AG20">
        <v>74</v>
      </c>
      <c r="AH20">
        <v>20</v>
      </c>
      <c r="AI20">
        <v>37</v>
      </c>
      <c r="AJ20">
        <v>0</v>
      </c>
      <c r="AK20">
        <f>AF20+AG20+AH20+AI20+AJ20</f>
        <v>131</v>
      </c>
      <c r="AL20">
        <f>AK20-AE20</f>
        <v>0</v>
      </c>
    </row>
    <row r="21" spans="1:38" hidden="1">
      <c r="A21" s="3">
        <v>98</v>
      </c>
      <c r="B21" s="3" t="s">
        <v>1176</v>
      </c>
      <c r="C21" s="14">
        <v>711.7</v>
      </c>
      <c r="D21" s="127">
        <v>84.697767289889299</v>
      </c>
      <c r="E21" s="3">
        <v>2.9225183429565602</v>
      </c>
      <c r="F21" s="8">
        <v>0</v>
      </c>
      <c r="G21" s="8">
        <v>3.9662443817069701</v>
      </c>
      <c r="H21" s="3" t="s">
        <v>44</v>
      </c>
      <c r="I21" s="3"/>
      <c r="J21" s="3"/>
      <c r="K21" s="34"/>
      <c r="L21" s="14">
        <v>240</v>
      </c>
      <c r="M21" s="38">
        <v>718.05416666666667</v>
      </c>
      <c r="N21" s="40">
        <v>172333</v>
      </c>
      <c r="O21" s="10">
        <f>L21*C21</f>
        <v>170808</v>
      </c>
      <c r="P21" s="3">
        <f>O21-N21</f>
        <v>-1525</v>
      </c>
      <c r="Q21" s="3">
        <f>(P21/N21)*100</f>
        <v>-0.88491467101483767</v>
      </c>
      <c r="R21" s="14">
        <v>25072.658783783783</v>
      </c>
      <c r="S21" s="14"/>
      <c r="T21" s="14">
        <v>0</v>
      </c>
      <c r="U21" s="18"/>
      <c r="V21" s="9"/>
      <c r="W21" s="9"/>
      <c r="X21" s="9"/>
      <c r="Y21" s="9" t="e">
        <f>((C21-X21)/X21)*100</f>
        <v>#DIV/0!</v>
      </c>
      <c r="Z21" s="16"/>
      <c r="AA21" s="9"/>
      <c r="AB21" s="9"/>
      <c r="AE21">
        <f>L21</f>
        <v>240</v>
      </c>
      <c r="AF21">
        <v>0</v>
      </c>
      <c r="AG21">
        <v>230</v>
      </c>
      <c r="AH21">
        <v>10</v>
      </c>
      <c r="AI21">
        <v>0</v>
      </c>
      <c r="AJ21">
        <v>0</v>
      </c>
      <c r="AK21">
        <f>AF21+AG21+AH21+AI21+AJ21</f>
        <v>240</v>
      </c>
      <c r="AL21">
        <f>AK21-AE21</f>
        <v>0</v>
      </c>
    </row>
    <row r="22" spans="1:38" hidden="1">
      <c r="A22" s="3">
        <v>19</v>
      </c>
      <c r="B22" s="9" t="s">
        <v>771</v>
      </c>
      <c r="C22" s="14">
        <v>825.75</v>
      </c>
      <c r="D22" s="127">
        <v>0.10638297872340401</v>
      </c>
      <c r="E22" s="3">
        <v>24494</v>
      </c>
      <c r="F22" s="8"/>
      <c r="G22" s="8">
        <v>5.58542910700137</v>
      </c>
      <c r="H22" s="3" t="s">
        <v>268</v>
      </c>
      <c r="I22" s="3"/>
      <c r="J22" s="3"/>
      <c r="K22" s="34">
        <f>((C22-U22)/U22)*100</f>
        <v>3.6072772898368881</v>
      </c>
      <c r="L22" s="14">
        <v>239</v>
      </c>
      <c r="M22" s="38">
        <v>337.61506276150629</v>
      </c>
      <c r="N22" s="40">
        <v>80690</v>
      </c>
      <c r="O22" s="10">
        <f>L22*C22</f>
        <v>197354.25</v>
      </c>
      <c r="P22" s="3">
        <f>O22-N22</f>
        <v>116664.25</v>
      </c>
      <c r="Q22" s="3">
        <f>(P22/N22)*100</f>
        <v>144.58328169537737</v>
      </c>
      <c r="R22" s="40">
        <v>100751.52702702703</v>
      </c>
      <c r="S22" s="14"/>
      <c r="T22" s="14">
        <v>37183</v>
      </c>
      <c r="U22" s="18">
        <v>797</v>
      </c>
      <c r="V22" s="9"/>
      <c r="W22" s="9"/>
      <c r="X22" s="9"/>
      <c r="Y22" s="16"/>
      <c r="Z22" s="16"/>
      <c r="AA22" s="9"/>
      <c r="AB22" s="9"/>
      <c r="AC22" s="18"/>
      <c r="AD22" s="58"/>
      <c r="AE22">
        <f>L22</f>
        <v>239</v>
      </c>
      <c r="AF22">
        <v>0</v>
      </c>
      <c r="AG22">
        <v>0</v>
      </c>
      <c r="AH22">
        <v>0</v>
      </c>
      <c r="AI22">
        <v>45</v>
      </c>
      <c r="AJ22">
        <v>194</v>
      </c>
      <c r="AK22">
        <f>AF22+AG22+AH22+AI22+AJ22</f>
        <v>239</v>
      </c>
      <c r="AL22">
        <f>AK22-AE22</f>
        <v>0</v>
      </c>
    </row>
    <row r="23" spans="1:38" ht="14.65" hidden="1" customHeight="1">
      <c r="A23" s="3">
        <v>21</v>
      </c>
      <c r="B23" s="3" t="s">
        <v>483</v>
      </c>
      <c r="C23" s="159">
        <v>1030.0999999999999</v>
      </c>
      <c r="D23" s="127">
        <v>6.1728395061728399E-2</v>
      </c>
      <c r="E23" s="3">
        <v>41260</v>
      </c>
      <c r="F23" s="8">
        <v>0</v>
      </c>
      <c r="G23" s="8">
        <v>13.3305929036016</v>
      </c>
      <c r="H23" s="3" t="s">
        <v>268</v>
      </c>
      <c r="I23" s="3"/>
      <c r="J23" s="3"/>
      <c r="K23" s="34">
        <f>((C23-U23)/U23)*100</f>
        <v>-19.476255618526487</v>
      </c>
      <c r="L23" s="14">
        <v>169</v>
      </c>
      <c r="M23" s="38">
        <v>447.90532544378698</v>
      </c>
      <c r="N23" s="40">
        <v>75696</v>
      </c>
      <c r="O23" s="14">
        <f>L23*C23</f>
        <v>174086.9</v>
      </c>
      <c r="P23" s="14">
        <f>O23-N23</f>
        <v>98390.9</v>
      </c>
      <c r="Q23" s="178">
        <f>(P23/N23)*100</f>
        <v>129.98163707461424</v>
      </c>
      <c r="R23" s="40">
        <v>80991.16891891892</v>
      </c>
      <c r="S23" s="14"/>
      <c r="T23" s="14">
        <v>40649</v>
      </c>
      <c r="U23" s="9">
        <v>1279.25</v>
      </c>
      <c r="V23" s="9"/>
      <c r="W23" s="9"/>
      <c r="X23" s="9"/>
      <c r="Y23" s="16"/>
      <c r="Z23" s="16"/>
      <c r="AA23" s="9"/>
      <c r="AB23" s="9"/>
      <c r="AC23" s="18"/>
      <c r="AD23" s="58"/>
      <c r="AE23">
        <f>L23</f>
        <v>169</v>
      </c>
      <c r="AF23">
        <v>0</v>
      </c>
      <c r="AG23">
        <v>14</v>
      </c>
      <c r="AH23">
        <v>0</v>
      </c>
      <c r="AI23">
        <v>65</v>
      </c>
      <c r="AJ23">
        <v>90</v>
      </c>
      <c r="AK23">
        <f>AF23+AG23+AH23+AI23+AJ23</f>
        <v>169</v>
      </c>
      <c r="AL23">
        <f>AK23-AE23</f>
        <v>0</v>
      </c>
    </row>
    <row r="24" spans="1:38" hidden="1">
      <c r="A24" s="3">
        <v>22</v>
      </c>
      <c r="B24" s="448" t="s">
        <v>668</v>
      </c>
      <c r="C24" s="159">
        <v>3351.7</v>
      </c>
      <c r="D24" s="127">
        <v>2.9906542056074799E-2</v>
      </c>
      <c r="E24" s="3">
        <v>83685</v>
      </c>
      <c r="F24" s="8">
        <v>0</v>
      </c>
      <c r="G24" s="8">
        <v>3.7624475372708499</v>
      </c>
      <c r="H24" s="3" t="s">
        <v>44</v>
      </c>
      <c r="I24" s="3"/>
      <c r="J24" s="3"/>
      <c r="K24" s="34" t="e">
        <f>((C24-U24)/U24)*100</f>
        <v>#DIV/0!</v>
      </c>
      <c r="L24" s="14">
        <v>56</v>
      </c>
      <c r="M24" s="38">
        <v>4032.4464285714284</v>
      </c>
      <c r="N24" s="40">
        <v>225817</v>
      </c>
      <c r="O24" s="10">
        <f>L24*C24</f>
        <v>187695.19999999998</v>
      </c>
      <c r="P24" s="3">
        <f>O24-N24</f>
        <v>-38121.800000000017</v>
      </c>
      <c r="Q24" s="3">
        <f>(P24/N24)*100</f>
        <v>-16.881722810948695</v>
      </c>
      <c r="R24" s="40">
        <v>187435.99662162163</v>
      </c>
      <c r="S24" s="14"/>
      <c r="T24" s="14">
        <v>3230</v>
      </c>
      <c r="U24" s="18"/>
      <c r="V24" s="9"/>
      <c r="W24" s="9"/>
      <c r="X24" s="9"/>
      <c r="Y24" s="16"/>
      <c r="Z24" s="16"/>
      <c r="AA24" s="9"/>
      <c r="AB24" s="9"/>
      <c r="AC24" s="18"/>
      <c r="AD24" s="58"/>
      <c r="AE24">
        <f>L24</f>
        <v>56</v>
      </c>
      <c r="AF24">
        <v>0</v>
      </c>
      <c r="AG24">
        <v>33</v>
      </c>
      <c r="AH24">
        <v>20</v>
      </c>
      <c r="AI24">
        <v>0</v>
      </c>
      <c r="AJ24">
        <v>3</v>
      </c>
      <c r="AK24">
        <f>AF24+AG24+AH24+AI24+AJ24</f>
        <v>56</v>
      </c>
      <c r="AL24">
        <f>AK24-AE24</f>
        <v>0</v>
      </c>
    </row>
    <row r="25" spans="1:38" ht="14.65" hidden="1" customHeight="1">
      <c r="A25" s="3">
        <v>95</v>
      </c>
      <c r="B25" s="476" t="s">
        <v>1218</v>
      </c>
      <c r="C25" s="481">
        <v>3626.55</v>
      </c>
      <c r="D25" s="478"/>
      <c r="E25" s="398"/>
      <c r="F25" s="479"/>
      <c r="G25" s="479"/>
      <c r="H25" s="398"/>
      <c r="I25" s="398"/>
      <c r="J25" s="398"/>
      <c r="K25" s="480"/>
      <c r="L25" s="481">
        <v>36</v>
      </c>
      <c r="M25" s="482">
        <v>3816.9444444444443</v>
      </c>
      <c r="N25" s="483">
        <v>137410</v>
      </c>
      <c r="O25" s="10">
        <f>L25*C25</f>
        <v>130555.8</v>
      </c>
      <c r="P25" s="3">
        <f>O25-N25</f>
        <v>-6854.1999999999971</v>
      </c>
      <c r="Q25" s="398">
        <f>(P25/N25)*100</f>
        <v>-4.988137690124443</v>
      </c>
      <c r="R25" s="481">
        <v>9062.0675675675684</v>
      </c>
      <c r="S25" s="481"/>
      <c r="T25" s="481">
        <v>0</v>
      </c>
      <c r="U25" s="13"/>
      <c r="V25" s="13"/>
      <c r="W25" s="13"/>
      <c r="X25" s="13"/>
      <c r="Y25" s="55"/>
      <c r="Z25" s="55"/>
      <c r="AA25" s="13"/>
      <c r="AB25" s="13"/>
      <c r="AE25">
        <f>L25</f>
        <v>36</v>
      </c>
      <c r="AF25">
        <v>0</v>
      </c>
      <c r="AG25">
        <v>32</v>
      </c>
      <c r="AH25">
        <v>4</v>
      </c>
      <c r="AI25">
        <v>0</v>
      </c>
      <c r="AJ25">
        <v>0</v>
      </c>
      <c r="AK25">
        <f>AF25+AG25+AH25+AI25+AJ25</f>
        <v>36</v>
      </c>
      <c r="AL25">
        <f>AK25-AE25</f>
        <v>0</v>
      </c>
    </row>
    <row r="26" spans="1:38" ht="14.65" hidden="1" customHeight="1">
      <c r="A26" s="3">
        <v>23</v>
      </c>
      <c r="B26" s="9" t="s">
        <v>665</v>
      </c>
      <c r="C26" s="159">
        <v>2172.25</v>
      </c>
      <c r="D26" s="127">
        <v>16.744581385465398</v>
      </c>
      <c r="E26" s="3">
        <v>69.441624365482198</v>
      </c>
      <c r="F26" s="8">
        <v>0</v>
      </c>
      <c r="G26" s="8">
        <v>1.5111753262330001</v>
      </c>
      <c r="H26" s="3" t="s">
        <v>268</v>
      </c>
      <c r="I26" s="398"/>
      <c r="J26" s="3"/>
      <c r="K26" s="34">
        <f>((C26-U26)/U26)*100</f>
        <v>-9.4895833333333339</v>
      </c>
      <c r="L26" s="14">
        <v>66</v>
      </c>
      <c r="M26" s="38">
        <v>3259.3939393939395</v>
      </c>
      <c r="N26" s="40">
        <v>215120</v>
      </c>
      <c r="O26" s="10">
        <f>L26*C26</f>
        <v>143368.5</v>
      </c>
      <c r="P26" s="3">
        <f>O26-N26</f>
        <v>-71751.5</v>
      </c>
      <c r="Q26" s="3">
        <f>(P26/N26)*100</f>
        <v>-33.354174414280401</v>
      </c>
      <c r="R26" s="40">
        <v>256684.27027027027</v>
      </c>
      <c r="S26" s="14"/>
      <c r="T26" s="14">
        <v>11058</v>
      </c>
      <c r="U26" s="9">
        <v>2400</v>
      </c>
      <c r="V26" s="9"/>
      <c r="W26" s="9"/>
      <c r="X26" s="9"/>
      <c r="Y26" s="16"/>
      <c r="Z26" s="16"/>
      <c r="AA26" s="9"/>
      <c r="AB26" s="9"/>
      <c r="AC26" s="9"/>
      <c r="AD26" s="265"/>
      <c r="AE26">
        <f>L26</f>
        <v>66</v>
      </c>
      <c r="AF26">
        <v>0</v>
      </c>
      <c r="AG26">
        <v>54</v>
      </c>
      <c r="AH26">
        <v>0</v>
      </c>
      <c r="AI26">
        <v>0</v>
      </c>
      <c r="AJ26">
        <v>12</v>
      </c>
      <c r="AK26">
        <f>AF26+AG26+AH26+AI26+AJ26</f>
        <v>66</v>
      </c>
      <c r="AL26">
        <f>AK26-AE26</f>
        <v>0</v>
      </c>
    </row>
    <row r="27" spans="1:38" hidden="1">
      <c r="A27" s="3">
        <v>25</v>
      </c>
      <c r="B27" s="493" t="s">
        <v>424</v>
      </c>
      <c r="C27" s="19">
        <v>128.94999999999999</v>
      </c>
      <c r="D27" s="128">
        <v>44.747899159663902</v>
      </c>
      <c r="E27" s="19">
        <v>21.656338028168999</v>
      </c>
      <c r="F27" s="47">
        <v>9.36</v>
      </c>
      <c r="G27" s="20">
        <v>12.882288552543301</v>
      </c>
      <c r="H27" s="19" t="s">
        <v>165</v>
      </c>
      <c r="I27" s="19">
        <v>220</v>
      </c>
      <c r="J27" s="19"/>
      <c r="K27" s="50">
        <f>((C27-U27)/U27)*100</f>
        <v>-19.406250000000007</v>
      </c>
      <c r="L27" s="51">
        <v>45</v>
      </c>
      <c r="M27" s="500">
        <v>143.64444444444445</v>
      </c>
      <c r="N27" s="502">
        <v>6464</v>
      </c>
      <c r="O27" s="10">
        <f>L27*C27</f>
        <v>5802.7499999999991</v>
      </c>
      <c r="P27" s="3">
        <f>O27-N27</f>
        <v>-661.25000000000091</v>
      </c>
      <c r="Q27" s="3">
        <f>(P27/N27)*100</f>
        <v>-10.229733910891103</v>
      </c>
      <c r="R27" s="502">
        <v>19358.027027027027</v>
      </c>
      <c r="S27" s="12"/>
      <c r="T27" s="12">
        <v>0</v>
      </c>
      <c r="U27" s="18">
        <v>160</v>
      </c>
      <c r="V27" s="9"/>
      <c r="W27" s="9">
        <f>((C27-V27)/C27)*100</f>
        <v>100</v>
      </c>
      <c r="X27" s="9"/>
      <c r="Y27" s="9" t="e">
        <f>((C27-X27)/X27)*100</f>
        <v>#DIV/0!</v>
      </c>
      <c r="Z27" s="16">
        <f>O27/E27</f>
        <v>267.94696279916769</v>
      </c>
      <c r="AA27" s="9"/>
      <c r="AB27" s="9">
        <v>30</v>
      </c>
      <c r="AC27" s="14"/>
      <c r="AD27" s="486"/>
      <c r="AE27">
        <f>L27</f>
        <v>45</v>
      </c>
      <c r="AF27">
        <v>0</v>
      </c>
      <c r="AG27">
        <v>30</v>
      </c>
      <c r="AH27">
        <v>0</v>
      </c>
      <c r="AI27">
        <v>15</v>
      </c>
      <c r="AJ27">
        <v>0</v>
      </c>
      <c r="AK27">
        <f>AF27+AG27+AH27+AI27+AJ27</f>
        <v>45</v>
      </c>
      <c r="AL27">
        <f>AK27-AE27</f>
        <v>0</v>
      </c>
    </row>
    <row r="28" spans="1:38" ht="14.65" customHeight="1">
      <c r="A28" s="3">
        <v>26</v>
      </c>
      <c r="B28" s="9" t="s">
        <v>740</v>
      </c>
      <c r="C28" s="14">
        <v>269.7</v>
      </c>
      <c r="D28" s="127">
        <v>0.71574642126789401</v>
      </c>
      <c r="E28" s="3">
        <v>906.642857142857</v>
      </c>
      <c r="F28" s="8">
        <v>0</v>
      </c>
      <c r="G28" s="8">
        <v>2.7865010674672201</v>
      </c>
      <c r="H28" s="3" t="s">
        <v>44</v>
      </c>
      <c r="I28" s="3"/>
      <c r="J28" s="3"/>
      <c r="K28" s="34">
        <f>((C28-U28)/U28)*100</f>
        <v>-27.480505512234473</v>
      </c>
      <c r="L28" s="14">
        <v>592</v>
      </c>
      <c r="M28" s="38">
        <v>353.92229729729729</v>
      </c>
      <c r="N28" s="40">
        <v>209522</v>
      </c>
      <c r="O28" s="10">
        <f>L28*C28</f>
        <v>159662.39999999999</v>
      </c>
      <c r="P28" s="3">
        <f>O28-N28</f>
        <v>-49859.600000000006</v>
      </c>
      <c r="Q28" s="3">
        <f>(P28/N28)*100</f>
        <v>-23.796832790828653</v>
      </c>
      <c r="R28" s="40">
        <v>221351.72972972973</v>
      </c>
      <c r="S28" s="14"/>
      <c r="T28" s="14">
        <v>4583</v>
      </c>
      <c r="U28" s="9">
        <v>371.9</v>
      </c>
      <c r="V28" s="9"/>
      <c r="W28" s="9"/>
      <c r="X28" s="9"/>
      <c r="Y28" s="16"/>
      <c r="Z28" s="16"/>
      <c r="AA28" s="9"/>
      <c r="AB28" s="9"/>
      <c r="AC28" s="9"/>
      <c r="AD28" s="265"/>
      <c r="AE28">
        <f>L28</f>
        <v>592</v>
      </c>
      <c r="AF28">
        <v>0</v>
      </c>
      <c r="AG28">
        <v>614</v>
      </c>
      <c r="AH28">
        <v>0</v>
      </c>
      <c r="AI28">
        <v>10</v>
      </c>
      <c r="AJ28">
        <v>50</v>
      </c>
      <c r="AK28">
        <f>AF28+AG28+AH28+AI28+AJ28</f>
        <v>674</v>
      </c>
      <c r="AL28">
        <f>AK28-AE28</f>
        <v>82</v>
      </c>
    </row>
    <row r="29" spans="1:38" hidden="1">
      <c r="A29" s="3">
        <v>27</v>
      </c>
      <c r="B29" s="9" t="s">
        <v>635</v>
      </c>
      <c r="C29" s="159">
        <v>5635.1</v>
      </c>
      <c r="D29" s="127">
        <v>4.77346278317152</v>
      </c>
      <c r="E29" s="3">
        <v>582.37288135593201</v>
      </c>
      <c r="F29" s="8">
        <v>0</v>
      </c>
      <c r="G29" s="8">
        <v>3.4491066050993799</v>
      </c>
      <c r="H29" s="3" t="s">
        <v>44</v>
      </c>
      <c r="I29" s="3"/>
      <c r="J29" s="3"/>
      <c r="K29" s="34" t="e">
        <f>((C29-U29)/U29)*100</f>
        <v>#DIV/0!</v>
      </c>
      <c r="L29" s="14">
        <v>17</v>
      </c>
      <c r="M29" s="38">
        <v>5123.8235294117649</v>
      </c>
      <c r="N29" s="40">
        <v>87105</v>
      </c>
      <c r="O29" s="10">
        <f>L29*C29</f>
        <v>95796.700000000012</v>
      </c>
      <c r="P29" s="3">
        <f>O29-N29</f>
        <v>8691.7000000000116</v>
      </c>
      <c r="Q29" s="3">
        <f>(P29/N29)*100</f>
        <v>9.9784168532231341</v>
      </c>
      <c r="R29" s="40">
        <v>44138.69932432432</v>
      </c>
      <c r="S29" s="14"/>
      <c r="T29" s="14">
        <v>62006</v>
      </c>
      <c r="U29" s="9"/>
      <c r="V29" s="9"/>
      <c r="W29" s="9"/>
      <c r="X29" s="9"/>
      <c r="Y29" s="16"/>
      <c r="Z29" s="16"/>
      <c r="AA29" s="9"/>
      <c r="AB29" s="9"/>
      <c r="AC29" s="9"/>
      <c r="AD29" s="265"/>
      <c r="AE29">
        <f>L29</f>
        <v>17</v>
      </c>
      <c r="AF29">
        <v>0</v>
      </c>
      <c r="AG29">
        <v>15</v>
      </c>
      <c r="AH29">
        <v>0</v>
      </c>
      <c r="AI29">
        <v>0</v>
      </c>
      <c r="AJ29">
        <v>2</v>
      </c>
      <c r="AK29">
        <f>AF29+AG29+AH29+AI29+AJ29</f>
        <v>17</v>
      </c>
      <c r="AL29">
        <f>AK29-AE29</f>
        <v>0</v>
      </c>
    </row>
    <row r="30" spans="1:38" hidden="1">
      <c r="A30" s="3">
        <v>28</v>
      </c>
      <c r="B30" s="3" t="s">
        <v>689</v>
      </c>
      <c r="C30" s="159">
        <v>2363.1</v>
      </c>
      <c r="D30" s="127">
        <v>12.640312347486599</v>
      </c>
      <c r="E30" s="3">
        <v>112.650193050193</v>
      </c>
      <c r="F30" s="8">
        <v>0</v>
      </c>
      <c r="G30" s="8">
        <v>3.4823328782479401</v>
      </c>
      <c r="H30" s="3" t="s">
        <v>44</v>
      </c>
      <c r="I30" s="3"/>
      <c r="J30" s="3"/>
      <c r="K30" s="34" t="e">
        <f>((C30-U30)/U30)*100</f>
        <v>#DIV/0!</v>
      </c>
      <c r="L30" s="14">
        <v>83</v>
      </c>
      <c r="M30" s="38">
        <v>2887.3855421686749</v>
      </c>
      <c r="N30" s="40">
        <v>239653</v>
      </c>
      <c r="O30" s="10">
        <f>L30*C30</f>
        <v>196137.3</v>
      </c>
      <c r="P30" s="3">
        <f>O30-N30</f>
        <v>-43515.700000000012</v>
      </c>
      <c r="Q30" s="3">
        <f>(P30/N30)*100</f>
        <v>-18.157794811665205</v>
      </c>
      <c r="R30" s="40">
        <v>192371.93243243243</v>
      </c>
      <c r="S30" s="14"/>
      <c r="T30" s="14">
        <v>3401</v>
      </c>
      <c r="U30" s="18"/>
      <c r="V30" s="9"/>
      <c r="W30" s="9"/>
      <c r="X30" s="9"/>
      <c r="Y30" s="16"/>
      <c r="Z30" s="16"/>
      <c r="AA30" s="9"/>
      <c r="AB30" s="9"/>
      <c r="AC30" s="9"/>
      <c r="AD30" s="265"/>
      <c r="AE30">
        <f>L30</f>
        <v>83</v>
      </c>
      <c r="AF30">
        <v>0</v>
      </c>
      <c r="AG30">
        <v>26</v>
      </c>
      <c r="AH30">
        <v>12</v>
      </c>
      <c r="AI30">
        <v>2</v>
      </c>
      <c r="AJ30">
        <v>43</v>
      </c>
      <c r="AK30">
        <f>AF30+AG30+AH30+AI30+AJ30</f>
        <v>83</v>
      </c>
      <c r="AL30" s="216">
        <f>AK30-AE30</f>
        <v>0</v>
      </c>
    </row>
    <row r="31" spans="1:38" hidden="1">
      <c r="A31" s="3">
        <v>29</v>
      </c>
      <c r="B31" s="18" t="s">
        <v>630</v>
      </c>
      <c r="C31" s="218">
        <v>3018.05</v>
      </c>
      <c r="D31" s="203">
        <v>5.65371024734982</v>
      </c>
      <c r="E31" s="21">
        <v>230.67500000000001</v>
      </c>
      <c r="F31" s="204">
        <v>0</v>
      </c>
      <c r="G31" s="204">
        <v>2.9203021555444701</v>
      </c>
      <c r="H31" s="21" t="s">
        <v>44</v>
      </c>
      <c r="I31" s="21"/>
      <c r="J31" s="21"/>
      <c r="K31" s="173" t="e">
        <f>((C31-U31)/U31)*100</f>
        <v>#DIV/0!</v>
      </c>
      <c r="L31" s="24">
        <v>65</v>
      </c>
      <c r="M31" s="207">
        <v>2950.646153846154</v>
      </c>
      <c r="N31" s="208">
        <v>191792</v>
      </c>
      <c r="O31" s="43">
        <f>L31*C31</f>
        <v>196173.25</v>
      </c>
      <c r="P31" s="21">
        <f>O31-N31</f>
        <v>4381.25</v>
      </c>
      <c r="Q31" s="21">
        <f>(P31/N31)*100</f>
        <v>2.2843757820972721</v>
      </c>
      <c r="R31" s="208">
        <v>160016.70270270266</v>
      </c>
      <c r="S31" s="24"/>
      <c r="T31" s="24">
        <v>6334</v>
      </c>
      <c r="U31" s="18"/>
      <c r="V31" s="18"/>
      <c r="W31" s="18"/>
      <c r="X31" s="18"/>
      <c r="Y31" s="179"/>
      <c r="Z31" s="179"/>
      <c r="AA31" s="18"/>
      <c r="AB31" s="18"/>
      <c r="AC31" s="18"/>
      <c r="AD31" s="58"/>
      <c r="AE31">
        <f>L31</f>
        <v>65</v>
      </c>
      <c r="AF31">
        <v>0</v>
      </c>
      <c r="AG31">
        <v>55</v>
      </c>
      <c r="AH31">
        <v>0</v>
      </c>
      <c r="AI31">
        <v>0</v>
      </c>
      <c r="AJ31">
        <v>10</v>
      </c>
      <c r="AK31">
        <f>AF31+AG31+AH31+AI31+AJ31</f>
        <v>65</v>
      </c>
      <c r="AL31" s="216">
        <f>AK31-AE31</f>
        <v>0</v>
      </c>
    </row>
    <row r="32" spans="1:38" hidden="1">
      <c r="A32" s="3">
        <v>31</v>
      </c>
      <c r="B32" s="21" t="s">
        <v>536</v>
      </c>
      <c r="C32" s="256">
        <v>1569.85</v>
      </c>
      <c r="D32" s="213">
        <v>23.313782991202299</v>
      </c>
      <c r="E32" s="206">
        <v>14.462893081761001</v>
      </c>
      <c r="F32" s="214"/>
      <c r="G32" s="215">
        <v>4.0081841411360299</v>
      </c>
      <c r="H32" s="206" t="s">
        <v>44</v>
      </c>
      <c r="I32" s="21"/>
      <c r="J32" s="21"/>
      <c r="K32" s="173" t="e">
        <f>((C32-U32)/U32)*100</f>
        <v>#DIV/0!</v>
      </c>
      <c r="L32" s="24">
        <v>49</v>
      </c>
      <c r="M32" s="207">
        <v>1414.8979591836735</v>
      </c>
      <c r="N32" s="208">
        <v>69330</v>
      </c>
      <c r="O32" s="43">
        <f>L32*C32</f>
        <v>76922.649999999994</v>
      </c>
      <c r="P32" s="21">
        <f>O32-N32</f>
        <v>7592.6499999999942</v>
      </c>
      <c r="Q32" s="21">
        <f>(P32/N32)*100</f>
        <v>10.951464012692909</v>
      </c>
      <c r="R32" s="208">
        <v>95748.08108108108</v>
      </c>
      <c r="S32" s="24"/>
      <c r="T32" s="24">
        <v>40588</v>
      </c>
      <c r="U32" s="18"/>
      <c r="V32" s="18"/>
      <c r="W32" s="18"/>
      <c r="X32" s="18"/>
      <c r="Y32" s="179"/>
      <c r="Z32" s="179"/>
      <c r="AA32" s="18"/>
      <c r="AB32" s="18"/>
      <c r="AC32" s="18"/>
      <c r="AD32" s="58"/>
      <c r="AE32">
        <f>L32</f>
        <v>49</v>
      </c>
      <c r="AF32">
        <v>0</v>
      </c>
      <c r="AG32">
        <v>10</v>
      </c>
      <c r="AH32">
        <v>0</v>
      </c>
      <c r="AI32">
        <v>24</v>
      </c>
      <c r="AJ32">
        <v>15</v>
      </c>
      <c r="AK32">
        <f>AF32+AG32+AH32+AI32+AJ32</f>
        <v>49</v>
      </c>
      <c r="AL32">
        <f>AK32-AE32</f>
        <v>0</v>
      </c>
    </row>
    <row r="33" spans="1:38" hidden="1">
      <c r="A33" s="3">
        <v>32</v>
      </c>
      <c r="B33" s="487" t="s">
        <v>15</v>
      </c>
      <c r="C33" s="21">
        <v>573.85</v>
      </c>
      <c r="D33" s="203">
        <v>1.8819986826009199E-2</v>
      </c>
      <c r="E33" s="21">
        <v>107550</v>
      </c>
      <c r="F33" s="205">
        <v>0</v>
      </c>
      <c r="G33" s="204">
        <v>24.151967825143899</v>
      </c>
      <c r="H33" s="21" t="s">
        <v>268</v>
      </c>
      <c r="I33" s="21">
        <v>40</v>
      </c>
      <c r="J33" s="21"/>
      <c r="K33" s="173">
        <f>((C33-U33)/U33)*100</f>
        <v>-4.358333333333329</v>
      </c>
      <c r="L33" s="43">
        <v>200</v>
      </c>
      <c r="M33" s="176">
        <v>527.11500000000001</v>
      </c>
      <c r="N33" s="177">
        <v>105423</v>
      </c>
      <c r="O33" s="43">
        <f>L33*C33</f>
        <v>114770</v>
      </c>
      <c r="P33" s="21">
        <f>O33-N33</f>
        <v>9347</v>
      </c>
      <c r="Q33" s="21">
        <f>(P33/N33)*100</f>
        <v>8.8661866955028792</v>
      </c>
      <c r="R33" s="177">
        <v>34849.03378378378</v>
      </c>
      <c r="S33" s="52"/>
      <c r="T33" s="52">
        <v>8681</v>
      </c>
      <c r="U33" s="18">
        <v>600</v>
      </c>
      <c r="V33" s="18"/>
      <c r="W33" s="18">
        <f>((C33-V33)/C33)*100</f>
        <v>100</v>
      </c>
      <c r="X33" s="18">
        <v>467.5</v>
      </c>
      <c r="Y33" s="18">
        <f>((C33-X33)/X33)*100</f>
        <v>22.748663101604283</v>
      </c>
      <c r="Z33" s="179">
        <f>O33/E33</f>
        <v>1.0671315667131567</v>
      </c>
      <c r="AA33" s="18" t="s">
        <v>58</v>
      </c>
      <c r="AB33" s="18">
        <v>30</v>
      </c>
      <c r="AC33" s="52"/>
      <c r="AD33" s="57"/>
      <c r="AE33">
        <f>L33</f>
        <v>200</v>
      </c>
      <c r="AF33">
        <v>0</v>
      </c>
      <c r="AG33">
        <v>135</v>
      </c>
      <c r="AH33">
        <v>40</v>
      </c>
      <c r="AI33">
        <v>0</v>
      </c>
      <c r="AJ33">
        <v>25</v>
      </c>
      <c r="AK33">
        <f>AF33+AG33+AH33+AI33+AJ33</f>
        <v>200</v>
      </c>
      <c r="AL33">
        <f>AK33-AE33</f>
        <v>0</v>
      </c>
    </row>
    <row r="34" spans="1:38" ht="25.15" hidden="1" customHeight="1">
      <c r="A34" s="3">
        <v>33</v>
      </c>
      <c r="B34" s="18" t="s">
        <v>649</v>
      </c>
      <c r="C34" s="207">
        <v>165.6</v>
      </c>
      <c r="D34" s="203">
        <v>0.632911392405063</v>
      </c>
      <c r="E34" s="21">
        <v>2765.35</v>
      </c>
      <c r="F34" s="204"/>
      <c r="G34" s="204">
        <v>6.1329563096030197</v>
      </c>
      <c r="H34" s="21" t="s">
        <v>44</v>
      </c>
      <c r="I34" s="21"/>
      <c r="J34" s="21"/>
      <c r="K34" s="173">
        <f>((C34-U34)/U34)*100</f>
        <v>-78.769230769230774</v>
      </c>
      <c r="L34" s="24">
        <v>1833</v>
      </c>
      <c r="M34" s="207">
        <v>139.81560283687944</v>
      </c>
      <c r="N34" s="208">
        <v>256282</v>
      </c>
      <c r="O34" s="43">
        <f>L34*C34</f>
        <v>303544.8</v>
      </c>
      <c r="P34" s="21">
        <f>O34-N34</f>
        <v>47262.799999999988</v>
      </c>
      <c r="Q34" s="21">
        <f>(P34/N34)*100</f>
        <v>18.441716546616611</v>
      </c>
      <c r="R34" s="208">
        <v>297589.82432432432</v>
      </c>
      <c r="S34" s="24"/>
      <c r="T34" s="24">
        <v>13718</v>
      </c>
      <c r="U34" s="18">
        <v>780</v>
      </c>
      <c r="V34" s="18"/>
      <c r="W34" s="18"/>
      <c r="X34" s="18"/>
      <c r="Y34" s="179"/>
      <c r="Z34" s="179"/>
      <c r="AA34" s="18"/>
      <c r="AB34" s="18"/>
      <c r="AC34" s="18"/>
      <c r="AD34" s="58"/>
      <c r="AE34">
        <f>L34</f>
        <v>1833</v>
      </c>
      <c r="AF34">
        <v>0</v>
      </c>
      <c r="AG34">
        <v>1263</v>
      </c>
      <c r="AH34">
        <v>20</v>
      </c>
      <c r="AI34">
        <v>0</v>
      </c>
      <c r="AJ34">
        <v>550</v>
      </c>
      <c r="AK34">
        <f>AF34+AG34+AH34+AI34+AJ34</f>
        <v>1833</v>
      </c>
      <c r="AL34" s="216">
        <f>AK34-AE34</f>
        <v>0</v>
      </c>
    </row>
    <row r="35" spans="1:38" hidden="1">
      <c r="A35" s="3">
        <v>34</v>
      </c>
      <c r="B35" s="181" t="s">
        <v>18</v>
      </c>
      <c r="C35" s="256">
        <v>1077.95</v>
      </c>
      <c r="D35" s="203">
        <v>7.1243246885986098</v>
      </c>
      <c r="E35" s="21">
        <v>219.34100583320199</v>
      </c>
      <c r="F35" s="205">
        <v>0</v>
      </c>
      <c r="G35" s="204">
        <v>4.7561953072168901</v>
      </c>
      <c r="H35" s="21" t="s">
        <v>44</v>
      </c>
      <c r="I35" s="21">
        <v>10</v>
      </c>
      <c r="J35" s="21"/>
      <c r="K35" s="173">
        <f>((C35-U35)/U35)*100</f>
        <v>-10.170833333333329</v>
      </c>
      <c r="L35" s="43">
        <v>86</v>
      </c>
      <c r="M35" s="176">
        <v>893.18604651162786</v>
      </c>
      <c r="N35" s="177">
        <v>76814</v>
      </c>
      <c r="O35" s="43">
        <f>L35*C35</f>
        <v>92703.7</v>
      </c>
      <c r="P35" s="21">
        <f>O35-N35</f>
        <v>15889.699999999997</v>
      </c>
      <c r="Q35" s="21">
        <f>(P35/N35)*100</f>
        <v>20.685942666701379</v>
      </c>
      <c r="R35" s="177">
        <v>85279.932432432426</v>
      </c>
      <c r="S35" s="52"/>
      <c r="T35" s="52">
        <v>3339</v>
      </c>
      <c r="U35" s="18">
        <v>1200</v>
      </c>
      <c r="V35" s="18"/>
      <c r="W35" s="18">
        <f>((C35-V35)/C35)*100</f>
        <v>100</v>
      </c>
      <c r="X35" s="18"/>
      <c r="Y35" s="18" t="e">
        <f>((C35-X35)/X35)*100</f>
        <v>#DIV/0!</v>
      </c>
      <c r="Z35" s="179">
        <f>O35/E35</f>
        <v>422.64646160370296</v>
      </c>
      <c r="AA35" s="18"/>
      <c r="AB35" s="18">
        <v>30</v>
      </c>
      <c r="AC35" s="52"/>
      <c r="AD35" s="57"/>
      <c r="AE35">
        <f>L35</f>
        <v>86</v>
      </c>
      <c r="AF35">
        <v>0</v>
      </c>
      <c r="AG35">
        <v>34</v>
      </c>
      <c r="AH35">
        <v>32</v>
      </c>
      <c r="AI35">
        <v>18</v>
      </c>
      <c r="AJ35">
        <v>2</v>
      </c>
      <c r="AK35">
        <f>AF35+AG35+AH35+AI35+AJ35</f>
        <v>86</v>
      </c>
      <c r="AL35" s="217">
        <f>AK35-AE35</f>
        <v>0</v>
      </c>
    </row>
    <row r="36" spans="1:38" hidden="1">
      <c r="A36" s="3">
        <v>35</v>
      </c>
      <c r="B36" s="453" t="s">
        <v>441</v>
      </c>
      <c r="C36" s="287">
        <v>1600.65</v>
      </c>
      <c r="D36" s="288">
        <v>20.9519904969147</v>
      </c>
      <c r="E36" s="219">
        <v>20388.941849380401</v>
      </c>
      <c r="F36" s="289"/>
      <c r="G36" s="290">
        <v>4.6128816822443097</v>
      </c>
      <c r="H36" s="219" t="s">
        <v>44</v>
      </c>
      <c r="I36" s="219">
        <v>292</v>
      </c>
      <c r="J36" s="219"/>
      <c r="K36" s="221">
        <f>((C36-U36)/U36)*100</f>
        <v>33.38750000000001</v>
      </c>
      <c r="L36" s="222">
        <v>112</v>
      </c>
      <c r="M36" s="259">
        <v>1421.8660714285713</v>
      </c>
      <c r="N36" s="264">
        <v>159249</v>
      </c>
      <c r="O36" s="43">
        <f>L36*C36</f>
        <v>179272.80000000002</v>
      </c>
      <c r="P36" s="21">
        <f>O36-N36</f>
        <v>20023.800000000017</v>
      </c>
      <c r="Q36" s="21">
        <f>(P36/N36)*100</f>
        <v>12.573893713618306</v>
      </c>
      <c r="R36" s="264">
        <v>187503.92567567568</v>
      </c>
      <c r="S36" s="52">
        <v>296.60000000000002</v>
      </c>
      <c r="T36" s="52">
        <v>7897</v>
      </c>
      <c r="U36" s="18">
        <v>1200</v>
      </c>
      <c r="V36" s="18"/>
      <c r="W36" s="18">
        <f>((C36-V36)/C36)*100</f>
        <v>100</v>
      </c>
      <c r="X36" s="18"/>
      <c r="Y36" s="18" t="e">
        <f>((C36-X36)/X36)*100</f>
        <v>#DIV/0!</v>
      </c>
      <c r="Z36" s="179">
        <f>O36/E36</f>
        <v>8.7926485505890994</v>
      </c>
      <c r="AA36" s="18"/>
      <c r="AB36" s="18">
        <v>30</v>
      </c>
      <c r="AC36" s="44">
        <v>258</v>
      </c>
      <c r="AD36" s="57">
        <v>42899</v>
      </c>
      <c r="AE36">
        <f>L36</f>
        <v>112</v>
      </c>
      <c r="AF36">
        <v>0</v>
      </c>
      <c r="AG36">
        <v>23</v>
      </c>
      <c r="AH36">
        <v>61</v>
      </c>
      <c r="AI36">
        <v>24</v>
      </c>
      <c r="AJ36">
        <v>4</v>
      </c>
      <c r="AK36">
        <f>AF36+AG36+AH36+AI36+AJ36</f>
        <v>112</v>
      </c>
      <c r="AL36">
        <f>AK36-AE36</f>
        <v>0</v>
      </c>
    </row>
    <row r="37" spans="1:38" hidden="1">
      <c r="A37" s="3">
        <v>36</v>
      </c>
      <c r="B37" s="18" t="s">
        <v>674</v>
      </c>
      <c r="C37" s="24">
        <v>604.5</v>
      </c>
      <c r="D37" s="203">
        <v>0.28518601257670301</v>
      </c>
      <c r="E37" s="21">
        <v>210.73333333333301</v>
      </c>
      <c r="F37" s="204"/>
      <c r="G37" s="204">
        <v>1.03476874658686</v>
      </c>
      <c r="H37" s="21" t="s">
        <v>44</v>
      </c>
      <c r="I37" s="21"/>
      <c r="J37" s="21"/>
      <c r="K37" s="173" t="e">
        <f>((C37-U37)/U37)*100</f>
        <v>#DIV/0!</v>
      </c>
      <c r="L37" s="24">
        <v>331</v>
      </c>
      <c r="M37" s="207">
        <v>657.92447129909363</v>
      </c>
      <c r="N37" s="208">
        <v>217773</v>
      </c>
      <c r="O37" s="43">
        <f>L37*C37</f>
        <v>200089.5</v>
      </c>
      <c r="P37" s="21">
        <f>O37-N37</f>
        <v>-17683.5</v>
      </c>
      <c r="Q37" s="21">
        <f>(P37/N37)*100</f>
        <v>-8.1201526360017073</v>
      </c>
      <c r="R37" s="208">
        <v>236469.52702702704</v>
      </c>
      <c r="S37" s="24"/>
      <c r="T37" s="24">
        <v>7156</v>
      </c>
      <c r="U37" s="18"/>
      <c r="V37" s="18"/>
      <c r="W37" s="18"/>
      <c r="X37" s="18"/>
      <c r="Y37" s="179"/>
      <c r="Z37" s="179"/>
      <c r="AA37" s="18"/>
      <c r="AB37" s="18"/>
      <c r="AC37" s="18"/>
      <c r="AD37" s="58"/>
      <c r="AE37">
        <f>L37</f>
        <v>331</v>
      </c>
      <c r="AF37">
        <v>0</v>
      </c>
      <c r="AG37">
        <v>28</v>
      </c>
      <c r="AH37">
        <v>273</v>
      </c>
      <c r="AI37">
        <v>30</v>
      </c>
      <c r="AJ37">
        <v>0</v>
      </c>
      <c r="AK37">
        <f>AF37+AG37+AH37+AI37+AJ37</f>
        <v>331</v>
      </c>
      <c r="AL37">
        <f>AK37-AE37</f>
        <v>0</v>
      </c>
    </row>
    <row r="38" spans="1:38" hidden="1">
      <c r="A38" s="3">
        <v>37</v>
      </c>
      <c r="B38" s="269" t="s">
        <v>527</v>
      </c>
      <c r="C38" s="21">
        <v>479.6</v>
      </c>
      <c r="D38" s="213">
        <v>5.05144995322732</v>
      </c>
      <c r="E38" s="206">
        <v>345.11111111111097</v>
      </c>
      <c r="F38" s="214"/>
      <c r="G38" s="215">
        <v>9.7074897159065205</v>
      </c>
      <c r="H38" s="206" t="s">
        <v>44</v>
      </c>
      <c r="I38" s="21"/>
      <c r="J38" s="21"/>
      <c r="K38" s="173" t="e">
        <f>((C38-U38)/U38)*100</f>
        <v>#DIV/0!</v>
      </c>
      <c r="L38" s="24">
        <v>468</v>
      </c>
      <c r="M38" s="207">
        <v>700.91452991452991</v>
      </c>
      <c r="N38" s="208">
        <v>328028</v>
      </c>
      <c r="O38" s="43">
        <f>L38*C38</f>
        <v>224452.80000000002</v>
      </c>
      <c r="P38" s="21">
        <f>O38-N38</f>
        <v>-103575.19999999998</v>
      </c>
      <c r="Q38" s="21">
        <f>(P38/N38)*100</f>
        <v>-31.575109441876908</v>
      </c>
      <c r="R38" s="208">
        <v>305182.28378378379</v>
      </c>
      <c r="S38" s="24"/>
      <c r="T38" s="24">
        <v>955</v>
      </c>
      <c r="U38" s="254"/>
      <c r="V38" s="18"/>
      <c r="W38" s="18"/>
      <c r="X38" s="18"/>
      <c r="Y38" s="179"/>
      <c r="Z38" s="179"/>
      <c r="AA38" s="18"/>
      <c r="AB38" s="18"/>
      <c r="AC38" s="18"/>
      <c r="AD38" s="58"/>
      <c r="AE38">
        <f>L38</f>
        <v>468</v>
      </c>
      <c r="AF38">
        <v>0</v>
      </c>
      <c r="AG38">
        <v>102</v>
      </c>
      <c r="AH38">
        <v>196</v>
      </c>
      <c r="AI38">
        <v>67</v>
      </c>
      <c r="AJ38">
        <v>103</v>
      </c>
      <c r="AK38">
        <f>AF38+AG38+AH38+AI38+AJ38</f>
        <v>468</v>
      </c>
      <c r="AL38" s="216">
        <f>AK38-AE38</f>
        <v>0</v>
      </c>
    </row>
    <row r="39" spans="1:38" hidden="1">
      <c r="A39" s="3">
        <v>38</v>
      </c>
      <c r="B39" s="181" t="s">
        <v>19</v>
      </c>
      <c r="C39" s="21">
        <v>349.7</v>
      </c>
      <c r="D39" s="203">
        <v>6.2615646510250897</v>
      </c>
      <c r="E39" s="21">
        <v>421.82821118991302</v>
      </c>
      <c r="F39" s="205">
        <v>0</v>
      </c>
      <c r="G39" s="204">
        <v>7.2455625344943497</v>
      </c>
      <c r="H39" s="21" t="s">
        <v>268</v>
      </c>
      <c r="I39" s="21">
        <v>40</v>
      </c>
      <c r="J39" s="21"/>
      <c r="K39" s="173">
        <f>((C39-U39)/U39)*100</f>
        <v>20.586206896551719</v>
      </c>
      <c r="L39" s="43">
        <v>194</v>
      </c>
      <c r="M39" s="176">
        <v>289.83505154639175</v>
      </c>
      <c r="N39" s="177">
        <v>56228</v>
      </c>
      <c r="O39" s="43">
        <f>L39*C39</f>
        <v>67841.8</v>
      </c>
      <c r="P39" s="21">
        <f>O39-N39</f>
        <v>11613.800000000003</v>
      </c>
      <c r="Q39" s="21">
        <f>(P39/N39)*100</f>
        <v>20.654833890588325</v>
      </c>
      <c r="R39" s="177">
        <v>106218.26351351352</v>
      </c>
      <c r="S39" s="52"/>
      <c r="T39" s="52">
        <v>3395</v>
      </c>
      <c r="U39" s="18">
        <v>290</v>
      </c>
      <c r="V39" s="18"/>
      <c r="W39" s="18">
        <f>((C39-V39)/C39)*100</f>
        <v>100</v>
      </c>
      <c r="X39" s="18"/>
      <c r="Y39" s="18" t="e">
        <f>((C39-X39)/X39)*100</f>
        <v>#DIV/0!</v>
      </c>
      <c r="Z39" s="179">
        <f>O39/E39</f>
        <v>160.82802951615929</v>
      </c>
      <c r="AA39" s="18"/>
      <c r="AB39" s="18">
        <v>30</v>
      </c>
      <c r="AC39" s="52"/>
      <c r="AD39" s="57"/>
      <c r="AE39">
        <f>L39</f>
        <v>194</v>
      </c>
      <c r="AF39">
        <v>0</v>
      </c>
      <c r="AG39">
        <v>0</v>
      </c>
      <c r="AH39">
        <v>194</v>
      </c>
      <c r="AI39">
        <v>0</v>
      </c>
      <c r="AJ39">
        <v>0</v>
      </c>
      <c r="AK39">
        <f>AF39+AG39+AH39+AI39+AJ39</f>
        <v>194</v>
      </c>
      <c r="AL39">
        <f>AK39-AE39</f>
        <v>0</v>
      </c>
    </row>
    <row r="40" spans="1:38">
      <c r="A40" s="3">
        <v>39</v>
      </c>
      <c r="B40" s="433" t="s">
        <v>463</v>
      </c>
      <c r="C40" s="206">
        <v>141.65</v>
      </c>
      <c r="D40" s="213">
        <v>0.58997050147492602</v>
      </c>
      <c r="E40" s="206">
        <v>3176</v>
      </c>
      <c r="F40" s="214">
        <v>0</v>
      </c>
      <c r="G40" s="215">
        <v>7.4768598233765804</v>
      </c>
      <c r="H40" s="206" t="s">
        <v>268</v>
      </c>
      <c r="I40" s="206">
        <v>555</v>
      </c>
      <c r="J40" s="206" t="s">
        <v>1015</v>
      </c>
      <c r="K40" s="220">
        <f>((C40-U40)/U40)*100</f>
        <v>-8.6129032258064484</v>
      </c>
      <c r="L40" s="181">
        <v>1084</v>
      </c>
      <c r="M40" s="302">
        <v>119.37638376383764</v>
      </c>
      <c r="N40" s="399">
        <v>129404</v>
      </c>
      <c r="O40" s="43">
        <f>L40*C40</f>
        <v>153548.6</v>
      </c>
      <c r="P40" s="21">
        <f>O40-N40</f>
        <v>24144.600000000006</v>
      </c>
      <c r="Q40" s="21">
        <f>(P40/N40)*100</f>
        <v>18.658310407715376</v>
      </c>
      <c r="R40" s="264">
        <v>129519.33783783784</v>
      </c>
      <c r="S40" s="52"/>
      <c r="T40" s="52">
        <v>395</v>
      </c>
      <c r="U40" s="18">
        <v>155</v>
      </c>
      <c r="V40" s="18"/>
      <c r="W40" s="18">
        <f>((C40-V40)/C40)*100</f>
        <v>100</v>
      </c>
      <c r="X40" s="18"/>
      <c r="Y40" s="18" t="e">
        <f>((C40-X40)/X40)*100</f>
        <v>#DIV/0!</v>
      </c>
      <c r="Z40" s="179">
        <f>O40/E40</f>
        <v>48.346536523929473</v>
      </c>
      <c r="AA40" s="18"/>
      <c r="AB40" s="18">
        <v>100</v>
      </c>
      <c r="AC40" s="24"/>
      <c r="AD40" s="57"/>
      <c r="AE40">
        <f>L40</f>
        <v>1084</v>
      </c>
      <c r="AF40">
        <v>0</v>
      </c>
      <c r="AG40">
        <v>0</v>
      </c>
      <c r="AH40">
        <v>0</v>
      </c>
      <c r="AI40">
        <v>30</v>
      </c>
      <c r="AJ40">
        <v>255</v>
      </c>
      <c r="AK40">
        <f>AF40+AG40+AH40+AI40+AJ40</f>
        <v>285</v>
      </c>
      <c r="AL40">
        <f>AK40-AE40</f>
        <v>-799</v>
      </c>
    </row>
    <row r="41" spans="1:38" hidden="1">
      <c r="A41" s="3">
        <v>40</v>
      </c>
      <c r="B41" s="18" t="s">
        <v>650</v>
      </c>
      <c r="C41" s="218">
        <v>4460.55</v>
      </c>
      <c r="D41" s="203">
        <v>2.5477707006369399</v>
      </c>
      <c r="E41" s="21">
        <v>430.625</v>
      </c>
      <c r="F41" s="204"/>
      <c r="G41" s="204">
        <v>2.0349978252774998</v>
      </c>
      <c r="H41" s="21" t="s">
        <v>44</v>
      </c>
      <c r="I41" s="21"/>
      <c r="J41" s="21"/>
      <c r="K41" s="173" t="e">
        <f>((C41-U41)/U41)*100</f>
        <v>#DIV/0!</v>
      </c>
      <c r="L41" s="24">
        <v>53</v>
      </c>
      <c r="M41" s="207">
        <v>5968.132075471698</v>
      </c>
      <c r="N41" s="208">
        <v>316311</v>
      </c>
      <c r="O41" s="43">
        <f>L41*C41</f>
        <v>236409.15000000002</v>
      </c>
      <c r="P41" s="21">
        <f>O41-N41</f>
        <v>-79901.849999999977</v>
      </c>
      <c r="Q41" s="21">
        <f>(P41/N41)*100</f>
        <v>-25.26053472689852</v>
      </c>
      <c r="R41" s="208">
        <v>317099.82770270278</v>
      </c>
      <c r="S41" s="24"/>
      <c r="T41" s="24">
        <v>2588</v>
      </c>
      <c r="U41" s="18"/>
      <c r="V41" s="18"/>
      <c r="W41" s="18"/>
      <c r="X41" s="18"/>
      <c r="Y41" s="179"/>
      <c r="Z41" s="179"/>
      <c r="AA41" s="18"/>
      <c r="AB41" s="18"/>
      <c r="AC41" s="18"/>
      <c r="AD41" s="58"/>
      <c r="AE41">
        <f>L41</f>
        <v>53</v>
      </c>
      <c r="AF41">
        <v>0</v>
      </c>
      <c r="AG41">
        <v>27</v>
      </c>
      <c r="AH41">
        <v>26</v>
      </c>
      <c r="AI41">
        <v>0</v>
      </c>
      <c r="AJ41">
        <v>0</v>
      </c>
      <c r="AK41">
        <f>AF41+AG41+AH41+AI41+AJ41</f>
        <v>53</v>
      </c>
      <c r="AL41" s="216">
        <f>AK41-AE41</f>
        <v>0</v>
      </c>
    </row>
    <row r="42" spans="1:38" hidden="1">
      <c r="A42" s="3">
        <v>41</v>
      </c>
      <c r="B42" s="18" t="s">
        <v>677</v>
      </c>
      <c r="C42" s="24">
        <v>350.55</v>
      </c>
      <c r="D42" s="203">
        <v>2.2448979591836702</v>
      </c>
      <c r="E42" s="21">
        <v>309.09090909090901</v>
      </c>
      <c r="F42" s="204"/>
      <c r="G42" s="204">
        <v>6.6106272197998202</v>
      </c>
      <c r="H42" s="21" t="s">
        <v>268</v>
      </c>
      <c r="I42" s="21"/>
      <c r="J42" s="21"/>
      <c r="K42" s="173" t="e">
        <f>((C42-U42)/U42)*100</f>
        <v>#DIV/0!</v>
      </c>
      <c r="L42" s="24">
        <v>453</v>
      </c>
      <c r="M42" s="207">
        <v>513.82119205298011</v>
      </c>
      <c r="N42" s="208">
        <v>232761</v>
      </c>
      <c r="O42" s="43">
        <f>L42*C42</f>
        <v>158799.15</v>
      </c>
      <c r="P42" s="21">
        <f>O42-N42</f>
        <v>-73961.850000000006</v>
      </c>
      <c r="Q42" s="21">
        <f>(P42/N42)*100</f>
        <v>-31.775877402142115</v>
      </c>
      <c r="R42" s="208">
        <v>219221.07770270269</v>
      </c>
      <c r="S42" s="24"/>
      <c r="T42" s="24">
        <v>4684</v>
      </c>
      <c r="U42" s="18"/>
      <c r="V42" s="18"/>
      <c r="W42" s="18"/>
      <c r="X42" s="18"/>
      <c r="Y42" s="179"/>
      <c r="Z42" s="179"/>
      <c r="AA42" s="18"/>
      <c r="AB42" s="18"/>
      <c r="AE42">
        <f>L42</f>
        <v>453</v>
      </c>
      <c r="AF42">
        <v>0</v>
      </c>
      <c r="AG42">
        <v>135</v>
      </c>
      <c r="AH42">
        <v>236</v>
      </c>
      <c r="AI42">
        <v>82</v>
      </c>
      <c r="AJ42">
        <v>0</v>
      </c>
      <c r="AK42">
        <f>AF42+AG42+AH42+AI42+AJ42</f>
        <v>453</v>
      </c>
      <c r="AL42">
        <f>AK42-AE42</f>
        <v>0</v>
      </c>
    </row>
    <row r="43" spans="1:38" hidden="1">
      <c r="A43" s="3">
        <v>42</v>
      </c>
      <c r="B43" s="300" t="s">
        <v>414</v>
      </c>
      <c r="C43" s="301">
        <v>641.5</v>
      </c>
      <c r="D43" s="213">
        <v>3.1318509238960198E-3</v>
      </c>
      <c r="E43" s="206">
        <v>790800</v>
      </c>
      <c r="F43" s="214">
        <v>0</v>
      </c>
      <c r="G43" s="215">
        <v>1.5404512123479199</v>
      </c>
      <c r="H43" s="206" t="s">
        <v>44</v>
      </c>
      <c r="I43" s="206"/>
      <c r="J43" s="21"/>
      <c r="K43" s="221">
        <f>((C43-U43)/U43)*100</f>
        <v>-86.723923841059602</v>
      </c>
      <c r="L43" s="24">
        <v>220</v>
      </c>
      <c r="M43" s="207">
        <v>370.06363636363636</v>
      </c>
      <c r="N43" s="208">
        <v>81414</v>
      </c>
      <c r="O43" s="181">
        <f>L43*C43</f>
        <v>141130</v>
      </c>
      <c r="P43" s="206">
        <f>O43-N43</f>
        <v>59716</v>
      </c>
      <c r="Q43" s="206">
        <f>(P43/N43)*100</f>
        <v>73.348564129019579</v>
      </c>
      <c r="R43" s="208">
        <v>71125.608108108107</v>
      </c>
      <c r="S43" s="257">
        <v>1267</v>
      </c>
      <c r="T43" s="257">
        <v>3085</v>
      </c>
      <c r="U43" s="60">
        <v>4832</v>
      </c>
      <c r="V43" s="18"/>
      <c r="W43" s="18"/>
      <c r="X43" s="18"/>
      <c r="Y43" s="179"/>
      <c r="Z43" s="179"/>
      <c r="AA43" s="18"/>
      <c r="AB43" s="18"/>
      <c r="AC43" s="18"/>
      <c r="AD43" s="58"/>
      <c r="AE43">
        <f>L43</f>
        <v>220</v>
      </c>
      <c r="AF43">
        <v>0</v>
      </c>
      <c r="AG43">
        <v>105</v>
      </c>
      <c r="AH43">
        <v>115</v>
      </c>
      <c r="AI43">
        <v>0</v>
      </c>
      <c r="AJ43">
        <v>0</v>
      </c>
      <c r="AK43">
        <f>AF43+AG43+AH43+AI43+AJ43</f>
        <v>220</v>
      </c>
      <c r="AL43">
        <f>AK43-AE43</f>
        <v>0</v>
      </c>
    </row>
    <row r="44" spans="1:38" hidden="1">
      <c r="A44" s="3">
        <v>43</v>
      </c>
      <c r="B44" s="43" t="s">
        <v>20</v>
      </c>
      <c r="C44" s="21">
        <v>169</v>
      </c>
      <c r="D44" s="203">
        <v>3.7313432835820901</v>
      </c>
      <c r="E44" s="21">
        <v>477.4</v>
      </c>
      <c r="F44" s="205">
        <v>0</v>
      </c>
      <c r="G44" s="204">
        <v>12.4666967481259</v>
      </c>
      <c r="H44" s="21" t="s">
        <v>268</v>
      </c>
      <c r="I44" s="21">
        <v>100</v>
      </c>
      <c r="J44" s="21"/>
      <c r="K44" s="173">
        <f>((C44-U44)/U44)*100</f>
        <v>-2.0289855072463765</v>
      </c>
      <c r="L44" s="43">
        <v>865</v>
      </c>
      <c r="M44" s="176">
        <v>110.67976878612717</v>
      </c>
      <c r="N44" s="177">
        <v>95738</v>
      </c>
      <c r="O44" s="43">
        <f>L44*C44</f>
        <v>146185</v>
      </c>
      <c r="P44" s="21">
        <f>O44-N44</f>
        <v>50447</v>
      </c>
      <c r="Q44" s="21">
        <f>(P44/N44)*100</f>
        <v>52.69276567298251</v>
      </c>
      <c r="R44" s="177">
        <v>70350.5945945946</v>
      </c>
      <c r="S44" s="44"/>
      <c r="T44" s="44">
        <v>3551</v>
      </c>
      <c r="U44" s="18">
        <v>172.5</v>
      </c>
      <c r="V44" s="18"/>
      <c r="W44" s="18">
        <f>((C44-V44)/C44)*100</f>
        <v>100</v>
      </c>
      <c r="X44" s="18"/>
      <c r="Y44" s="18" t="e">
        <f>((C44-X44)/X44)*100</f>
        <v>#DIV/0!</v>
      </c>
      <c r="Z44" s="179">
        <f>O44/E44</f>
        <v>306.21072475911188</v>
      </c>
      <c r="AA44" s="18" t="s">
        <v>58</v>
      </c>
      <c r="AB44" s="18">
        <v>30</v>
      </c>
      <c r="AC44" s="24"/>
      <c r="AD44" s="57"/>
      <c r="AE44">
        <f>L44</f>
        <v>865</v>
      </c>
      <c r="AF44">
        <v>0</v>
      </c>
      <c r="AG44">
        <v>465</v>
      </c>
      <c r="AH44">
        <v>400</v>
      </c>
      <c r="AI44">
        <v>0</v>
      </c>
      <c r="AJ44">
        <v>0</v>
      </c>
      <c r="AK44">
        <f>AF44+AG44+AH44+AI44+AJ44</f>
        <v>865</v>
      </c>
      <c r="AL44">
        <f>AK44-AE44</f>
        <v>0</v>
      </c>
    </row>
    <row r="45" spans="1:38" hidden="1">
      <c r="A45" s="3">
        <v>44</v>
      </c>
      <c r="B45" s="18" t="s">
        <v>651</v>
      </c>
      <c r="C45" s="218">
        <v>585.75</v>
      </c>
      <c r="D45" s="203">
        <v>1.3637490701710899</v>
      </c>
      <c r="E45" s="21">
        <v>156.17454545454501</v>
      </c>
      <c r="F45" s="204"/>
      <c r="G45" s="204">
        <v>2.3546609188712599</v>
      </c>
      <c r="H45" s="21" t="s">
        <v>268</v>
      </c>
      <c r="I45" s="21"/>
      <c r="J45" s="21"/>
      <c r="K45" s="173">
        <f>((C45-U45)/U45)*100</f>
        <v>-5.524193548387097</v>
      </c>
      <c r="L45" s="24">
        <v>305</v>
      </c>
      <c r="M45" s="207">
        <v>823.96065573770488</v>
      </c>
      <c r="N45" s="208">
        <v>251308</v>
      </c>
      <c r="O45" s="43">
        <f>L45*C45</f>
        <v>178653.75</v>
      </c>
      <c r="P45" s="21">
        <f>O45-N45</f>
        <v>-72654.25</v>
      </c>
      <c r="Q45" s="21">
        <f>(P45/N45)*100</f>
        <v>-28.910440574912062</v>
      </c>
      <c r="R45" s="208">
        <v>259965.38175675675</v>
      </c>
      <c r="S45" s="24"/>
      <c r="T45" s="24">
        <v>3255</v>
      </c>
      <c r="U45" s="18">
        <v>620</v>
      </c>
      <c r="V45" s="18"/>
      <c r="W45" s="18"/>
      <c r="X45" s="18"/>
      <c r="Y45" s="179"/>
      <c r="Z45" s="179"/>
      <c r="AA45" s="18"/>
      <c r="AB45" s="18"/>
      <c r="AC45" s="18"/>
      <c r="AD45" s="58"/>
      <c r="AE45">
        <f>L45</f>
        <v>305</v>
      </c>
      <c r="AF45">
        <v>0</v>
      </c>
      <c r="AG45">
        <v>90</v>
      </c>
      <c r="AH45">
        <v>132</v>
      </c>
      <c r="AI45">
        <v>0</v>
      </c>
      <c r="AJ45">
        <v>83</v>
      </c>
      <c r="AK45">
        <f>AF45+AG45+AH45+AI45+AJ45</f>
        <v>305</v>
      </c>
      <c r="AL45">
        <f>AK45-AE45</f>
        <v>0</v>
      </c>
    </row>
    <row r="46" spans="1:38" hidden="1">
      <c r="A46" s="3">
        <v>45</v>
      </c>
      <c r="B46" s="455" t="s">
        <v>68</v>
      </c>
      <c r="C46" s="21">
        <v>351.55</v>
      </c>
      <c r="D46" s="203">
        <v>15.0575730735164</v>
      </c>
      <c r="E46" s="21">
        <v>70.235294117647101</v>
      </c>
      <c r="F46" s="205">
        <v>0</v>
      </c>
      <c r="G46" s="204">
        <v>15.5608015967599</v>
      </c>
      <c r="H46" s="21" t="s">
        <v>165</v>
      </c>
      <c r="I46" s="21">
        <v>50</v>
      </c>
      <c r="J46" s="21"/>
      <c r="K46" s="173">
        <f>((C46-U46)/U46)*100</f>
        <v>7.2452715070164739</v>
      </c>
      <c r="L46" s="43">
        <v>185</v>
      </c>
      <c r="M46" s="176">
        <v>315.10810810810813</v>
      </c>
      <c r="N46" s="177">
        <v>58295</v>
      </c>
      <c r="O46" s="43">
        <f>L46*C46</f>
        <v>65036.75</v>
      </c>
      <c r="P46" s="21">
        <f>O46-N46</f>
        <v>6741.75</v>
      </c>
      <c r="Q46" s="21">
        <f>(P46/N46)*100</f>
        <v>11.564885496183207</v>
      </c>
      <c r="R46" s="177">
        <v>78632.388513513521</v>
      </c>
      <c r="S46" s="44"/>
      <c r="T46" s="44">
        <v>-381</v>
      </c>
      <c r="U46" s="18">
        <v>327.8</v>
      </c>
      <c r="V46" s="18"/>
      <c r="W46" s="18">
        <f>((C46-V46)/C46)*100</f>
        <v>100</v>
      </c>
      <c r="X46" s="18">
        <v>327.8</v>
      </c>
      <c r="Y46" s="18">
        <f>((C46-X46)/X46)*100</f>
        <v>7.2452715070164739</v>
      </c>
      <c r="Z46" s="179">
        <f>O46/E46</f>
        <v>925.98387772194246</v>
      </c>
      <c r="AA46" s="18" t="s">
        <v>58</v>
      </c>
      <c r="AB46" s="18">
        <v>30</v>
      </c>
      <c r="AC46" s="24">
        <v>300.22000000000003</v>
      </c>
      <c r="AD46" s="57"/>
      <c r="AE46">
        <f>L46</f>
        <v>185</v>
      </c>
      <c r="AF46">
        <v>0</v>
      </c>
      <c r="AG46">
        <v>0</v>
      </c>
      <c r="AH46">
        <v>0</v>
      </c>
      <c r="AI46">
        <v>0</v>
      </c>
      <c r="AJ46">
        <v>185</v>
      </c>
      <c r="AK46">
        <f>AF46+AG46+AH46+AI46+AJ46</f>
        <v>185</v>
      </c>
      <c r="AL46" s="216">
        <f>AK46-AE46</f>
        <v>0</v>
      </c>
    </row>
    <row r="47" spans="1:38" hidden="1">
      <c r="A47" s="3">
        <v>95</v>
      </c>
      <c r="B47" t="s">
        <v>1217</v>
      </c>
      <c r="C47" s="1">
        <v>334.7</v>
      </c>
      <c r="L47" s="1">
        <v>400</v>
      </c>
      <c r="M47" s="35">
        <v>356.04</v>
      </c>
      <c r="N47" s="208">
        <v>142416</v>
      </c>
      <c r="O47" s="43">
        <f>L47*C47</f>
        <v>133880</v>
      </c>
      <c r="P47" s="21">
        <f>O47-N47</f>
        <v>-8536</v>
      </c>
      <c r="Q47" s="21">
        <f>(P47/N47)*100</f>
        <v>-5.9937085720705534</v>
      </c>
      <c r="R47" s="1">
        <v>10103.837837837838</v>
      </c>
      <c r="T47" s="1">
        <v>0</v>
      </c>
      <c r="AE47">
        <f>L47</f>
        <v>400</v>
      </c>
      <c r="AF47">
        <v>0</v>
      </c>
      <c r="AG47">
        <v>400</v>
      </c>
      <c r="AH47">
        <v>0</v>
      </c>
      <c r="AI47">
        <v>0</v>
      </c>
      <c r="AJ47">
        <v>0</v>
      </c>
      <c r="AK47">
        <f>AF47+AG47+AH47+AI47+AJ47</f>
        <v>400</v>
      </c>
      <c r="AL47">
        <f>AK47-AE47</f>
        <v>0</v>
      </c>
    </row>
    <row r="48" spans="1:38" ht="72.5" hidden="1">
      <c r="A48" s="3">
        <v>47</v>
      </c>
      <c r="B48" s="181" t="s">
        <v>23</v>
      </c>
      <c r="C48" s="21">
        <v>186.45</v>
      </c>
      <c r="D48" s="203">
        <v>12.236195616201201</v>
      </c>
      <c r="E48" s="21">
        <v>155.64964111099599</v>
      </c>
      <c r="F48" s="205">
        <v>0</v>
      </c>
      <c r="G48" s="204">
        <v>12.089547227612799</v>
      </c>
      <c r="H48" s="21" t="s">
        <v>165</v>
      </c>
      <c r="I48" s="21">
        <v>400</v>
      </c>
      <c r="J48" s="21" t="s">
        <v>233</v>
      </c>
      <c r="K48" s="173">
        <f>((C48-U48)/U48)*100</f>
        <v>-1.8684210526315848</v>
      </c>
      <c r="L48" s="43">
        <v>90</v>
      </c>
      <c r="M48" s="176">
        <v>237.12222222222223</v>
      </c>
      <c r="N48" s="177">
        <v>21341</v>
      </c>
      <c r="O48" s="43">
        <f>L48*C48</f>
        <v>16780.5</v>
      </c>
      <c r="P48" s="21">
        <f>O48-N48</f>
        <v>-4560.5</v>
      </c>
      <c r="Q48" s="21">
        <f>(P48/N48)*100</f>
        <v>-21.3696640269903</v>
      </c>
      <c r="R48" s="177">
        <v>22248.54054054054</v>
      </c>
      <c r="S48" s="44"/>
      <c r="T48" s="44">
        <v>897</v>
      </c>
      <c r="U48" s="504">
        <v>190</v>
      </c>
      <c r="V48" s="18">
        <v>170</v>
      </c>
      <c r="W48" s="18">
        <f>((C48-V48)/C48)*100</f>
        <v>8.8227406811477547</v>
      </c>
      <c r="X48" s="18">
        <v>241.05</v>
      </c>
      <c r="Y48" s="18">
        <f>((C48-X48)/X48)*100</f>
        <v>-22.650902302426889</v>
      </c>
      <c r="Z48" s="179">
        <f>O48/E48</f>
        <v>107.80943586007747</v>
      </c>
      <c r="AA48" s="18"/>
      <c r="AB48" s="18">
        <v>30</v>
      </c>
      <c r="AC48" s="24"/>
      <c r="AD48" s="57"/>
      <c r="AE48">
        <f>L48</f>
        <v>90</v>
      </c>
      <c r="AF48">
        <v>0</v>
      </c>
      <c r="AG48">
        <v>0</v>
      </c>
      <c r="AH48">
        <v>0</v>
      </c>
      <c r="AI48">
        <v>90</v>
      </c>
      <c r="AJ48">
        <v>0</v>
      </c>
      <c r="AK48">
        <f>AF48+AG48+AH48+AI48+AJ48</f>
        <v>90</v>
      </c>
      <c r="AL48">
        <f>AK48-AE48</f>
        <v>0</v>
      </c>
    </row>
    <row r="49" spans="1:38" hidden="1">
      <c r="A49" s="3">
        <v>49</v>
      </c>
      <c r="B49" s="18" t="s">
        <v>982</v>
      </c>
      <c r="C49" s="24">
        <v>692.4</v>
      </c>
      <c r="D49" s="203">
        <v>9.7174657534246602</v>
      </c>
      <c r="E49" s="21">
        <v>129.07488986784099</v>
      </c>
      <c r="F49" s="204"/>
      <c r="G49" s="204">
        <v>1.5440548854904099</v>
      </c>
      <c r="H49" s="21" t="s">
        <v>44</v>
      </c>
      <c r="I49" s="21"/>
      <c r="J49" s="21"/>
      <c r="K49" s="173" t="e">
        <f>((C49-U49)/U49)*100</f>
        <v>#DIV/0!</v>
      </c>
      <c r="L49" s="24">
        <v>343</v>
      </c>
      <c r="M49" s="207">
        <v>681.00874635568516</v>
      </c>
      <c r="N49" s="208">
        <v>233586</v>
      </c>
      <c r="O49" s="43">
        <f>L49*C49</f>
        <v>237493.19999999998</v>
      </c>
      <c r="P49" s="21">
        <f>O49-N49</f>
        <v>3907.1999999999825</v>
      </c>
      <c r="Q49" s="21">
        <f>(P49/N49)*100</f>
        <v>1.6727029873365624</v>
      </c>
      <c r="R49" s="208">
        <v>231694.53378378379</v>
      </c>
      <c r="S49" s="24"/>
      <c r="T49" s="24">
        <v>18080</v>
      </c>
      <c r="U49" s="18"/>
      <c r="V49" s="18"/>
      <c r="W49" s="18"/>
      <c r="X49" s="18"/>
      <c r="Y49" s="179"/>
      <c r="Z49" s="179"/>
      <c r="AA49" s="18"/>
      <c r="AB49" s="18"/>
      <c r="AC49" s="18"/>
      <c r="AD49" s="58"/>
      <c r="AE49">
        <f>L49</f>
        <v>343</v>
      </c>
      <c r="AF49">
        <v>0</v>
      </c>
      <c r="AG49">
        <v>20</v>
      </c>
      <c r="AH49">
        <v>242</v>
      </c>
      <c r="AI49">
        <v>0</v>
      </c>
      <c r="AJ49">
        <v>81</v>
      </c>
      <c r="AK49">
        <f>AF49+AG49+AH49+AI49+AJ49</f>
        <v>343</v>
      </c>
      <c r="AL49">
        <f>AK49-AE49</f>
        <v>0</v>
      </c>
    </row>
    <row r="50" spans="1:38" hidden="1">
      <c r="A50" s="3">
        <v>50</v>
      </c>
      <c r="B50" s="21" t="s">
        <v>717</v>
      </c>
      <c r="C50" s="218">
        <v>1500.85</v>
      </c>
      <c r="D50" s="203">
        <v>13.4766649187205</v>
      </c>
      <c r="E50" s="21">
        <v>127.46303501945501</v>
      </c>
      <c r="F50" s="204"/>
      <c r="G50" s="204">
        <v>2.7266133025702701</v>
      </c>
      <c r="H50" s="21" t="s">
        <v>165</v>
      </c>
      <c r="I50" s="21"/>
      <c r="J50" s="21"/>
      <c r="K50" s="220">
        <f>((C50-U50)/U50)*100</f>
        <v>3.5068965517241319</v>
      </c>
      <c r="L50" s="24">
        <v>14</v>
      </c>
      <c r="M50" s="207">
        <v>961.28571428571433</v>
      </c>
      <c r="N50" s="208">
        <v>13458</v>
      </c>
      <c r="O50" s="43">
        <f>L50*C50</f>
        <v>21011.899999999998</v>
      </c>
      <c r="P50" s="21">
        <f>O50-N50</f>
        <v>7553.8999999999978</v>
      </c>
      <c r="Q50" s="21">
        <f>(P50/N50)*100</f>
        <v>56.129439738445519</v>
      </c>
      <c r="R50" s="208">
        <v>74929.527027027027</v>
      </c>
      <c r="S50" s="24"/>
      <c r="T50" s="24">
        <v>36418</v>
      </c>
      <c r="U50">
        <v>1450</v>
      </c>
      <c r="V50" s="18"/>
      <c r="W50" s="18">
        <f>((C50-V50)/C50)*100</f>
        <v>100</v>
      </c>
      <c r="X50" s="18"/>
      <c r="Y50" s="18" t="e">
        <f>((C50-X50)/X50)*100</f>
        <v>#DIV/0!</v>
      </c>
      <c r="Z50" s="179">
        <f>O50/E50</f>
        <v>164.84700836436932</v>
      </c>
      <c r="AA50" s="18"/>
      <c r="AB50" s="18"/>
      <c r="AC50" s="18"/>
      <c r="AD50" s="58"/>
      <c r="AE50">
        <f>L50</f>
        <v>14</v>
      </c>
      <c r="AF50">
        <v>0</v>
      </c>
      <c r="AG50">
        <v>9</v>
      </c>
      <c r="AH50">
        <v>2</v>
      </c>
      <c r="AI50">
        <v>3</v>
      </c>
      <c r="AJ50">
        <v>0</v>
      </c>
      <c r="AK50">
        <f>AF50+AG50+AH50+AI50+AJ50</f>
        <v>14</v>
      </c>
      <c r="AL50">
        <f>AK50-AE50</f>
        <v>0</v>
      </c>
    </row>
    <row r="51" spans="1:38" hidden="1">
      <c r="A51" s="3">
        <v>51</v>
      </c>
      <c r="B51" s="488" t="s">
        <v>894</v>
      </c>
      <c r="C51" s="218">
        <v>3448.75</v>
      </c>
      <c r="D51" s="203">
        <v>7.8312263996059803</v>
      </c>
      <c r="E51" s="21">
        <v>210.48218029350099</v>
      </c>
      <c r="F51" s="204"/>
      <c r="G51" s="204">
        <v>2.75870251805918</v>
      </c>
      <c r="H51" s="206" t="s">
        <v>44</v>
      </c>
      <c r="I51" s="21"/>
      <c r="J51" s="21"/>
      <c r="K51" s="173" t="e">
        <f>((C51-U51)/U51)*100</f>
        <v>#DIV/0!</v>
      </c>
      <c r="L51" s="24">
        <v>100</v>
      </c>
      <c r="M51" s="207">
        <v>4609.16</v>
      </c>
      <c r="N51" s="208">
        <v>460916</v>
      </c>
      <c r="O51" s="43">
        <f>L51*C51</f>
        <v>344875</v>
      </c>
      <c r="P51" s="21">
        <f>O51-N51</f>
        <v>-116041</v>
      </c>
      <c r="Q51" s="21">
        <f>(P51/N51)*100</f>
        <v>-25.176170929193169</v>
      </c>
      <c r="R51" s="208">
        <v>419345.03716216219</v>
      </c>
      <c r="S51" s="24"/>
      <c r="T51" s="24">
        <v>7065</v>
      </c>
      <c r="U51" s="18"/>
      <c r="V51" s="18"/>
      <c r="W51" s="18"/>
      <c r="X51" s="18"/>
      <c r="Y51" s="179"/>
      <c r="Z51" s="179"/>
      <c r="AA51" s="18"/>
      <c r="AB51" s="18"/>
      <c r="AE51">
        <f>L51</f>
        <v>100</v>
      </c>
      <c r="AF51">
        <v>0</v>
      </c>
      <c r="AG51">
        <v>37</v>
      </c>
      <c r="AH51">
        <v>46</v>
      </c>
      <c r="AI51">
        <v>8</v>
      </c>
      <c r="AJ51">
        <v>9</v>
      </c>
      <c r="AK51">
        <f>AF51+AG51+AH51+AI51+AJ51</f>
        <v>100</v>
      </c>
      <c r="AL51">
        <f>AK51-AE51</f>
        <v>0</v>
      </c>
    </row>
    <row r="52" spans="1:38" hidden="1">
      <c r="A52" s="3">
        <v>52</v>
      </c>
      <c r="B52" s="488" t="s">
        <v>746</v>
      </c>
      <c r="C52" s="24">
        <v>357.2</v>
      </c>
      <c r="D52" s="203">
        <v>25.011348161597802</v>
      </c>
      <c r="E52" s="21">
        <v>44.900181488203302</v>
      </c>
      <c r="F52" s="204"/>
      <c r="G52" s="204">
        <v>3.8752150758339199</v>
      </c>
      <c r="H52" s="21" t="s">
        <v>44</v>
      </c>
      <c r="I52" s="21"/>
      <c r="J52" s="21"/>
      <c r="K52" s="173">
        <f>((C52-U52)/U52)*100</f>
        <v>-43.043928884636848</v>
      </c>
      <c r="L52" s="24">
        <v>831</v>
      </c>
      <c r="M52" s="207">
        <v>527.13959085439228</v>
      </c>
      <c r="N52" s="208">
        <v>438053</v>
      </c>
      <c r="O52" s="43">
        <f>L52*C52</f>
        <v>296833.2</v>
      </c>
      <c r="P52" s="21">
        <f>O52-N52</f>
        <v>-141219.79999999999</v>
      </c>
      <c r="Q52" s="21">
        <f>(P52/N52)*100</f>
        <v>-32.238062517549245</v>
      </c>
      <c r="R52" s="208">
        <v>330739.48648648645</v>
      </c>
      <c r="S52" s="24"/>
      <c r="T52" s="24">
        <v>4544</v>
      </c>
      <c r="U52" s="18">
        <v>627.15</v>
      </c>
      <c r="V52" s="18"/>
      <c r="W52" s="18"/>
      <c r="X52" s="18"/>
      <c r="Y52" s="179"/>
      <c r="Z52" s="179"/>
      <c r="AA52" s="18"/>
      <c r="AB52" s="18"/>
      <c r="AC52" s="18"/>
      <c r="AD52" s="58"/>
      <c r="AE52">
        <f>L52</f>
        <v>831</v>
      </c>
      <c r="AF52">
        <v>0</v>
      </c>
      <c r="AG52">
        <v>501</v>
      </c>
      <c r="AH52">
        <v>199</v>
      </c>
      <c r="AI52">
        <v>20</v>
      </c>
      <c r="AJ52">
        <v>111</v>
      </c>
      <c r="AK52">
        <f>AF52+AG52+AH52+AI52+AJ52</f>
        <v>831</v>
      </c>
      <c r="AL52" s="216">
        <f>AK52-AE52</f>
        <v>0</v>
      </c>
    </row>
    <row r="53" spans="1:38" hidden="1">
      <c r="A53" s="3">
        <v>53</v>
      </c>
      <c r="B53" s="10" t="s">
        <v>25</v>
      </c>
      <c r="C53" s="21">
        <v>402.9</v>
      </c>
      <c r="D53" s="203">
        <v>84.320814717385005</v>
      </c>
      <c r="E53" s="21">
        <v>1.97667581822907</v>
      </c>
      <c r="F53" s="205"/>
      <c r="G53" s="204">
        <v>16.426897294528999</v>
      </c>
      <c r="H53" s="21" t="s">
        <v>44</v>
      </c>
      <c r="I53" s="21">
        <v>20</v>
      </c>
      <c r="J53" s="21"/>
      <c r="K53" s="173" t="e">
        <f>((C53-U53)/U53)*100</f>
        <v>#DIV/0!</v>
      </c>
      <c r="L53" s="43">
        <v>137</v>
      </c>
      <c r="M53" s="176">
        <v>441.20437956204381</v>
      </c>
      <c r="N53" s="177">
        <v>60445</v>
      </c>
      <c r="O53" s="43">
        <f>L53*C53</f>
        <v>55197.299999999996</v>
      </c>
      <c r="P53" s="21">
        <f>O53-N53</f>
        <v>-5247.7000000000044</v>
      </c>
      <c r="Q53" s="21">
        <f>(P53/N53)*100</f>
        <v>-8.6817768219042168</v>
      </c>
      <c r="R53" s="177">
        <v>116565.17567567568</v>
      </c>
      <c r="S53" s="44"/>
      <c r="T53" s="44">
        <v>13132</v>
      </c>
      <c r="U53" s="18"/>
      <c r="V53" s="18"/>
      <c r="W53" s="18">
        <f>((C53-V53)/C53)*100</f>
        <v>100</v>
      </c>
      <c r="X53" s="18"/>
      <c r="Y53" s="18" t="e">
        <f>((C53-X53)/X53)*100</f>
        <v>#DIV/0!</v>
      </c>
      <c r="Z53" s="179">
        <f>O53/E53</f>
        <v>27924.305792060524</v>
      </c>
      <c r="AA53" s="18"/>
      <c r="AB53" s="18">
        <v>30</v>
      </c>
      <c r="AC53" s="24"/>
      <c r="AD53" s="57"/>
      <c r="AE53">
        <f>L53</f>
        <v>137</v>
      </c>
      <c r="AF53">
        <v>0</v>
      </c>
      <c r="AG53">
        <v>40</v>
      </c>
      <c r="AH53">
        <v>22</v>
      </c>
      <c r="AI53">
        <v>75</v>
      </c>
      <c r="AJ53">
        <v>0</v>
      </c>
      <c r="AK53">
        <f>AF53+AG53+AH53+AI53+AJ53</f>
        <v>137</v>
      </c>
      <c r="AL53">
        <f>AK53-AE53</f>
        <v>0</v>
      </c>
    </row>
    <row r="54" spans="1:38" hidden="1">
      <c r="A54" s="3">
        <v>54</v>
      </c>
      <c r="B54" s="9" t="s">
        <v>812</v>
      </c>
      <c r="C54" s="24">
        <v>352.2</v>
      </c>
      <c r="D54" s="203">
        <v>0.37453183520599298</v>
      </c>
      <c r="E54" s="21">
        <v>3046.4</v>
      </c>
      <c r="F54" s="204">
        <v>0</v>
      </c>
      <c r="G54" s="204">
        <v>8.6387508526816195</v>
      </c>
      <c r="H54" s="21" t="s">
        <v>44</v>
      </c>
      <c r="I54" s="21"/>
      <c r="J54" s="21"/>
      <c r="K54" s="173">
        <f>((C54-U54)/U54)*100</f>
        <v>-9.4601542416452471</v>
      </c>
      <c r="L54" s="24">
        <v>426</v>
      </c>
      <c r="M54" s="207">
        <v>376.15492957746477</v>
      </c>
      <c r="N54" s="208">
        <v>160242</v>
      </c>
      <c r="O54" s="43">
        <f>L54*C54</f>
        <v>150037.19999999998</v>
      </c>
      <c r="P54" s="21">
        <f>O54-N54</f>
        <v>-10204.800000000017</v>
      </c>
      <c r="Q54" s="21">
        <f>(P54/N54)*100</f>
        <v>-6.3683678436365101</v>
      </c>
      <c r="R54" s="208">
        <v>180970.59459459459</v>
      </c>
      <c r="S54" s="24"/>
      <c r="T54" s="24">
        <v>5351</v>
      </c>
      <c r="U54" s="18">
        <v>389</v>
      </c>
      <c r="V54" s="18"/>
      <c r="W54" s="18"/>
      <c r="X54" s="18"/>
      <c r="Y54" s="179"/>
      <c r="Z54" s="179"/>
      <c r="AA54" s="18"/>
      <c r="AB54" s="18"/>
      <c r="AE54">
        <f>L54</f>
        <v>426</v>
      </c>
      <c r="AF54">
        <v>0</v>
      </c>
      <c r="AG54">
        <v>83</v>
      </c>
      <c r="AH54">
        <v>343</v>
      </c>
      <c r="AI54">
        <v>0</v>
      </c>
      <c r="AJ54">
        <v>0</v>
      </c>
      <c r="AK54">
        <f>AF54+AG54+AH54+AI54+AJ54</f>
        <v>426</v>
      </c>
      <c r="AL54">
        <f>AK54-AE54</f>
        <v>0</v>
      </c>
    </row>
    <row r="55" spans="1:38" hidden="1">
      <c r="A55" s="3">
        <v>55</v>
      </c>
      <c r="B55" s="489" t="s">
        <v>252</v>
      </c>
      <c r="C55" s="446">
        <v>1328.15</v>
      </c>
      <c r="D55" s="213">
        <v>44.571628769821899</v>
      </c>
      <c r="E55" s="206">
        <v>14.973777462792301</v>
      </c>
      <c r="F55" s="214">
        <v>2.84</v>
      </c>
      <c r="G55" s="215">
        <v>7.03710465897763</v>
      </c>
      <c r="H55" s="206" t="s">
        <v>268</v>
      </c>
      <c r="I55" s="206">
        <v>15</v>
      </c>
      <c r="J55" s="206"/>
      <c r="K55" s="220">
        <f>((C55-U55)/U55)*100</f>
        <v>51.442417331813004</v>
      </c>
      <c r="L55" s="181">
        <v>36</v>
      </c>
      <c r="M55" s="302">
        <v>537.25</v>
      </c>
      <c r="N55" s="399">
        <v>19341</v>
      </c>
      <c r="O55" s="181">
        <f>L55*C55</f>
        <v>47813.4</v>
      </c>
      <c r="P55" s="206">
        <f>O55-N55</f>
        <v>28472.400000000001</v>
      </c>
      <c r="Q55" s="206">
        <f>(P55/N55)*100</f>
        <v>147.21265704979061</v>
      </c>
      <c r="R55" s="399">
        <v>22420.236486486487</v>
      </c>
      <c r="S55" s="257">
        <v>1267</v>
      </c>
      <c r="T55" s="257">
        <v>2891</v>
      </c>
      <c r="U55" s="447">
        <v>877</v>
      </c>
      <c r="V55" s="18"/>
      <c r="W55" s="18">
        <f>((C55-V55)/C55)*100</f>
        <v>100</v>
      </c>
      <c r="X55" s="18">
        <v>1267</v>
      </c>
      <c r="Y55" s="18">
        <f>((C55-X55)/X55)*100</f>
        <v>4.8263614838200546</v>
      </c>
      <c r="Z55" s="179">
        <f>O55/E55</f>
        <v>3193.1421525937244</v>
      </c>
      <c r="AA55" s="18" t="s">
        <v>63</v>
      </c>
      <c r="AB55" s="18">
        <v>30</v>
      </c>
      <c r="AC55" s="24">
        <v>1008</v>
      </c>
      <c r="AD55" s="57"/>
      <c r="AE55">
        <f>L55</f>
        <v>36</v>
      </c>
      <c r="AF55">
        <v>0</v>
      </c>
      <c r="AG55">
        <v>0</v>
      </c>
      <c r="AH55">
        <v>0</v>
      </c>
      <c r="AI55">
        <v>36</v>
      </c>
      <c r="AJ55">
        <v>0</v>
      </c>
      <c r="AK55">
        <f>AF55+AG55+AH55+AI55+AJ55</f>
        <v>36</v>
      </c>
      <c r="AL55">
        <f>AK55-AE55</f>
        <v>0</v>
      </c>
    </row>
    <row r="56" spans="1:38" hidden="1">
      <c r="A56" s="3">
        <v>56</v>
      </c>
      <c r="B56" s="490" t="s">
        <v>26</v>
      </c>
      <c r="C56" s="269">
        <v>121.65</v>
      </c>
      <c r="D56" s="270">
        <v>74.366930885602301</v>
      </c>
      <c r="E56" s="269">
        <v>8.9824612069270007</v>
      </c>
      <c r="F56" s="271">
        <v>3.38</v>
      </c>
      <c r="G56" s="272">
        <v>11.1351521627208</v>
      </c>
      <c r="H56" s="269" t="s">
        <v>268</v>
      </c>
      <c r="I56" s="219">
        <v>120</v>
      </c>
      <c r="J56" s="219"/>
      <c r="K56" s="221">
        <f>((C56-U56)/U56)*100</f>
        <v>11.605504587155968</v>
      </c>
      <c r="L56" s="222">
        <v>1228</v>
      </c>
      <c r="M56" s="259">
        <v>164.88110749185668</v>
      </c>
      <c r="N56" s="264">
        <v>202474</v>
      </c>
      <c r="O56" s="222">
        <f>L56*C56</f>
        <v>149386.20000000001</v>
      </c>
      <c r="P56" s="219">
        <f>O56-N56</f>
        <v>-53087.799999999988</v>
      </c>
      <c r="Q56" s="219">
        <f>(P56/N56)*100</f>
        <v>-26.219563993401618</v>
      </c>
      <c r="R56" s="264">
        <v>283088.14189189189</v>
      </c>
      <c r="S56" s="291">
        <v>108</v>
      </c>
      <c r="T56" s="291">
        <v>6778</v>
      </c>
      <c r="U56" s="60">
        <v>109</v>
      </c>
      <c r="V56" s="18"/>
      <c r="W56" s="18">
        <f>((C56-V56)/C56)*100</f>
        <v>100</v>
      </c>
      <c r="X56" s="18">
        <v>108</v>
      </c>
      <c r="Y56" s="18">
        <f>((C56-X56)/X56)*100</f>
        <v>12.638888888888895</v>
      </c>
      <c r="Z56" s="179">
        <f>O56/E56</f>
        <v>16630.876166189053</v>
      </c>
      <c r="AA56" s="18"/>
      <c r="AB56" s="18">
        <v>30</v>
      </c>
      <c r="AC56" s="24"/>
      <c r="AD56" s="57"/>
      <c r="AE56">
        <f>L56</f>
        <v>1228</v>
      </c>
      <c r="AF56">
        <v>0</v>
      </c>
      <c r="AG56">
        <v>946</v>
      </c>
      <c r="AH56">
        <v>0</v>
      </c>
      <c r="AI56">
        <v>137</v>
      </c>
      <c r="AJ56">
        <v>145</v>
      </c>
      <c r="AK56">
        <f>AF56+AG56+AH56+AI56+AJ56</f>
        <v>1228</v>
      </c>
      <c r="AL56">
        <f>AK56-AE56</f>
        <v>0</v>
      </c>
    </row>
    <row r="57" spans="1:38" hidden="1">
      <c r="A57" s="3">
        <v>57</v>
      </c>
      <c r="B57" s="9" t="s">
        <v>727</v>
      </c>
      <c r="C57" s="218">
        <v>1604.7</v>
      </c>
      <c r="D57" s="203">
        <v>3.5701535166012101E-3</v>
      </c>
      <c r="E57" s="21">
        <v>142600</v>
      </c>
      <c r="F57" s="204">
        <v>0</v>
      </c>
      <c r="G57" s="204">
        <v>1.74249882652682</v>
      </c>
      <c r="H57" s="21" t="s">
        <v>44</v>
      </c>
      <c r="I57" s="21"/>
      <c r="J57" s="21"/>
      <c r="K57" s="173">
        <f>((C57-U57)/U57)*100</f>
        <v>-8.0946450809461681E-2</v>
      </c>
      <c r="L57" s="24">
        <v>154</v>
      </c>
      <c r="M57" s="207">
        <v>1561.1428571428571</v>
      </c>
      <c r="N57" s="208">
        <v>240416</v>
      </c>
      <c r="O57" s="43">
        <f>L57*C57</f>
        <v>247123.80000000002</v>
      </c>
      <c r="P57" s="21">
        <f>O57-N57</f>
        <v>6707.8000000000175</v>
      </c>
      <c r="Q57" s="21">
        <f>(P57/N57)*100</f>
        <v>2.7900805270863906</v>
      </c>
      <c r="R57" s="208">
        <v>249047.12162162163</v>
      </c>
      <c r="S57" s="24"/>
      <c r="T57" s="24">
        <v>13227</v>
      </c>
      <c r="U57" s="227">
        <v>1606</v>
      </c>
      <c r="V57" s="18"/>
      <c r="W57" s="18"/>
      <c r="X57" s="18"/>
      <c r="Y57" s="179"/>
      <c r="Z57" s="179"/>
      <c r="AA57" s="18"/>
      <c r="AB57" s="18"/>
      <c r="AC57" s="18"/>
      <c r="AD57" s="58"/>
      <c r="AE57">
        <f>L57</f>
        <v>154</v>
      </c>
      <c r="AF57">
        <v>0</v>
      </c>
      <c r="AG57">
        <v>22</v>
      </c>
      <c r="AH57">
        <v>111</v>
      </c>
      <c r="AI57">
        <v>0</v>
      </c>
      <c r="AJ57">
        <v>21</v>
      </c>
      <c r="AK57">
        <f>AF57+AG57+AH57+AI57+AJ57</f>
        <v>154</v>
      </c>
      <c r="AL57">
        <f>AK57-AE57</f>
        <v>0</v>
      </c>
    </row>
    <row r="58" spans="1:38" hidden="1">
      <c r="A58" s="3">
        <v>58</v>
      </c>
      <c r="B58" s="254" t="s">
        <v>893</v>
      </c>
      <c r="C58" s="218">
        <v>627.29999999999995</v>
      </c>
      <c r="D58" s="203">
        <v>31.418658442559799</v>
      </c>
      <c r="E58" s="21">
        <v>7.3619631901840501</v>
      </c>
      <c r="F58" s="204"/>
      <c r="G58" s="204">
        <v>0.80176727234342104</v>
      </c>
      <c r="H58" s="21" t="s">
        <v>268</v>
      </c>
      <c r="I58" s="21"/>
      <c r="J58" s="21"/>
      <c r="K58" s="173">
        <f>((C58-U58)/U58)*100</f>
        <v>8.5294117647058734</v>
      </c>
      <c r="L58" s="24">
        <v>242</v>
      </c>
      <c r="M58" s="207">
        <v>1031.2479338842975</v>
      </c>
      <c r="N58" s="208">
        <v>249562</v>
      </c>
      <c r="O58" s="43">
        <f>L58*C58</f>
        <v>151806.59999999998</v>
      </c>
      <c r="P58" s="21">
        <f>O58-N58</f>
        <v>-97755.400000000023</v>
      </c>
      <c r="Q58" s="21">
        <f>(P58/N58)*100</f>
        <v>-39.170787219208066</v>
      </c>
      <c r="R58" s="208">
        <v>255082.88513513515</v>
      </c>
      <c r="S58" s="24"/>
      <c r="T58" s="24">
        <v>-8901</v>
      </c>
      <c r="U58" s="18">
        <v>578</v>
      </c>
      <c r="V58" s="18"/>
      <c r="W58" s="18"/>
      <c r="X58" s="18"/>
      <c r="Y58" s="179"/>
      <c r="Z58" s="179"/>
      <c r="AA58" s="18"/>
      <c r="AB58" s="18"/>
      <c r="AE58">
        <f>L58</f>
        <v>242</v>
      </c>
      <c r="AF58">
        <v>0</v>
      </c>
      <c r="AG58">
        <v>6</v>
      </c>
      <c r="AH58">
        <v>236</v>
      </c>
      <c r="AI58">
        <v>0</v>
      </c>
      <c r="AJ58">
        <v>0</v>
      </c>
      <c r="AK58">
        <f>AF58+AG58+AH58+AI58+AJ58</f>
        <v>242</v>
      </c>
      <c r="AL58">
        <f>AK58-AE58</f>
        <v>0</v>
      </c>
    </row>
    <row r="59" spans="1:38" hidden="1">
      <c r="A59" s="3">
        <v>59</v>
      </c>
      <c r="B59" s="18" t="s">
        <v>842</v>
      </c>
      <c r="C59" s="218">
        <v>1201.7</v>
      </c>
      <c r="D59" s="203">
        <v>46.610169491525397</v>
      </c>
      <c r="E59" s="21">
        <v>32.080808080808097</v>
      </c>
      <c r="F59" s="204"/>
      <c r="G59" s="204">
        <v>6.3588014324839204</v>
      </c>
      <c r="H59" s="21" t="s">
        <v>165</v>
      </c>
      <c r="I59" s="21"/>
      <c r="J59" s="21"/>
      <c r="K59" s="173">
        <f>((C59-U59)/U59)*100</f>
        <v>-21.519070010449319</v>
      </c>
      <c r="L59" s="24">
        <v>53</v>
      </c>
      <c r="M59" s="207">
        <v>972.79245283018872</v>
      </c>
      <c r="N59" s="208">
        <v>51558</v>
      </c>
      <c r="O59" s="43">
        <f>L59*C59</f>
        <v>63690.100000000006</v>
      </c>
      <c r="P59" s="21">
        <f>O59-N59</f>
        <v>12132.100000000006</v>
      </c>
      <c r="Q59" s="21">
        <f>(P59/N59)*100</f>
        <v>23.530974824469542</v>
      </c>
      <c r="R59" s="208">
        <v>72759.841216216213</v>
      </c>
      <c r="S59" s="24"/>
      <c r="T59" s="24">
        <v>78218</v>
      </c>
      <c r="U59" s="18">
        <v>1531.2</v>
      </c>
      <c r="V59" s="18"/>
      <c r="W59" s="18"/>
      <c r="X59" s="18"/>
      <c r="Y59" s="179"/>
      <c r="Z59" s="179"/>
      <c r="AA59" s="18"/>
      <c r="AB59" s="18"/>
      <c r="AE59">
        <f>L59</f>
        <v>53</v>
      </c>
      <c r="AF59">
        <v>0</v>
      </c>
      <c r="AG59">
        <v>0</v>
      </c>
      <c r="AH59">
        <v>53</v>
      </c>
      <c r="AI59">
        <v>0</v>
      </c>
      <c r="AJ59">
        <v>0</v>
      </c>
      <c r="AK59">
        <f>AF59+AG59+AH59+AI59+AJ59</f>
        <v>53</v>
      </c>
      <c r="AL59">
        <f>AK59-AE59</f>
        <v>0</v>
      </c>
    </row>
    <row r="60" spans="1:38" hidden="1">
      <c r="A60" s="3">
        <v>60</v>
      </c>
      <c r="B60" s="51" t="s">
        <v>27</v>
      </c>
      <c r="C60" s="21">
        <v>33.1</v>
      </c>
      <c r="D60" s="203">
        <v>1.7757009345794399</v>
      </c>
      <c r="E60" s="21">
        <v>403.13684210526299</v>
      </c>
      <c r="F60" s="205">
        <v>0</v>
      </c>
      <c r="G60" s="204">
        <v>5.1407820834229598</v>
      </c>
      <c r="H60" s="21" t="s">
        <v>268</v>
      </c>
      <c r="I60" s="21">
        <v>200</v>
      </c>
      <c r="J60" s="21"/>
      <c r="K60" s="173">
        <f>((C60-U60)/U60)*100</f>
        <v>9.2409240924092426</v>
      </c>
      <c r="L60" s="43">
        <v>3575</v>
      </c>
      <c r="M60" s="176">
        <v>39.581818181818178</v>
      </c>
      <c r="N60" s="177">
        <v>141505</v>
      </c>
      <c r="O60" s="43">
        <f>L60*C60</f>
        <v>118332.5</v>
      </c>
      <c r="P60" s="21">
        <f>O60-N60</f>
        <v>-23172.5</v>
      </c>
      <c r="Q60" s="21">
        <f>(P60/N60)*100</f>
        <v>-16.375746440055121</v>
      </c>
      <c r="R60" s="177">
        <v>135431.04054054056</v>
      </c>
      <c r="S60" s="52"/>
      <c r="T60" s="52">
        <v>6308</v>
      </c>
      <c r="U60" s="18">
        <v>30.3</v>
      </c>
      <c r="V60" s="18"/>
      <c r="W60" s="18">
        <f>((C60-V60)/C60)*100</f>
        <v>100</v>
      </c>
      <c r="X60" s="18"/>
      <c r="Y60" s="18" t="e">
        <f>((C60-X60)/X60)*100</f>
        <v>#DIV/0!</v>
      </c>
      <c r="Z60" s="179">
        <f>O60/E60</f>
        <v>293.52936184657176</v>
      </c>
      <c r="AA60" s="18"/>
      <c r="AB60" s="18">
        <v>30</v>
      </c>
      <c r="AC60" s="24"/>
      <c r="AD60" s="57"/>
      <c r="AE60">
        <f>L60</f>
        <v>3575</v>
      </c>
      <c r="AF60">
        <v>0</v>
      </c>
      <c r="AG60">
        <v>2125</v>
      </c>
      <c r="AH60">
        <v>900</v>
      </c>
      <c r="AI60">
        <v>550</v>
      </c>
      <c r="AJ60">
        <v>0</v>
      </c>
      <c r="AK60">
        <f>AF60+AG60+AH60+AI60+AJ60</f>
        <v>3575</v>
      </c>
      <c r="AL60" s="216">
        <f>AK60-AE60</f>
        <v>0</v>
      </c>
    </row>
    <row r="61" spans="1:38" hidden="1">
      <c r="A61" s="3">
        <v>61</v>
      </c>
      <c r="B61" s="21" t="s">
        <v>545</v>
      </c>
      <c r="C61" s="218">
        <v>1687.15</v>
      </c>
      <c r="D61" s="203">
        <v>8.3815028901734099</v>
      </c>
      <c r="E61" s="21">
        <v>237.04137931034501</v>
      </c>
      <c r="F61" s="204"/>
      <c r="G61" s="204">
        <v>1.3246318199966201</v>
      </c>
      <c r="H61" s="21" t="s">
        <v>44</v>
      </c>
      <c r="I61" s="21"/>
      <c r="J61" s="21"/>
      <c r="K61" s="173"/>
      <c r="L61" s="24">
        <v>162</v>
      </c>
      <c r="M61" s="207">
        <v>1309.1111111111111</v>
      </c>
      <c r="N61" s="208">
        <v>212076</v>
      </c>
      <c r="O61" s="24">
        <f>L61*C61</f>
        <v>273318.3</v>
      </c>
      <c r="P61" s="24">
        <f>O61-N61</f>
        <v>61242.299999999988</v>
      </c>
      <c r="Q61" s="209">
        <f>(P61/N61)*100</f>
        <v>28.877525038193852</v>
      </c>
      <c r="R61" s="208">
        <v>204380.36486486488</v>
      </c>
      <c r="S61" s="24"/>
      <c r="T61" s="24">
        <v>10615</v>
      </c>
      <c r="U61" s="18"/>
      <c r="V61" s="18"/>
      <c r="W61" s="18"/>
      <c r="X61" s="18"/>
      <c r="Y61" s="179"/>
      <c r="Z61" s="179"/>
      <c r="AA61" s="18" t="s">
        <v>548</v>
      </c>
      <c r="AB61" s="18"/>
      <c r="AC61" s="18"/>
      <c r="AD61" s="58"/>
      <c r="AE61">
        <f>L61</f>
        <v>162</v>
      </c>
      <c r="AF61">
        <v>0</v>
      </c>
      <c r="AG61">
        <v>79</v>
      </c>
      <c r="AH61">
        <v>23</v>
      </c>
      <c r="AI61">
        <v>10</v>
      </c>
      <c r="AJ61">
        <v>50</v>
      </c>
      <c r="AK61">
        <f>AF61+AG61+AH61+AI61+AJ61</f>
        <v>162</v>
      </c>
      <c r="AL61">
        <f>AK61-AE61</f>
        <v>0</v>
      </c>
    </row>
    <row r="62" spans="1:38" hidden="1">
      <c r="A62" s="3">
        <v>62</v>
      </c>
      <c r="B62" s="437" t="s">
        <v>594</v>
      </c>
      <c r="C62" s="218">
        <v>612.9</v>
      </c>
      <c r="D62" s="203">
        <v>1.0349288486416599</v>
      </c>
      <c r="E62" s="21">
        <v>297.75</v>
      </c>
      <c r="F62" s="204"/>
      <c r="G62" s="204">
        <v>1.27602366608413</v>
      </c>
      <c r="H62" s="21" t="s">
        <v>165</v>
      </c>
      <c r="I62" s="21"/>
      <c r="J62" s="21"/>
      <c r="K62" s="173">
        <f>((C62-U62)/U62)*100</f>
        <v>-37.713414634146339</v>
      </c>
      <c r="L62" s="24">
        <v>86</v>
      </c>
      <c r="M62" s="207">
        <v>765.18604651162786</v>
      </c>
      <c r="N62" s="208">
        <v>65806</v>
      </c>
      <c r="O62" s="43">
        <f>L62*C62</f>
        <v>52709.4</v>
      </c>
      <c r="P62" s="21">
        <f>O62-N62</f>
        <v>-13096.599999999999</v>
      </c>
      <c r="Q62" s="21">
        <f>(P62/N62)*100</f>
        <v>-19.9018326596359</v>
      </c>
      <c r="R62" s="208">
        <v>41098.479729729726</v>
      </c>
      <c r="S62" s="24"/>
      <c r="T62" s="24">
        <v>0</v>
      </c>
      <c r="U62" s="18">
        <v>984</v>
      </c>
      <c r="V62" s="18"/>
      <c r="W62" s="18"/>
      <c r="X62" s="18"/>
      <c r="Y62" s="179"/>
      <c r="Z62" s="179"/>
      <c r="AA62" s="18"/>
      <c r="AB62" s="18"/>
      <c r="AC62" s="18"/>
      <c r="AD62" s="58"/>
      <c r="AE62">
        <f>L62</f>
        <v>86</v>
      </c>
      <c r="AF62">
        <v>0</v>
      </c>
      <c r="AG62">
        <v>50</v>
      </c>
      <c r="AH62">
        <v>0</v>
      </c>
      <c r="AI62">
        <v>0</v>
      </c>
      <c r="AJ62">
        <v>36</v>
      </c>
      <c r="AK62">
        <f>AF62+AG62+AH62+AI62+AJ62</f>
        <v>86</v>
      </c>
      <c r="AL62">
        <f>AK62-AE62</f>
        <v>0</v>
      </c>
    </row>
    <row r="63" spans="1:38" hidden="1">
      <c r="A63" s="3">
        <v>63</v>
      </c>
      <c r="B63" s="254" t="s">
        <v>723</v>
      </c>
      <c r="C63" s="24">
        <v>382.55</v>
      </c>
      <c r="D63" s="203">
        <v>2.1715526601520101</v>
      </c>
      <c r="E63" s="21">
        <v>991</v>
      </c>
      <c r="F63" s="204">
        <v>0</v>
      </c>
      <c r="G63" s="204">
        <v>7.4714206076743599</v>
      </c>
      <c r="H63" s="21" t="s">
        <v>44</v>
      </c>
      <c r="I63" s="21"/>
      <c r="J63" s="21"/>
      <c r="K63" s="173">
        <f>((C63-U63)/U63)*100</f>
        <v>-39.374009508716327</v>
      </c>
      <c r="L63" s="24">
        <v>548</v>
      </c>
      <c r="M63" s="207">
        <v>540.16970802919707</v>
      </c>
      <c r="N63" s="208">
        <v>296013</v>
      </c>
      <c r="O63" s="43">
        <f>L63*C63</f>
        <v>209637.4</v>
      </c>
      <c r="P63" s="21">
        <f>O63-N63</f>
        <v>-86375.6</v>
      </c>
      <c r="Q63" s="21">
        <f>(P63/N63)*100</f>
        <v>-29.179664406630788</v>
      </c>
      <c r="R63" s="208">
        <v>305540.61486486485</v>
      </c>
      <c r="S63" s="24"/>
      <c r="T63" s="24">
        <v>1602</v>
      </c>
      <c r="U63" s="227">
        <v>631</v>
      </c>
      <c r="V63" s="18"/>
      <c r="W63" s="18"/>
      <c r="X63" s="18"/>
      <c r="Y63" s="179"/>
      <c r="Z63" s="179"/>
      <c r="AA63" s="18"/>
      <c r="AB63" s="18"/>
      <c r="AC63" s="18"/>
      <c r="AD63" s="58"/>
      <c r="AE63">
        <f>L63</f>
        <v>548</v>
      </c>
      <c r="AF63">
        <v>0</v>
      </c>
      <c r="AG63">
        <v>380</v>
      </c>
      <c r="AH63">
        <v>6</v>
      </c>
      <c r="AI63">
        <v>20</v>
      </c>
      <c r="AJ63">
        <v>142</v>
      </c>
      <c r="AK63">
        <f>AF63+AG63+AH63+AI63+AJ63</f>
        <v>548</v>
      </c>
      <c r="AL63">
        <f>AK63-AE63</f>
        <v>0</v>
      </c>
    </row>
    <row r="64" spans="1:38" hidden="1">
      <c r="A64" s="3">
        <v>64</v>
      </c>
      <c r="B64" s="18" t="s">
        <v>931</v>
      </c>
      <c r="C64" s="24">
        <v>131.1</v>
      </c>
      <c r="D64" s="203">
        <v>7.8112413854828597</v>
      </c>
      <c r="E64" s="21">
        <v>232.67831566886301</v>
      </c>
      <c r="F64" s="204"/>
      <c r="G64" s="204">
        <v>21.1881232392792</v>
      </c>
      <c r="H64" s="21" t="s">
        <v>44</v>
      </c>
      <c r="I64" s="21"/>
      <c r="J64" s="21"/>
      <c r="K64" s="173" t="e">
        <f>((C64-U64)/U64)*100</f>
        <v>#DIV/0!</v>
      </c>
      <c r="L64" s="24">
        <v>1234</v>
      </c>
      <c r="M64" s="207">
        <v>136.7933549432739</v>
      </c>
      <c r="N64" s="208">
        <v>168803</v>
      </c>
      <c r="O64" s="43">
        <f>L64*C64</f>
        <v>161777.4</v>
      </c>
      <c r="P64" s="21">
        <f>O64-N64</f>
        <v>-7025.6000000000058</v>
      </c>
      <c r="Q64" s="21">
        <f>(P64/N64)*100</f>
        <v>-4.1620113386610456</v>
      </c>
      <c r="R64" s="208">
        <v>140316.26689189189</v>
      </c>
      <c r="S64" s="24"/>
      <c r="T64" s="24">
        <v>8753</v>
      </c>
      <c r="U64" s="18"/>
      <c r="V64" s="18"/>
      <c r="W64" s="18"/>
      <c r="X64" s="18"/>
      <c r="Y64" s="179"/>
      <c r="Z64" s="179"/>
      <c r="AA64" s="18"/>
      <c r="AB64" s="18"/>
      <c r="AC64" s="18"/>
      <c r="AD64" s="58"/>
      <c r="AE64">
        <f>L64</f>
        <v>1234</v>
      </c>
      <c r="AF64">
        <v>0</v>
      </c>
      <c r="AG64">
        <v>770</v>
      </c>
      <c r="AH64">
        <v>300</v>
      </c>
      <c r="AI64">
        <v>164</v>
      </c>
      <c r="AJ64">
        <v>0</v>
      </c>
      <c r="AK64">
        <f>AF64+AG64+AH64+AI64+AJ64</f>
        <v>1234</v>
      </c>
      <c r="AL64">
        <f>AK64-AE64</f>
        <v>0</v>
      </c>
    </row>
    <row r="65" spans="1:38" hidden="1">
      <c r="A65" s="3">
        <v>95</v>
      </c>
      <c r="B65" s="21" t="s">
        <v>1147</v>
      </c>
      <c r="C65" s="24">
        <v>228.95</v>
      </c>
      <c r="D65" s="203"/>
      <c r="E65" s="21"/>
      <c r="F65" s="204"/>
      <c r="G65" s="204"/>
      <c r="H65" s="21" t="s">
        <v>44</v>
      </c>
      <c r="I65" s="21"/>
      <c r="J65" s="21"/>
      <c r="K65" s="173">
        <f>((C65-U65)/U65)*100</f>
        <v>-4.6041666666666714</v>
      </c>
      <c r="L65" s="24">
        <v>0</v>
      </c>
      <c r="M65" s="207"/>
      <c r="N65" s="208">
        <v>0</v>
      </c>
      <c r="O65" s="43">
        <f>L65*C65</f>
        <v>0</v>
      </c>
      <c r="P65" s="21">
        <f>O65-N65</f>
        <v>0</v>
      </c>
      <c r="Q65" s="21" t="e">
        <f>(P65/N65)*100</f>
        <v>#DIV/0!</v>
      </c>
      <c r="R65" s="208">
        <v>0</v>
      </c>
      <c r="S65" s="24"/>
      <c r="T65" s="24">
        <v>0</v>
      </c>
      <c r="U65" s="227">
        <v>240</v>
      </c>
      <c r="V65" s="18"/>
      <c r="W65" s="18"/>
      <c r="X65" s="18"/>
      <c r="Y65" s="18" t="e">
        <f>((C65-X65)/X65)*100</f>
        <v>#DIV/0!</v>
      </c>
      <c r="Z65" s="179" t="e">
        <f>O65/E65</f>
        <v>#DIV/0!</v>
      </c>
      <c r="AA65" s="18"/>
      <c r="AB65" s="18"/>
      <c r="AE65">
        <f>L65</f>
        <v>0</v>
      </c>
      <c r="AF65">
        <v>0</v>
      </c>
      <c r="AG65">
        <v>0</v>
      </c>
      <c r="AH65">
        <v>0</v>
      </c>
      <c r="AI65">
        <v>0</v>
      </c>
      <c r="AJ65">
        <v>0</v>
      </c>
      <c r="AK65">
        <f>AF65+AG65+AH65+AI65+AJ65</f>
        <v>0</v>
      </c>
      <c r="AL65">
        <f>AK65-AE65</f>
        <v>0</v>
      </c>
    </row>
    <row r="66" spans="1:38" hidden="1">
      <c r="A66" s="3">
        <v>66</v>
      </c>
      <c r="B66" s="21" t="s">
        <v>469</v>
      </c>
      <c r="C66" s="218">
        <v>771.35</v>
      </c>
      <c r="D66" s="203">
        <v>22.623345367027699</v>
      </c>
      <c r="E66" s="21">
        <v>16.778723404255299</v>
      </c>
      <c r="F66" s="204">
        <v>0</v>
      </c>
      <c r="G66" s="204">
        <v>4.0940125895187798</v>
      </c>
      <c r="H66" s="21" t="s">
        <v>44</v>
      </c>
      <c r="I66" s="21"/>
      <c r="J66" s="21"/>
      <c r="K66" s="173"/>
      <c r="L66" s="24">
        <v>149</v>
      </c>
      <c r="M66" s="207">
        <v>858.489932885906</v>
      </c>
      <c r="N66" s="208">
        <v>127915</v>
      </c>
      <c r="O66" s="24">
        <f>L66*C66</f>
        <v>114931.15000000001</v>
      </c>
      <c r="P66" s="24">
        <f>O66-N66</f>
        <v>-12983.849999999991</v>
      </c>
      <c r="Q66" s="209">
        <f>(P66/N66)*100</f>
        <v>-10.15037329476605</v>
      </c>
      <c r="R66" s="208">
        <v>143063.07432432432</v>
      </c>
      <c r="S66" s="24"/>
      <c r="T66" s="24">
        <v>-277</v>
      </c>
      <c r="U66" s="18"/>
      <c r="V66" s="18"/>
      <c r="W66" s="18"/>
      <c r="X66" s="18"/>
      <c r="Y66" s="179"/>
      <c r="Z66" s="179"/>
      <c r="AA66" s="18"/>
      <c r="AB66" s="18"/>
      <c r="AC66" s="18"/>
      <c r="AD66" s="58"/>
      <c r="AE66">
        <f>L66</f>
        <v>149</v>
      </c>
      <c r="AF66">
        <v>0</v>
      </c>
      <c r="AG66">
        <v>0</v>
      </c>
      <c r="AH66">
        <v>139</v>
      </c>
      <c r="AI66">
        <v>10</v>
      </c>
      <c r="AJ66">
        <v>0</v>
      </c>
      <c r="AK66">
        <f>AF66+AG66+AH66+AI66+AJ66</f>
        <v>149</v>
      </c>
      <c r="AL66">
        <f>AK66-AE66</f>
        <v>0</v>
      </c>
    </row>
    <row r="67" spans="1:38" hidden="1">
      <c r="A67" s="3">
        <v>67</v>
      </c>
      <c r="B67" s="18" t="s">
        <v>936</v>
      </c>
      <c r="C67" s="218">
        <v>7790</v>
      </c>
      <c r="D67" s="203">
        <v>2.72479564032698E-2</v>
      </c>
      <c r="E67" s="21">
        <v>43770</v>
      </c>
      <c r="F67" s="204"/>
      <c r="G67" s="204">
        <v>1.82320117812961</v>
      </c>
      <c r="H67" s="21" t="s">
        <v>44</v>
      </c>
      <c r="I67" s="21"/>
      <c r="J67" s="21"/>
      <c r="K67" s="173" t="e">
        <f>((C67-U67)/U67)*100</f>
        <v>#DIV/0!</v>
      </c>
      <c r="L67" s="24">
        <v>33</v>
      </c>
      <c r="M67" s="207">
        <v>9582.7878787878781</v>
      </c>
      <c r="N67" s="208">
        <v>316232</v>
      </c>
      <c r="O67" s="43">
        <f>L67*C67</f>
        <v>257070</v>
      </c>
      <c r="P67" s="21">
        <f>O67-N67</f>
        <v>-59162</v>
      </c>
      <c r="Q67" s="21">
        <f>(P67/N67)*100</f>
        <v>-18.708416605530118</v>
      </c>
      <c r="R67" s="208">
        <v>221377.08783783784</v>
      </c>
      <c r="S67" s="24"/>
      <c r="T67" s="24">
        <v>1055</v>
      </c>
      <c r="U67" s="18"/>
      <c r="V67" s="18"/>
      <c r="W67" s="18"/>
      <c r="X67" s="18"/>
      <c r="Y67" s="179"/>
      <c r="Z67" s="179"/>
      <c r="AA67" s="18"/>
      <c r="AB67" s="18"/>
      <c r="AE67">
        <f>L67</f>
        <v>33</v>
      </c>
      <c r="AF67">
        <v>0</v>
      </c>
      <c r="AG67">
        <v>14</v>
      </c>
      <c r="AH67">
        <v>17</v>
      </c>
      <c r="AI67">
        <v>1</v>
      </c>
      <c r="AJ67">
        <v>1</v>
      </c>
      <c r="AK67">
        <f>AF67+AG67+AH67+AI67+AJ67</f>
        <v>33</v>
      </c>
      <c r="AL67">
        <f>AK67-AE67</f>
        <v>0</v>
      </c>
    </row>
    <row r="68" spans="1:38" hidden="1">
      <c r="A68" s="3">
        <v>68</v>
      </c>
      <c r="B68" s="488" t="s">
        <v>881</v>
      </c>
      <c r="C68" s="218">
        <v>464.3</v>
      </c>
      <c r="D68" s="203">
        <v>4.6761046761046803</v>
      </c>
      <c r="E68" s="21">
        <v>-855.77981651376103</v>
      </c>
      <c r="F68" s="204"/>
      <c r="G68" s="204">
        <v>-4.4678162488903999</v>
      </c>
      <c r="H68" s="21" t="s">
        <v>268</v>
      </c>
      <c r="I68" s="21"/>
      <c r="J68" s="21"/>
      <c r="K68" s="173">
        <f>((C68-U68)/U68)*100</f>
        <v>-28.569230769230771</v>
      </c>
      <c r="L68" s="24">
        <v>430</v>
      </c>
      <c r="M68" s="207">
        <v>839.65116279069764</v>
      </c>
      <c r="N68" s="208">
        <v>361050</v>
      </c>
      <c r="O68" s="43">
        <f>L68*C68</f>
        <v>199649</v>
      </c>
      <c r="P68" s="21">
        <f>O68-N68</f>
        <v>-161401</v>
      </c>
      <c r="Q68" s="21">
        <f>(P68/N68)*100</f>
        <v>-44.703226699903063</v>
      </c>
      <c r="R68" s="208">
        <v>302921.23648648651</v>
      </c>
      <c r="S68" s="24"/>
      <c r="T68" s="24">
        <v>1926</v>
      </c>
      <c r="U68" s="18">
        <v>650</v>
      </c>
      <c r="V68" s="18"/>
      <c r="W68" s="18"/>
      <c r="X68" s="18"/>
      <c r="Y68" s="179"/>
      <c r="Z68" s="179"/>
      <c r="AA68" s="18"/>
      <c r="AB68" s="18"/>
      <c r="AC68" s="18"/>
      <c r="AD68" s="58"/>
      <c r="AE68">
        <f>L68</f>
        <v>430</v>
      </c>
      <c r="AF68">
        <v>0</v>
      </c>
      <c r="AG68">
        <v>330</v>
      </c>
      <c r="AH68">
        <v>100</v>
      </c>
      <c r="AI68">
        <v>0</v>
      </c>
      <c r="AJ68">
        <v>0</v>
      </c>
      <c r="AK68">
        <f>AF68+AG68+AH68+AI68+AJ68</f>
        <v>430</v>
      </c>
      <c r="AL68">
        <f>AK68-AE68</f>
        <v>0</v>
      </c>
    </row>
    <row r="69" spans="1:38" hidden="1">
      <c r="A69" s="3">
        <v>69</v>
      </c>
      <c r="B69" s="222" t="s">
        <v>29</v>
      </c>
      <c r="C69" s="287">
        <v>2505.15</v>
      </c>
      <c r="D69" s="288">
        <v>4.3715846994535497</v>
      </c>
      <c r="E69" s="219">
        <v>289.99759615384602</v>
      </c>
      <c r="F69" s="289">
        <v>0</v>
      </c>
      <c r="G69" s="290">
        <v>0.94778776609363602</v>
      </c>
      <c r="H69" s="219" t="s">
        <v>44</v>
      </c>
      <c r="I69" s="219">
        <v>1200</v>
      </c>
      <c r="J69" s="219"/>
      <c r="K69" s="221">
        <f>((C69-U69)/U69)*100</f>
        <v>83.125</v>
      </c>
      <c r="L69" s="43">
        <v>108</v>
      </c>
      <c r="M69" s="176">
        <v>1948.8425925925926</v>
      </c>
      <c r="N69" s="177">
        <v>210475</v>
      </c>
      <c r="O69" s="43">
        <f>L69*C69</f>
        <v>270556.2</v>
      </c>
      <c r="P69" s="21">
        <f>O69-N69</f>
        <v>60081.200000000012</v>
      </c>
      <c r="Q69" s="21">
        <f>(P69/N69)*100</f>
        <v>28.545527972443292</v>
      </c>
      <c r="R69" s="177">
        <v>183322.78040540541</v>
      </c>
      <c r="S69" s="52"/>
      <c r="T69" s="52">
        <v>4357</v>
      </c>
      <c r="U69" s="249">
        <v>1368</v>
      </c>
      <c r="V69" s="18"/>
      <c r="W69" s="18">
        <f>((C69-V69)/C69)*100</f>
        <v>100</v>
      </c>
      <c r="X69" s="18">
        <v>1063</v>
      </c>
      <c r="Y69" s="18">
        <f>((C69-X69)/X69)*100</f>
        <v>135.66792097836313</v>
      </c>
      <c r="Z69" s="179">
        <f>O69/E69</f>
        <v>932.96014721607492</v>
      </c>
      <c r="AA69" s="18"/>
      <c r="AB69" s="18">
        <v>30</v>
      </c>
      <c r="AC69" s="24"/>
      <c r="AD69" s="57"/>
      <c r="AE69">
        <f>L69</f>
        <v>108</v>
      </c>
      <c r="AF69">
        <v>0</v>
      </c>
      <c r="AG69">
        <v>51</v>
      </c>
      <c r="AH69">
        <v>44</v>
      </c>
      <c r="AI69">
        <v>2</v>
      </c>
      <c r="AJ69">
        <v>11</v>
      </c>
      <c r="AK69">
        <f>AF69+AG69+AH69+AI69+AJ69</f>
        <v>108</v>
      </c>
      <c r="AL69">
        <f>AK69-AE69</f>
        <v>0</v>
      </c>
    </row>
    <row r="70" spans="1:38" ht="29" hidden="1">
      <c r="A70" s="3">
        <v>70</v>
      </c>
      <c r="B70" s="181" t="s">
        <v>30</v>
      </c>
      <c r="C70" s="21">
        <v>63.9</v>
      </c>
      <c r="D70" s="203">
        <v>86.481036270083095</v>
      </c>
      <c r="E70" s="21">
        <v>1.8040738797559399</v>
      </c>
      <c r="F70" s="205">
        <v>0</v>
      </c>
      <c r="G70" s="204">
        <v>12.958435995239901</v>
      </c>
      <c r="H70" s="21" t="s">
        <v>44</v>
      </c>
      <c r="I70" s="21">
        <v>110</v>
      </c>
      <c r="J70" s="21" t="s">
        <v>235</v>
      </c>
      <c r="K70" s="173">
        <f>((C70-U70)/U70)*100</f>
        <v>-13.648648648648651</v>
      </c>
      <c r="L70" s="43">
        <v>450</v>
      </c>
      <c r="M70" s="176">
        <v>49.08</v>
      </c>
      <c r="N70" s="177">
        <v>22086</v>
      </c>
      <c r="O70" s="43">
        <f>L70*C70</f>
        <v>28755</v>
      </c>
      <c r="P70" s="21">
        <f>O70-N70</f>
        <v>6669</v>
      </c>
      <c r="Q70" s="21">
        <f>(P70/N70)*100</f>
        <v>30.195599022004888</v>
      </c>
      <c r="R70" s="177">
        <v>23153.202702702703</v>
      </c>
      <c r="S70" s="44"/>
      <c r="T70" s="44">
        <v>844</v>
      </c>
      <c r="U70" s="18">
        <v>74</v>
      </c>
      <c r="V70" s="18"/>
      <c r="W70" s="18">
        <f>((C70-V70)/C70)*100</f>
        <v>100</v>
      </c>
      <c r="X70" s="18">
        <v>36.799999999999997</v>
      </c>
      <c r="Y70" s="18">
        <f>((C70-X70)/X70)*100</f>
        <v>73.641304347826093</v>
      </c>
      <c r="Z70" s="179">
        <f>O70/E70</f>
        <v>15938.925962328136</v>
      </c>
      <c r="AA70" s="18"/>
      <c r="AB70" s="18">
        <v>30</v>
      </c>
      <c r="AC70" s="24"/>
      <c r="AD70" s="57"/>
      <c r="AE70">
        <f>L70</f>
        <v>450</v>
      </c>
      <c r="AF70">
        <v>0</v>
      </c>
      <c r="AG70">
        <v>300</v>
      </c>
      <c r="AH70">
        <v>0</v>
      </c>
      <c r="AI70">
        <v>0</v>
      </c>
      <c r="AJ70">
        <v>150</v>
      </c>
      <c r="AK70">
        <f>AF70+AG70+AH70+AI70+AJ70</f>
        <v>450</v>
      </c>
      <c r="AL70">
        <f>AK70-AE70</f>
        <v>0</v>
      </c>
    </row>
    <row r="71" spans="1:38" hidden="1">
      <c r="A71" s="3">
        <v>71</v>
      </c>
      <c r="B71" s="21" t="s">
        <v>485</v>
      </c>
      <c r="C71" s="218">
        <v>2663.7</v>
      </c>
      <c r="D71" s="203">
        <v>1.26821370750135</v>
      </c>
      <c r="E71" s="21">
        <v>1229.36170212766</v>
      </c>
      <c r="F71" s="204">
        <v>0</v>
      </c>
      <c r="G71" s="204">
        <v>2.9102693015779701</v>
      </c>
      <c r="H71" s="21" t="s">
        <v>165</v>
      </c>
      <c r="I71" s="21"/>
      <c r="J71" s="21"/>
      <c r="K71" s="221">
        <f>((C71-U71)/U71)*100</f>
        <v>6.5479999999999929</v>
      </c>
      <c r="L71" s="24">
        <v>14</v>
      </c>
      <c r="M71" s="207">
        <v>1798.5</v>
      </c>
      <c r="N71" s="208">
        <v>25179</v>
      </c>
      <c r="O71" s="24">
        <f>L71*C71</f>
        <v>37291.799999999996</v>
      </c>
      <c r="P71" s="24">
        <f>O71-N71</f>
        <v>12112.799999999996</v>
      </c>
      <c r="Q71" s="209">
        <f>(P71/N71)*100</f>
        <v>48.106755629691392</v>
      </c>
      <c r="R71" s="208">
        <v>31059.06081081081</v>
      </c>
      <c r="S71" s="24"/>
      <c r="T71" s="24">
        <v>5820</v>
      </c>
      <c r="U71" s="18">
        <v>2500</v>
      </c>
      <c r="V71" s="18"/>
      <c r="W71" s="18"/>
      <c r="X71" s="18"/>
      <c r="Y71" s="179"/>
      <c r="Z71" s="179"/>
      <c r="AA71" s="18"/>
      <c r="AB71" s="18"/>
      <c r="AC71" s="18"/>
      <c r="AD71" s="58"/>
      <c r="AE71">
        <f>L71</f>
        <v>14</v>
      </c>
      <c r="AF71">
        <v>0</v>
      </c>
      <c r="AG71">
        <v>0</v>
      </c>
      <c r="AH71">
        <v>0</v>
      </c>
      <c r="AI71">
        <v>0</v>
      </c>
      <c r="AJ71">
        <v>14</v>
      </c>
      <c r="AK71">
        <f>AF71+AG71+AH71+AI71+AJ71</f>
        <v>14</v>
      </c>
      <c r="AL71" s="216">
        <f>AK71-AE71</f>
        <v>0</v>
      </c>
    </row>
    <row r="72" spans="1:38" ht="58" hidden="1">
      <c r="A72" s="3">
        <v>72</v>
      </c>
      <c r="B72" s="452" t="s">
        <v>31</v>
      </c>
      <c r="C72" s="269">
        <v>152.75</v>
      </c>
      <c r="D72" s="270">
        <v>83.900601112176105</v>
      </c>
      <c r="E72" s="269">
        <v>4.5982041277237302</v>
      </c>
      <c r="F72" s="271"/>
      <c r="G72" s="272">
        <v>32.602274750525098</v>
      </c>
      <c r="H72" s="269" t="s">
        <v>44</v>
      </c>
      <c r="I72" s="21">
        <v>150</v>
      </c>
      <c r="J72" s="21" t="s">
        <v>236</v>
      </c>
      <c r="K72" s="173">
        <f>((C72-U72)/U72)*100</f>
        <v>9.1071428571428559</v>
      </c>
      <c r="L72" s="43">
        <v>150</v>
      </c>
      <c r="M72" s="176">
        <v>125.8</v>
      </c>
      <c r="N72" s="177">
        <v>18870</v>
      </c>
      <c r="O72" s="43">
        <f>L72*C72</f>
        <v>22912.5</v>
      </c>
      <c r="P72" s="21">
        <f>O72-N72</f>
        <v>4042.5</v>
      </c>
      <c r="Q72" s="21">
        <f>(P72/N72)*100</f>
        <v>21.422893481717011</v>
      </c>
      <c r="R72" s="177">
        <v>45281.62837837838</v>
      </c>
      <c r="S72" s="44"/>
      <c r="T72" s="44">
        <v>8952</v>
      </c>
      <c r="U72" s="60">
        <v>140</v>
      </c>
      <c r="V72" s="18"/>
      <c r="W72" s="18">
        <f>((C72-V72)/C72)*100</f>
        <v>100</v>
      </c>
      <c r="X72" s="18">
        <v>85.1</v>
      </c>
      <c r="Y72" s="18">
        <f>((C72-X72)/X72)*100</f>
        <v>79.494712103407778</v>
      </c>
      <c r="Z72" s="179">
        <f>O72/E72</f>
        <v>4982.9236292174955</v>
      </c>
      <c r="AA72" s="18"/>
      <c r="AB72" s="18">
        <v>20</v>
      </c>
      <c r="AC72" s="24"/>
      <c r="AD72" s="57"/>
      <c r="AE72">
        <f>L72</f>
        <v>150</v>
      </c>
      <c r="AF72">
        <v>0</v>
      </c>
      <c r="AG72">
        <v>100</v>
      </c>
      <c r="AH72">
        <v>50</v>
      </c>
      <c r="AI72">
        <v>0</v>
      </c>
      <c r="AJ72">
        <v>0</v>
      </c>
      <c r="AK72">
        <f>AF72+AG72+AH72+AI72+AJ72</f>
        <v>150</v>
      </c>
      <c r="AL72">
        <f>AK72-AE72</f>
        <v>0</v>
      </c>
    </row>
    <row r="73" spans="1:38" hidden="1">
      <c r="A73" s="3">
        <v>73</v>
      </c>
      <c r="B73" s="18" t="s">
        <v>627</v>
      </c>
      <c r="C73" s="24">
        <v>353.25</v>
      </c>
      <c r="D73" s="203">
        <v>0.94893809308630805</v>
      </c>
      <c r="E73" s="21">
        <v>879.04761904761904</v>
      </c>
      <c r="F73" s="204"/>
      <c r="G73" s="204">
        <v>2.8606315189425899</v>
      </c>
      <c r="H73" s="21" t="s">
        <v>44</v>
      </c>
      <c r="I73" s="21"/>
      <c r="J73" s="21"/>
      <c r="K73" s="173" t="e">
        <f>((C73-U73)/U73)*100</f>
        <v>#DIV/0!</v>
      </c>
      <c r="L73" s="24">
        <v>594</v>
      </c>
      <c r="M73" s="207">
        <v>330.47979797979798</v>
      </c>
      <c r="N73" s="208">
        <v>196305</v>
      </c>
      <c r="O73" s="43">
        <f>L73*C73</f>
        <v>209830.5</v>
      </c>
      <c r="P73" s="21">
        <f>O73-N73</f>
        <v>13525.5</v>
      </c>
      <c r="Q73" s="21">
        <f>(P73/N73)*100</f>
        <v>6.8900435546725758</v>
      </c>
      <c r="R73" s="208">
        <v>161150.34797297296</v>
      </c>
      <c r="S73" s="24"/>
      <c r="T73" s="24">
        <v>13800</v>
      </c>
      <c r="U73" s="18"/>
      <c r="V73" s="18"/>
      <c r="W73" s="18"/>
      <c r="X73" s="18"/>
      <c r="Y73" s="179"/>
      <c r="Z73" s="179"/>
      <c r="AA73" s="18"/>
      <c r="AB73" s="18"/>
      <c r="AC73" s="18"/>
      <c r="AD73" s="58"/>
      <c r="AE73">
        <f>L73</f>
        <v>594</v>
      </c>
      <c r="AF73">
        <v>0</v>
      </c>
      <c r="AG73">
        <v>365</v>
      </c>
      <c r="AH73">
        <v>85</v>
      </c>
      <c r="AI73">
        <v>5</v>
      </c>
      <c r="AJ73">
        <v>139</v>
      </c>
      <c r="AK73">
        <f>AF73+AG73+AH73+AI73+AJ73</f>
        <v>594</v>
      </c>
      <c r="AL73">
        <f>AK73-AE73</f>
        <v>0</v>
      </c>
    </row>
    <row r="74" spans="1:38" hidden="1">
      <c r="A74" s="3">
        <v>74</v>
      </c>
      <c r="B74" s="21" t="s">
        <v>522</v>
      </c>
      <c r="C74" s="21">
        <v>132.44999999999999</v>
      </c>
      <c r="D74" s="213">
        <v>1.7931609674728901</v>
      </c>
      <c r="E74" s="206">
        <v>538.60465116279101</v>
      </c>
      <c r="F74" s="214"/>
      <c r="G74" s="215">
        <v>5.4378611602914404</v>
      </c>
      <c r="H74" s="206" t="s">
        <v>165</v>
      </c>
      <c r="I74" s="21"/>
      <c r="J74" s="21"/>
      <c r="K74" s="173">
        <f>((C74-U74)/U74)*100</f>
        <v>-4.0217391304347903</v>
      </c>
      <c r="L74" s="24">
        <v>605</v>
      </c>
      <c r="M74" s="207">
        <v>135.59669421487604</v>
      </c>
      <c r="N74" s="208">
        <v>82036</v>
      </c>
      <c r="O74" s="43">
        <f>L74*C74</f>
        <v>80132.25</v>
      </c>
      <c r="P74" s="21">
        <f>O74-N74</f>
        <v>-1903.75</v>
      </c>
      <c r="Q74" s="209"/>
      <c r="R74" s="208">
        <v>129580.99999999996</v>
      </c>
      <c r="S74" s="24"/>
      <c r="T74" s="24">
        <v>19426</v>
      </c>
      <c r="U74" s="18">
        <v>138</v>
      </c>
      <c r="V74" s="18"/>
      <c r="W74" s="18"/>
      <c r="X74" s="18"/>
      <c r="Y74" s="179"/>
      <c r="Z74" s="179"/>
      <c r="AA74" s="18"/>
      <c r="AB74" s="18"/>
      <c r="AC74" s="18"/>
      <c r="AD74" s="58"/>
      <c r="AE74">
        <f>L74</f>
        <v>605</v>
      </c>
      <c r="AF74">
        <v>0</v>
      </c>
      <c r="AG74">
        <v>0</v>
      </c>
      <c r="AH74">
        <v>0</v>
      </c>
      <c r="AI74">
        <v>0</v>
      </c>
      <c r="AJ74">
        <v>605</v>
      </c>
      <c r="AK74">
        <f>AF74+AG74+AH74+AI74+AJ74</f>
        <v>605</v>
      </c>
      <c r="AL74" s="216">
        <f>AK74-AE74</f>
        <v>0</v>
      </c>
    </row>
    <row r="75" spans="1:38" hidden="1">
      <c r="A75" s="3">
        <v>95</v>
      </c>
      <c r="B75" t="s">
        <v>1183</v>
      </c>
      <c r="C75" s="1">
        <v>122.8</v>
      </c>
      <c r="H75" s="2" t="s">
        <v>44</v>
      </c>
      <c r="K75" s="173" t="e">
        <f>((C75-U75)/U75)*100</f>
        <v>#DIV/0!</v>
      </c>
      <c r="L75" s="1">
        <v>680</v>
      </c>
      <c r="M75" s="35">
        <v>110.47058823529412</v>
      </c>
      <c r="N75" s="39">
        <v>75120</v>
      </c>
      <c r="O75" s="43">
        <f>L75*C75</f>
        <v>83504</v>
      </c>
      <c r="P75" s="21">
        <f>O75-N75</f>
        <v>8384</v>
      </c>
      <c r="Q75" s="21">
        <f>(P75/N75)*100</f>
        <v>11.160809371671991</v>
      </c>
      <c r="R75" s="1">
        <v>15146.662162162162</v>
      </c>
      <c r="T75" s="1">
        <v>673</v>
      </c>
      <c r="Y75" s="18" t="e">
        <f>((C75-X75)/X75)*100</f>
        <v>#DIV/0!</v>
      </c>
      <c r="Z75" s="179" t="e">
        <f>O75/E75</f>
        <v>#DIV/0!</v>
      </c>
      <c r="AE75">
        <f>L75</f>
        <v>680</v>
      </c>
      <c r="AF75">
        <v>0</v>
      </c>
      <c r="AG75">
        <v>680</v>
      </c>
      <c r="AH75">
        <v>0</v>
      </c>
      <c r="AI75">
        <v>0</v>
      </c>
      <c r="AJ75">
        <v>0</v>
      </c>
      <c r="AK75">
        <f>AF75+AG75+AH75+AI75+AJ75</f>
        <v>680</v>
      </c>
      <c r="AL75">
        <f>AK75-AE75</f>
        <v>0</v>
      </c>
    </row>
    <row r="76" spans="1:38" hidden="1">
      <c r="A76" s="3">
        <v>75</v>
      </c>
      <c r="B76" s="21" t="s">
        <v>539</v>
      </c>
      <c r="C76" s="256">
        <v>891.95</v>
      </c>
      <c r="D76" s="213">
        <v>7.3017205203525002</v>
      </c>
      <c r="E76" s="206">
        <v>148.04597701149399</v>
      </c>
      <c r="F76" s="214"/>
      <c r="G76" s="215">
        <v>1.16270944864061</v>
      </c>
      <c r="H76" s="206" t="s">
        <v>44</v>
      </c>
      <c r="I76" s="21"/>
      <c r="J76" s="21"/>
      <c r="K76" s="173" t="e">
        <f>((C76-U76)/U76)*100</f>
        <v>#DIV/0!</v>
      </c>
      <c r="L76" s="24">
        <v>181</v>
      </c>
      <c r="M76" s="207">
        <v>1010.9502762430939</v>
      </c>
      <c r="N76" s="208">
        <v>182982</v>
      </c>
      <c r="O76" s="43">
        <f>L76*C76</f>
        <v>161442.95000000001</v>
      </c>
      <c r="P76" s="21">
        <f>O76-N76</f>
        <v>-21539.049999999988</v>
      </c>
      <c r="Q76" s="21">
        <f>(P76/N76)*100</f>
        <v>-11.771130493709757</v>
      </c>
      <c r="R76" s="208">
        <v>175555.33108108109</v>
      </c>
      <c r="S76" s="24"/>
      <c r="T76" s="24">
        <v>2430</v>
      </c>
      <c r="U76" s="18"/>
      <c r="V76" s="18"/>
      <c r="W76" s="18"/>
      <c r="X76" s="18"/>
      <c r="Y76" s="179"/>
      <c r="Z76" s="179"/>
      <c r="AA76" s="18"/>
      <c r="AB76" s="18"/>
      <c r="AC76" s="18"/>
      <c r="AD76" s="58"/>
      <c r="AE76">
        <f>L76</f>
        <v>181</v>
      </c>
      <c r="AF76">
        <v>0</v>
      </c>
      <c r="AG76">
        <v>98</v>
      </c>
      <c r="AH76">
        <v>35</v>
      </c>
      <c r="AI76">
        <v>48</v>
      </c>
      <c r="AJ76">
        <v>0</v>
      </c>
      <c r="AK76">
        <f>AF76+AG76+AH76+AI76+AJ76</f>
        <v>181</v>
      </c>
      <c r="AL76">
        <f>AK76-AE76</f>
        <v>0</v>
      </c>
    </row>
    <row r="77" spans="1:38">
      <c r="A77" s="3">
        <v>76</v>
      </c>
      <c r="B77" s="21" t="s">
        <v>610</v>
      </c>
      <c r="C77" s="218">
        <v>359.2</v>
      </c>
      <c r="D77" s="203">
        <v>2.8860028860028902E-2</v>
      </c>
      <c r="E77" s="21">
        <v>84700</v>
      </c>
      <c r="F77" s="204"/>
      <c r="G77" s="204">
        <v>2.4422734033137599</v>
      </c>
      <c r="H77" s="206" t="s">
        <v>44</v>
      </c>
      <c r="I77" s="21"/>
      <c r="J77" s="21"/>
      <c r="K77" s="173" t="e">
        <f>((C77-U77)/U77)*100</f>
        <v>#DIV/0!</v>
      </c>
      <c r="L77" s="24">
        <v>980</v>
      </c>
      <c r="M77" s="207">
        <v>310.43673469387755</v>
      </c>
      <c r="N77" s="208">
        <v>304228</v>
      </c>
      <c r="O77" s="43">
        <f>L77*C77</f>
        <v>352016</v>
      </c>
      <c r="P77" s="21">
        <f>O77-N77</f>
        <v>47788</v>
      </c>
      <c r="Q77" s="21">
        <f>(P77/N77)*100</f>
        <v>15.707955875198865</v>
      </c>
      <c r="R77" s="208">
        <v>341793.87162162166</v>
      </c>
      <c r="S77" s="24"/>
      <c r="T77" s="24">
        <v>1370</v>
      </c>
      <c r="U77" s="18"/>
      <c r="V77" s="18"/>
      <c r="W77" s="18">
        <f>((C77-V77)/C77)*100</f>
        <v>100</v>
      </c>
      <c r="X77" s="18"/>
      <c r="Y77" s="18" t="e">
        <f>((C77-X77)/X77)*100</f>
        <v>#DIV/0!</v>
      </c>
      <c r="Z77" s="179">
        <f>O77/E77</f>
        <v>4.1560330578512401</v>
      </c>
      <c r="AA77" s="18"/>
      <c r="AB77" s="18"/>
      <c r="AC77" s="18"/>
      <c r="AD77" s="58"/>
      <c r="AE77">
        <f>L77</f>
        <v>980</v>
      </c>
      <c r="AF77">
        <v>0</v>
      </c>
      <c r="AG77">
        <v>540</v>
      </c>
      <c r="AH77">
        <v>315</v>
      </c>
      <c r="AI77">
        <v>0</v>
      </c>
      <c r="AJ77">
        <v>110</v>
      </c>
      <c r="AK77">
        <f>AF77+AG77+AH77+AI77+AJ77</f>
        <v>965</v>
      </c>
      <c r="AL77">
        <f>AK77-AE77</f>
        <v>-15</v>
      </c>
    </row>
    <row r="78" spans="1:38" hidden="1">
      <c r="A78" s="3">
        <v>77</v>
      </c>
      <c r="B78" s="452" t="s">
        <v>33</v>
      </c>
      <c r="C78" s="269">
        <v>600.1</v>
      </c>
      <c r="D78" s="270">
        <v>90.042932404632893</v>
      </c>
      <c r="E78" s="269">
        <v>1.1200568712955601</v>
      </c>
      <c r="F78" s="271"/>
      <c r="G78" s="272">
        <v>6.9326648246559701</v>
      </c>
      <c r="H78" s="219" t="s">
        <v>44</v>
      </c>
      <c r="I78" s="219">
        <v>330</v>
      </c>
      <c r="J78" s="219"/>
      <c r="K78" s="173">
        <f>((C78-U78)/U78)*100</f>
        <v>42.880952380952387</v>
      </c>
      <c r="L78" s="43">
        <v>25</v>
      </c>
      <c r="M78" s="176">
        <v>318.39999999999998</v>
      </c>
      <c r="N78" s="177">
        <v>7960</v>
      </c>
      <c r="O78" s="43">
        <f>L78*C78</f>
        <v>15002.5</v>
      </c>
      <c r="P78" s="21">
        <f>O78-N78</f>
        <v>7042.5</v>
      </c>
      <c r="Q78" s="21">
        <f>(P78/N78)*100</f>
        <v>88.473618090452263</v>
      </c>
      <c r="R78" s="177">
        <v>7960</v>
      </c>
      <c r="S78" s="52"/>
      <c r="T78" s="52">
        <v>0</v>
      </c>
      <c r="U78" s="18">
        <v>420</v>
      </c>
      <c r="V78" s="18"/>
      <c r="W78" s="18">
        <f>((C78-V78)/C78)*100</f>
        <v>100</v>
      </c>
      <c r="X78" s="18"/>
      <c r="Y78" s="18" t="e">
        <f>((C78-X78)/X78)*100</f>
        <v>#DIV/0!</v>
      </c>
      <c r="Z78" s="179">
        <f>O78/E78</f>
        <v>13394.409145177367</v>
      </c>
      <c r="AA78" s="18"/>
      <c r="AB78" s="18">
        <v>30</v>
      </c>
      <c r="AC78" s="24"/>
      <c r="AD78" s="57"/>
      <c r="AE78">
        <f>L78</f>
        <v>25</v>
      </c>
      <c r="AF78">
        <v>0</v>
      </c>
      <c r="AG78">
        <v>0</v>
      </c>
      <c r="AH78">
        <v>0</v>
      </c>
      <c r="AI78">
        <v>0</v>
      </c>
      <c r="AJ78">
        <v>25</v>
      </c>
      <c r="AK78">
        <f>AF78+AG78+AH78+AI78+AJ78</f>
        <v>25</v>
      </c>
      <c r="AL78">
        <f>AK78-AE78</f>
        <v>0</v>
      </c>
    </row>
    <row r="79" spans="1:38" ht="58" hidden="1">
      <c r="A79" s="3">
        <v>78</v>
      </c>
      <c r="B79" s="181" t="s">
        <v>34</v>
      </c>
      <c r="C79" s="206">
        <v>165.25</v>
      </c>
      <c r="D79" s="213">
        <v>14.153132250580001</v>
      </c>
      <c r="E79" s="206">
        <v>2.8983606557377</v>
      </c>
      <c r="F79" s="214">
        <v>0</v>
      </c>
      <c r="G79" s="215">
        <v>0.77555713321859099</v>
      </c>
      <c r="H79" s="206" t="s">
        <v>165</v>
      </c>
      <c r="I79" s="206">
        <v>75</v>
      </c>
      <c r="J79" s="206" t="s">
        <v>244</v>
      </c>
      <c r="K79" s="220">
        <f>((C79-U79)/U79)*100</f>
        <v>17.198581560283689</v>
      </c>
      <c r="L79" s="181">
        <v>128</v>
      </c>
      <c r="M79" s="302">
        <v>140.7109375</v>
      </c>
      <c r="N79" s="177">
        <v>18011</v>
      </c>
      <c r="O79" s="43">
        <f>L79*C79</f>
        <v>21152</v>
      </c>
      <c r="P79" s="21">
        <f>O79-N79</f>
        <v>3141</v>
      </c>
      <c r="Q79" s="21">
        <f>(P79/N79)*100</f>
        <v>17.439342623952029</v>
      </c>
      <c r="R79" s="177">
        <v>23756.93581081081</v>
      </c>
      <c r="S79" s="52">
        <v>143.9</v>
      </c>
      <c r="T79" s="52">
        <v>7296</v>
      </c>
      <c r="U79" s="60">
        <v>141</v>
      </c>
      <c r="V79" s="18"/>
      <c r="W79" s="18">
        <f>((C79-V79)/C79)*100</f>
        <v>100</v>
      </c>
      <c r="X79" s="18"/>
      <c r="Y79" s="18" t="e">
        <f>((C79-X79)/X79)*100</f>
        <v>#DIV/0!</v>
      </c>
      <c r="Z79" s="179">
        <f>O79/E79</f>
        <v>7297.9185520362116</v>
      </c>
      <c r="AA79" s="18"/>
      <c r="AB79" s="18">
        <v>30</v>
      </c>
      <c r="AC79" s="24"/>
      <c r="AD79" s="57"/>
      <c r="AE79">
        <f>L79</f>
        <v>128</v>
      </c>
      <c r="AF79">
        <v>0</v>
      </c>
      <c r="AG79">
        <v>45</v>
      </c>
      <c r="AH79">
        <v>83</v>
      </c>
      <c r="AI79">
        <v>0</v>
      </c>
      <c r="AJ79">
        <v>0</v>
      </c>
      <c r="AK79">
        <f>AF79+AG79+AH79+AI79+AJ79</f>
        <v>128</v>
      </c>
      <c r="AL79">
        <f>AK79-AE79</f>
        <v>0</v>
      </c>
    </row>
    <row r="80" spans="1:38" hidden="1">
      <c r="A80" s="3">
        <v>79</v>
      </c>
      <c r="B80" s="18" t="s">
        <v>697</v>
      </c>
      <c r="C80" s="24">
        <v>425.65</v>
      </c>
      <c r="D80" s="203">
        <v>5.8659217877094996</v>
      </c>
      <c r="E80" s="21">
        <v>282.176870748299</v>
      </c>
      <c r="F80" s="204"/>
      <c r="G80" s="204">
        <v>1.66891718299453</v>
      </c>
      <c r="H80" s="21" t="s">
        <v>165</v>
      </c>
      <c r="I80" s="21"/>
      <c r="J80" s="21"/>
      <c r="K80" s="173">
        <f>((C80-U80)/U80)*100</f>
        <v>-42.942359249329762</v>
      </c>
      <c r="L80" s="24">
        <v>310</v>
      </c>
      <c r="M80" s="207">
        <v>362.90645161290325</v>
      </c>
      <c r="N80" s="208">
        <v>112501</v>
      </c>
      <c r="O80" s="43">
        <f>L80*C80</f>
        <v>131951.5</v>
      </c>
      <c r="P80" s="21">
        <f>O80-N80</f>
        <v>19450.5</v>
      </c>
      <c r="Q80" s="21">
        <f>(P80/N80)*100</f>
        <v>17.289179651736429</v>
      </c>
      <c r="R80" s="208">
        <v>84343.24324324324</v>
      </c>
      <c r="S80" s="24"/>
      <c r="T80" s="24">
        <v>370</v>
      </c>
      <c r="U80" s="18">
        <v>746</v>
      </c>
      <c r="V80" s="18"/>
      <c r="W80" s="18">
        <f>((C80-V80)/C80)*100</f>
        <v>100</v>
      </c>
      <c r="X80" s="18"/>
      <c r="Y80" s="18" t="e">
        <f>((C80-X80)/X80)*100</f>
        <v>#DIV/0!</v>
      </c>
      <c r="Z80" s="179">
        <f>O80/E80</f>
        <v>467.61982883317313</v>
      </c>
      <c r="AA80" s="18"/>
      <c r="AB80" s="18"/>
      <c r="AC80" s="18"/>
      <c r="AD80" s="58"/>
      <c r="AE80">
        <f>L80</f>
        <v>310</v>
      </c>
      <c r="AF80">
        <v>0</v>
      </c>
      <c r="AG80">
        <v>90</v>
      </c>
      <c r="AH80">
        <v>0</v>
      </c>
      <c r="AI80">
        <v>0</v>
      </c>
      <c r="AJ80">
        <v>220</v>
      </c>
      <c r="AK80">
        <f>AF80+AG80+AH80+AI80+AJ80</f>
        <v>310</v>
      </c>
      <c r="AL80" s="216">
        <f>AK80-AE80</f>
        <v>0</v>
      </c>
    </row>
    <row r="81" spans="1:38" hidden="1">
      <c r="A81" s="3">
        <v>96</v>
      </c>
      <c r="B81" s="2" t="s">
        <v>1084</v>
      </c>
      <c r="C81" s="297">
        <v>2198.75</v>
      </c>
      <c r="D81" s="130">
        <v>22.4769835219609</v>
      </c>
      <c r="E81" s="2">
        <v>56.258805113488101</v>
      </c>
      <c r="F81" s="4">
        <v>0</v>
      </c>
      <c r="G81" s="4">
        <v>3.3090106139025699</v>
      </c>
      <c r="H81" s="21" t="s">
        <v>44</v>
      </c>
      <c r="K81" s="34" t="e">
        <f>((C81-U81)/U81)*100</f>
        <v>#DIV/0!</v>
      </c>
      <c r="L81" s="1">
        <v>88</v>
      </c>
      <c r="M81" s="35">
        <v>2515.5227272727275</v>
      </c>
      <c r="N81" s="39">
        <v>221366</v>
      </c>
      <c r="O81" s="43">
        <f>L81*C81</f>
        <v>193490</v>
      </c>
      <c r="P81" s="21">
        <f>O81-N81</f>
        <v>-27876</v>
      </c>
      <c r="Q81" s="21">
        <f>(P81/N81)*100</f>
        <v>-12.592719749193643</v>
      </c>
      <c r="R81" s="1">
        <v>110396.35472972973</v>
      </c>
      <c r="T81" s="1">
        <v>460</v>
      </c>
      <c r="AE81">
        <f>L81</f>
        <v>88</v>
      </c>
      <c r="AF81">
        <v>0</v>
      </c>
      <c r="AG81">
        <v>17</v>
      </c>
      <c r="AH81">
        <v>58</v>
      </c>
      <c r="AI81">
        <v>13</v>
      </c>
      <c r="AJ81">
        <v>0</v>
      </c>
      <c r="AK81">
        <f>AF81+AG81+AH81+AI81+AJ81</f>
        <v>88</v>
      </c>
      <c r="AL81">
        <f>AK81-AE81</f>
        <v>0</v>
      </c>
    </row>
    <row r="82" spans="1:38" hidden="1">
      <c r="A82" s="3">
        <v>80</v>
      </c>
      <c r="B82" s="21" t="s">
        <v>566</v>
      </c>
      <c r="C82" s="24">
        <v>480.95</v>
      </c>
      <c r="D82" s="203">
        <v>1.06765565295572</v>
      </c>
      <c r="E82" s="21">
        <v>1784.4210526315801</v>
      </c>
      <c r="F82" s="204">
        <v>0</v>
      </c>
      <c r="G82" s="204">
        <v>8.9459155235803909</v>
      </c>
      <c r="H82" s="269" t="s">
        <v>165</v>
      </c>
      <c r="I82" s="21"/>
      <c r="J82" s="21"/>
      <c r="K82" s="221">
        <f>((C82-U82)/U82)*100</f>
        <v>-12.554545454545456</v>
      </c>
      <c r="L82" s="24">
        <v>166</v>
      </c>
      <c r="M82" s="207">
        <v>496.68072289156629</v>
      </c>
      <c r="N82" s="208">
        <v>82449</v>
      </c>
      <c r="O82" s="222">
        <f>L82*C82</f>
        <v>79837.7</v>
      </c>
      <c r="P82" s="219">
        <f>O82-N82</f>
        <v>-2611.3000000000029</v>
      </c>
      <c r="Q82" s="219">
        <f>(P82/N82)*100</f>
        <v>-3.1671700081262388</v>
      </c>
      <c r="R82" s="208">
        <v>70480.584459459438</v>
      </c>
      <c r="S82" s="24"/>
      <c r="T82" s="24">
        <v>7054</v>
      </c>
      <c r="U82" s="227">
        <v>550</v>
      </c>
      <c r="V82" s="18"/>
      <c r="W82" s="18"/>
      <c r="X82" s="18"/>
      <c r="Y82" s="179"/>
      <c r="Z82" s="179"/>
      <c r="AA82" s="18"/>
      <c r="AB82" s="18"/>
      <c r="AE82">
        <f>L82</f>
        <v>166</v>
      </c>
      <c r="AF82">
        <v>0</v>
      </c>
      <c r="AG82">
        <v>45</v>
      </c>
      <c r="AH82">
        <v>30</v>
      </c>
      <c r="AI82">
        <v>0</v>
      </c>
      <c r="AJ82">
        <v>91</v>
      </c>
      <c r="AK82">
        <f>AF82+AG82+AH82+AI82+AJ82</f>
        <v>166</v>
      </c>
      <c r="AL82" s="216">
        <f>AK82-AE82</f>
        <v>0</v>
      </c>
    </row>
    <row r="83" spans="1:38" hidden="1">
      <c r="A83" s="3">
        <v>81</v>
      </c>
      <c r="B83" s="18" t="s">
        <v>645</v>
      </c>
      <c r="C83" s="218">
        <v>2469.5500000000002</v>
      </c>
      <c r="D83" s="203">
        <v>0.92073658927141699</v>
      </c>
      <c r="E83" s="21">
        <v>2380.4347826087001</v>
      </c>
      <c r="F83" s="204"/>
      <c r="G83" s="204">
        <v>4.1244491317940399</v>
      </c>
      <c r="H83" s="21" t="s">
        <v>44</v>
      </c>
      <c r="I83" s="21"/>
      <c r="J83" s="21"/>
      <c r="K83" s="173" t="e">
        <f>((C83-U83)/U83)*100</f>
        <v>#DIV/0!</v>
      </c>
      <c r="L83" s="24">
        <v>42</v>
      </c>
      <c r="M83" s="207">
        <v>2283.7857142857142</v>
      </c>
      <c r="N83" s="208">
        <v>95919</v>
      </c>
      <c r="O83" s="43">
        <f>L83*C83</f>
        <v>103721.1</v>
      </c>
      <c r="P83" s="21">
        <f>O83-N83</f>
        <v>7802.1000000000058</v>
      </c>
      <c r="Q83" s="21">
        <f>(P83/N83)*100</f>
        <v>8.1340506051981425</v>
      </c>
      <c r="R83" s="208">
        <v>109286.39189189189</v>
      </c>
      <c r="S83" s="24"/>
      <c r="T83" s="24">
        <v>10815</v>
      </c>
      <c r="U83" s="18"/>
      <c r="V83" s="18"/>
      <c r="W83" s="18"/>
      <c r="X83" s="18"/>
      <c r="Y83" s="179"/>
      <c r="Z83" s="179"/>
      <c r="AA83" s="18"/>
      <c r="AB83" s="18"/>
      <c r="AC83" s="18"/>
      <c r="AD83" s="58"/>
      <c r="AE83">
        <f>L83</f>
        <v>42</v>
      </c>
      <c r="AF83">
        <v>0</v>
      </c>
      <c r="AG83">
        <v>14</v>
      </c>
      <c r="AH83">
        <v>0</v>
      </c>
      <c r="AI83">
        <v>8</v>
      </c>
      <c r="AJ83">
        <v>20</v>
      </c>
      <c r="AK83">
        <f>AF83+AG83+AH83+AI83+AJ83</f>
        <v>42</v>
      </c>
      <c r="AL83">
        <f>AK83-AE83</f>
        <v>0</v>
      </c>
    </row>
    <row r="84" spans="1:38" hidden="1">
      <c r="A84" s="3">
        <v>82</v>
      </c>
      <c r="B84" s="21" t="s">
        <v>623</v>
      </c>
      <c r="C84" s="218">
        <v>1635.5</v>
      </c>
      <c r="D84" s="203">
        <v>2.1834061135371199E-2</v>
      </c>
      <c r="E84" s="21">
        <v>95000</v>
      </c>
      <c r="F84" s="204">
        <v>0</v>
      </c>
      <c r="G84" s="204">
        <v>4.7870199294284497</v>
      </c>
      <c r="H84" s="21" t="s">
        <v>165</v>
      </c>
      <c r="I84" s="21"/>
      <c r="J84" s="21"/>
      <c r="K84" s="173"/>
      <c r="L84" s="24">
        <v>33</v>
      </c>
      <c r="M84" s="207">
        <v>1552.969696969697</v>
      </c>
      <c r="N84" s="208">
        <v>51248</v>
      </c>
      <c r="O84" s="43">
        <f>L84*C84</f>
        <v>53971.5</v>
      </c>
      <c r="P84" s="21">
        <f>O84-N84</f>
        <v>2723.5</v>
      </c>
      <c r="Q84" s="21">
        <f>(P84/N84)*100</f>
        <v>5.3143537308773023</v>
      </c>
      <c r="R84" s="208">
        <v>96214.570945945932</v>
      </c>
      <c r="S84" s="24"/>
      <c r="T84" s="24">
        <v>8308</v>
      </c>
      <c r="U84" s="18">
        <v>1612</v>
      </c>
      <c r="V84" s="18"/>
      <c r="W84" s="18"/>
      <c r="X84" s="18"/>
      <c r="Y84" s="179"/>
      <c r="Z84" s="179"/>
      <c r="AA84" s="18"/>
      <c r="AB84" s="18"/>
      <c r="AE84">
        <f>L84</f>
        <v>33</v>
      </c>
      <c r="AF84">
        <v>0</v>
      </c>
      <c r="AG84">
        <v>0</v>
      </c>
      <c r="AH84">
        <v>0</v>
      </c>
      <c r="AI84">
        <v>16</v>
      </c>
      <c r="AJ84">
        <v>17</v>
      </c>
      <c r="AK84">
        <f>AF84+AG84+AH84+AI84+AJ84</f>
        <v>33</v>
      </c>
      <c r="AL84" s="216">
        <f>AK84-AE84</f>
        <v>0</v>
      </c>
    </row>
    <row r="85" spans="1:38" hidden="1">
      <c r="A85" s="3">
        <v>83</v>
      </c>
      <c r="B85" s="18" t="s">
        <v>966</v>
      </c>
      <c r="C85" s="218">
        <v>731.9</v>
      </c>
      <c r="D85" s="203">
        <v>2.2546972860125298</v>
      </c>
      <c r="E85" s="21">
        <v>1062.9629629629601</v>
      </c>
      <c r="F85" s="204"/>
      <c r="G85" s="204">
        <v>5.7788447587136398</v>
      </c>
      <c r="H85" s="21" t="s">
        <v>268</v>
      </c>
      <c r="I85" s="21"/>
      <c r="J85" s="21"/>
      <c r="K85" s="173" t="e">
        <f>((C85-U85)/U85)*100</f>
        <v>#DIV/0!</v>
      </c>
      <c r="L85" s="24">
        <v>204</v>
      </c>
      <c r="M85" s="207">
        <v>1101.6666666666667</v>
      </c>
      <c r="N85" s="208">
        <v>224740</v>
      </c>
      <c r="O85" s="43">
        <f>L85*C85</f>
        <v>149307.6</v>
      </c>
      <c r="P85" s="21">
        <f>O85-N85</f>
        <v>-75432.399999999994</v>
      </c>
      <c r="Q85" s="21">
        <f>(P85/N85)*100</f>
        <v>-33.564296520423596</v>
      </c>
      <c r="R85" s="208">
        <v>206408.75675675675</v>
      </c>
      <c r="S85" s="24"/>
      <c r="T85" s="24">
        <v>216</v>
      </c>
      <c r="U85" s="18"/>
      <c r="V85" s="18"/>
      <c r="W85" s="18"/>
      <c r="X85" s="18"/>
      <c r="Y85" s="179"/>
      <c r="Z85" s="179"/>
      <c r="AA85" s="18"/>
      <c r="AB85" s="18"/>
      <c r="AE85">
        <f>L85</f>
        <v>204</v>
      </c>
      <c r="AF85">
        <v>0</v>
      </c>
      <c r="AG85">
        <v>5</v>
      </c>
      <c r="AH85">
        <v>110</v>
      </c>
      <c r="AI85">
        <v>0</v>
      </c>
      <c r="AJ85">
        <v>89</v>
      </c>
      <c r="AK85">
        <f>AF85+AG85+AH85+AI85+AJ85</f>
        <v>204</v>
      </c>
      <c r="AL85" s="216">
        <f>AK85-AE85</f>
        <v>0</v>
      </c>
    </row>
    <row r="86" spans="1:38" hidden="1">
      <c r="A86" s="3">
        <v>84</v>
      </c>
      <c r="B86" s="18" t="s">
        <v>925</v>
      </c>
      <c r="C86" s="24">
        <v>676.85</v>
      </c>
      <c r="D86" s="203">
        <v>4.0441176470588198</v>
      </c>
      <c r="E86" s="21">
        <v>469.09090909090901</v>
      </c>
      <c r="F86" s="204"/>
      <c r="G86" s="204">
        <v>2.8647566571472298</v>
      </c>
      <c r="H86" s="21" t="s">
        <v>44</v>
      </c>
      <c r="I86" s="21"/>
      <c r="J86" s="21"/>
      <c r="K86" s="173" t="e">
        <f>((C86-U86)/U86)*100</f>
        <v>#DIV/0!</v>
      </c>
      <c r="L86" s="24">
        <v>235</v>
      </c>
      <c r="M86" s="207">
        <v>695.45106382978724</v>
      </c>
      <c r="N86" s="208">
        <v>163431</v>
      </c>
      <c r="O86" s="43">
        <f>L86*C86</f>
        <v>159059.75</v>
      </c>
      <c r="P86" s="21">
        <f>O86-N86</f>
        <v>-4371.25</v>
      </c>
      <c r="Q86" s="21">
        <f>(P86/N86)*100</f>
        <v>-2.6746761630290461</v>
      </c>
      <c r="R86" s="208">
        <v>121447.46621621621</v>
      </c>
      <c r="S86" s="24"/>
      <c r="T86" s="24">
        <v>6017</v>
      </c>
      <c r="U86" s="18"/>
      <c r="V86" s="18"/>
      <c r="W86" s="18"/>
      <c r="X86" s="18"/>
      <c r="Y86" s="179"/>
      <c r="Z86" s="179"/>
      <c r="AA86" s="18"/>
      <c r="AB86" s="18"/>
      <c r="AE86">
        <f>L86</f>
        <v>235</v>
      </c>
      <c r="AF86">
        <v>0</v>
      </c>
      <c r="AG86">
        <v>123</v>
      </c>
      <c r="AH86">
        <v>112</v>
      </c>
      <c r="AI86">
        <v>0</v>
      </c>
      <c r="AJ86">
        <v>0</v>
      </c>
      <c r="AK86">
        <f>AF86+AG86+AH86+AI86+AJ86</f>
        <v>235</v>
      </c>
      <c r="AL86">
        <f>AK86-AE86</f>
        <v>0</v>
      </c>
    </row>
    <row r="87" spans="1:38" hidden="1">
      <c r="A87" s="3">
        <v>85</v>
      </c>
      <c r="B87" s="18" t="s">
        <v>218</v>
      </c>
      <c r="C87" s="218">
        <v>6242.25</v>
      </c>
      <c r="D87" s="203">
        <v>6.4084831719686504</v>
      </c>
      <c r="E87" s="21">
        <v>430.79136690647499</v>
      </c>
      <c r="F87" s="204">
        <v>0</v>
      </c>
      <c r="G87" s="204">
        <v>1.5403406521743299</v>
      </c>
      <c r="H87" s="21" t="s">
        <v>268</v>
      </c>
      <c r="I87" s="21">
        <v>5</v>
      </c>
      <c r="J87" s="21"/>
      <c r="K87" s="173">
        <f>((C87-U87)/U87)*100</f>
        <v>-27.676399026763992</v>
      </c>
      <c r="L87" s="24">
        <v>16</v>
      </c>
      <c r="M87" s="207">
        <v>2378</v>
      </c>
      <c r="N87" s="208">
        <v>38048</v>
      </c>
      <c r="O87" s="181">
        <f>L87*C87</f>
        <v>99876</v>
      </c>
      <c r="P87" s="206">
        <f>O87-N87</f>
        <v>61828</v>
      </c>
      <c r="Q87" s="206">
        <f>(P87/N87)*100</f>
        <v>162.5</v>
      </c>
      <c r="R87" s="208">
        <v>61018.199324324327</v>
      </c>
      <c r="S87" s="257">
        <v>1267</v>
      </c>
      <c r="T87" s="257">
        <v>7438</v>
      </c>
      <c r="U87" s="447">
        <v>8631</v>
      </c>
      <c r="V87" s="18"/>
      <c r="W87" s="18"/>
      <c r="X87" s="18"/>
      <c r="Y87" s="179"/>
      <c r="Z87" s="179"/>
      <c r="AA87" s="18"/>
      <c r="AB87" s="18"/>
      <c r="AC87" s="18"/>
      <c r="AD87" s="58"/>
      <c r="AE87">
        <f>L87</f>
        <v>16</v>
      </c>
      <c r="AF87">
        <v>0</v>
      </c>
      <c r="AG87">
        <v>1</v>
      </c>
      <c r="AH87">
        <v>6</v>
      </c>
      <c r="AI87">
        <v>9</v>
      </c>
      <c r="AJ87">
        <v>0</v>
      </c>
      <c r="AK87">
        <f>AF87+AG87+AH87+AI87+AJ87</f>
        <v>16</v>
      </c>
      <c r="AL87">
        <f>AK87-AE87</f>
        <v>0</v>
      </c>
    </row>
    <row r="88" spans="1:38" hidden="1">
      <c r="A88" s="3">
        <v>86</v>
      </c>
      <c r="B88" s="9" t="s">
        <v>751</v>
      </c>
      <c r="C88" s="218">
        <v>1688</v>
      </c>
      <c r="D88" s="203">
        <v>2.72108843537415</v>
      </c>
      <c r="E88" s="21">
        <v>1850</v>
      </c>
      <c r="F88" s="204"/>
      <c r="G88" s="204">
        <v>3.38003983790095</v>
      </c>
      <c r="H88" s="21" t="s">
        <v>44</v>
      </c>
      <c r="I88" s="21"/>
      <c r="J88" s="21"/>
      <c r="K88" s="173">
        <f>((C88-U88)/U88)*100</f>
        <v>33.664855961864347</v>
      </c>
      <c r="L88" s="24">
        <v>224</v>
      </c>
      <c r="M88" s="207">
        <v>1542.2946428571429</v>
      </c>
      <c r="N88" s="208">
        <v>345474</v>
      </c>
      <c r="O88" s="43">
        <f>L88*C88</f>
        <v>378112</v>
      </c>
      <c r="P88" s="21">
        <f>O88-N88</f>
        <v>32638</v>
      </c>
      <c r="Q88" s="21">
        <f>(P88/N88)*100</f>
        <v>9.4473100725380199</v>
      </c>
      <c r="R88" s="208">
        <v>277310.96959459467</v>
      </c>
      <c r="S88" s="24"/>
      <c r="T88" s="24">
        <v>19434</v>
      </c>
      <c r="U88" s="18">
        <v>1262.8599999999999</v>
      </c>
      <c r="V88" s="18"/>
      <c r="W88" s="18"/>
      <c r="X88" s="18"/>
      <c r="Y88" s="179"/>
      <c r="Z88" s="179"/>
      <c r="AA88" s="18"/>
      <c r="AB88" s="18"/>
      <c r="AE88">
        <f>L88</f>
        <v>224</v>
      </c>
      <c r="AF88">
        <v>0</v>
      </c>
      <c r="AG88">
        <v>46</v>
      </c>
      <c r="AH88">
        <v>1</v>
      </c>
      <c r="AI88">
        <v>108</v>
      </c>
      <c r="AJ88">
        <v>69</v>
      </c>
      <c r="AK88">
        <f>AF88+AG88+AH88+AI88+AJ88</f>
        <v>224</v>
      </c>
      <c r="AL88">
        <f>AK88-AE88</f>
        <v>0</v>
      </c>
    </row>
    <row r="89" spans="1:38" hidden="1">
      <c r="A89" s="3">
        <v>88</v>
      </c>
      <c r="B89" s="477" t="s">
        <v>230</v>
      </c>
      <c r="C89" s="21">
        <v>411.5</v>
      </c>
      <c r="D89" s="203">
        <v>44.175082902918199</v>
      </c>
      <c r="E89" s="21">
        <v>-76.648159689534396</v>
      </c>
      <c r="F89" s="205">
        <v>0</v>
      </c>
      <c r="G89" s="204">
        <v>-11.3063232008915</v>
      </c>
      <c r="H89" s="21" t="s">
        <v>44</v>
      </c>
      <c r="I89" s="21">
        <v>300</v>
      </c>
      <c r="J89" s="21"/>
      <c r="K89" s="173">
        <f>((C89-U89)/U89)*100</f>
        <v>174.60794127460792</v>
      </c>
      <c r="L89" s="43">
        <v>1285</v>
      </c>
      <c r="M89" s="176">
        <v>185.46848249027238</v>
      </c>
      <c r="N89" s="177">
        <v>238327</v>
      </c>
      <c r="O89" s="43">
        <f>L89*C89</f>
        <v>528777.5</v>
      </c>
      <c r="P89" s="21">
        <f>O89-N89</f>
        <v>290450.5</v>
      </c>
      <c r="Q89" s="21">
        <f>(P89/N89)*100</f>
        <v>121.870581176283</v>
      </c>
      <c r="R89" s="177">
        <v>196689.56756756757</v>
      </c>
      <c r="S89" s="44"/>
      <c r="T89" s="44">
        <v>10695</v>
      </c>
      <c r="U89" s="60">
        <v>149.85</v>
      </c>
      <c r="V89" s="18">
        <v>196.2</v>
      </c>
      <c r="W89" s="18">
        <v>128</v>
      </c>
      <c r="X89" s="18"/>
      <c r="Y89" s="18" t="e">
        <f>((C89-X89)/X89)*100</f>
        <v>#DIV/0!</v>
      </c>
      <c r="Z89" s="179">
        <f>O89/E89</f>
        <v>-6898.7631554603358</v>
      </c>
      <c r="AA89" s="18" t="s">
        <v>58</v>
      </c>
      <c r="AB89" s="18">
        <v>30</v>
      </c>
      <c r="AC89" s="24">
        <v>340</v>
      </c>
      <c r="AD89" s="57"/>
      <c r="AE89">
        <f>L89</f>
        <v>1285</v>
      </c>
      <c r="AF89">
        <v>0</v>
      </c>
      <c r="AG89">
        <v>601</v>
      </c>
      <c r="AH89">
        <v>489</v>
      </c>
      <c r="AI89">
        <v>0</v>
      </c>
      <c r="AJ89">
        <v>195</v>
      </c>
      <c r="AK89">
        <f>AF89+AG89+AH89+AI89+AJ89</f>
        <v>1285</v>
      </c>
      <c r="AL89" s="216">
        <f>AK89-AE89</f>
        <v>0</v>
      </c>
    </row>
    <row r="90" spans="1:38" hidden="1">
      <c r="A90" s="3">
        <v>89</v>
      </c>
      <c r="B90" s="43" t="s">
        <v>37</v>
      </c>
      <c r="C90" s="21">
        <v>128.15</v>
      </c>
      <c r="D90" s="203">
        <v>0.99585062240663902</v>
      </c>
      <c r="E90" s="21">
        <v>2096</v>
      </c>
      <c r="F90" s="205">
        <v>0</v>
      </c>
      <c r="G90" s="204">
        <v>9.7368670549466305</v>
      </c>
      <c r="H90" s="21" t="s">
        <v>268</v>
      </c>
      <c r="I90" s="21">
        <v>40</v>
      </c>
      <c r="J90" s="21" t="s">
        <v>59</v>
      </c>
      <c r="K90" s="173" t="e">
        <f>((C90-U90)/U90)*100</f>
        <v>#VALUE!</v>
      </c>
      <c r="L90" s="43">
        <v>960</v>
      </c>
      <c r="M90" s="176">
        <v>179.57708333333332</v>
      </c>
      <c r="N90" s="177">
        <v>172394</v>
      </c>
      <c r="O90" s="43">
        <f>L90*C90</f>
        <v>123024</v>
      </c>
      <c r="P90" s="21">
        <f>O90-N90</f>
        <v>-49370</v>
      </c>
      <c r="Q90" s="21">
        <f>(P90/N90)*100</f>
        <v>-28.637887629499865</v>
      </c>
      <c r="R90" s="177">
        <v>167278.10810810811</v>
      </c>
      <c r="S90" s="44"/>
      <c r="T90" s="44">
        <v>1171</v>
      </c>
      <c r="U90" s="18" t="s">
        <v>703</v>
      </c>
      <c r="V90" s="18"/>
      <c r="W90" s="18">
        <f>((C90-V90)/C90)*100</f>
        <v>100</v>
      </c>
      <c r="X90" s="18"/>
      <c r="Y90" s="18" t="e">
        <f>((C90-X90)/X90)*100</f>
        <v>#DIV/0!</v>
      </c>
      <c r="Z90" s="179">
        <f>O90/E90</f>
        <v>58.694656488549619</v>
      </c>
      <c r="AA90" s="18" t="s">
        <v>58</v>
      </c>
      <c r="AB90" s="18">
        <v>30</v>
      </c>
      <c r="AC90" s="24"/>
      <c r="AD90" s="57"/>
      <c r="AE90">
        <f>L90</f>
        <v>960</v>
      </c>
      <c r="AF90">
        <v>0</v>
      </c>
      <c r="AG90">
        <v>224</v>
      </c>
      <c r="AH90">
        <v>461</v>
      </c>
      <c r="AI90">
        <v>275</v>
      </c>
      <c r="AJ90">
        <v>0</v>
      </c>
      <c r="AK90">
        <f>AF90+AG90+AH90+AI90+AJ90</f>
        <v>960</v>
      </c>
      <c r="AL90">
        <f>AK90-AE90</f>
        <v>0</v>
      </c>
    </row>
    <row r="91" spans="1:38" hidden="1">
      <c r="A91" s="3">
        <v>91</v>
      </c>
      <c r="B91" s="181" t="s">
        <v>39</v>
      </c>
      <c r="C91" s="21">
        <v>416.75</v>
      </c>
      <c r="D91" s="203">
        <v>6.2091503267973902</v>
      </c>
      <c r="E91" s="21">
        <v>240.67368421052601</v>
      </c>
      <c r="F91" s="205">
        <v>0</v>
      </c>
      <c r="G91" s="204">
        <v>5.7563548979572303</v>
      </c>
      <c r="H91" s="21" t="s">
        <v>268</v>
      </c>
      <c r="I91" s="21">
        <v>53</v>
      </c>
      <c r="J91" s="21" t="s">
        <v>60</v>
      </c>
      <c r="K91" s="173">
        <f>((C91-U91)/U91)*100</f>
        <v>34.435483870967744</v>
      </c>
      <c r="L91" s="43">
        <v>50</v>
      </c>
      <c r="M91" s="176">
        <v>206.42</v>
      </c>
      <c r="N91" s="177">
        <v>10321</v>
      </c>
      <c r="O91" s="43">
        <f>L91*C91</f>
        <v>20837.5</v>
      </c>
      <c r="P91" s="21">
        <f>O91-N91</f>
        <v>10516.5</v>
      </c>
      <c r="Q91" s="21">
        <f>(P91/N91)*100</f>
        <v>101.89419629880825</v>
      </c>
      <c r="R91" s="177">
        <v>11397.111486486487</v>
      </c>
      <c r="S91" s="44"/>
      <c r="T91" s="44">
        <v>2188</v>
      </c>
      <c r="U91" s="18">
        <v>310</v>
      </c>
      <c r="V91" s="18"/>
      <c r="W91" s="18">
        <f>((C91-V91)/C91)*100</f>
        <v>100</v>
      </c>
      <c r="X91" s="18">
        <v>219</v>
      </c>
      <c r="Y91" s="18">
        <f>((C91-X91)/X91)*100</f>
        <v>90.296803652968038</v>
      </c>
      <c r="Z91" s="179">
        <f>O91/E91</f>
        <v>86.579885409377297</v>
      </c>
      <c r="AA91" s="18" t="s">
        <v>58</v>
      </c>
      <c r="AB91" s="18">
        <v>30</v>
      </c>
      <c r="AC91" s="24"/>
      <c r="AD91" s="57"/>
      <c r="AE91">
        <f>L91</f>
        <v>50</v>
      </c>
      <c r="AF91">
        <v>0</v>
      </c>
      <c r="AG91">
        <v>50</v>
      </c>
      <c r="AH91">
        <v>0</v>
      </c>
      <c r="AI91">
        <v>0</v>
      </c>
      <c r="AJ91">
        <v>0</v>
      </c>
      <c r="AK91">
        <f>AF91+AG91+AH91+AI91+AJ91</f>
        <v>50</v>
      </c>
      <c r="AL91">
        <f>AK91-AE91</f>
        <v>0</v>
      </c>
    </row>
    <row r="92" spans="1:38" hidden="1">
      <c r="A92" s="3">
        <v>92</v>
      </c>
      <c r="B92" s="21" t="s">
        <v>470</v>
      </c>
      <c r="C92" s="218">
        <v>2004.65</v>
      </c>
      <c r="D92" s="203">
        <v>1.7067003792667498E-2</v>
      </c>
      <c r="E92" s="21">
        <v>135777.03703703699</v>
      </c>
      <c r="F92" s="204">
        <v>0</v>
      </c>
      <c r="G92" s="204">
        <v>1.7788541967898399</v>
      </c>
      <c r="H92" s="21" t="s">
        <v>165</v>
      </c>
      <c r="I92" s="21"/>
      <c r="J92" s="21"/>
      <c r="K92" s="173">
        <f>((C92-U92)/U92)*100</f>
        <v>9.3811384172159453</v>
      </c>
      <c r="L92" s="24">
        <v>16</v>
      </c>
      <c r="M92" s="207">
        <v>1237.4375</v>
      </c>
      <c r="N92" s="208">
        <v>19799</v>
      </c>
      <c r="O92" s="24">
        <f>L92*C92</f>
        <v>32074.400000000001</v>
      </c>
      <c r="P92" s="24">
        <f>O92-N92</f>
        <v>12275.400000000001</v>
      </c>
      <c r="Q92" s="209">
        <f>(P92/N92)*100</f>
        <v>62.000101015202787</v>
      </c>
      <c r="R92" s="208">
        <v>26308.307432432433</v>
      </c>
      <c r="S92" s="24"/>
      <c r="T92" s="24">
        <v>5532</v>
      </c>
      <c r="U92" s="18">
        <v>1832.72</v>
      </c>
      <c r="V92" s="18"/>
      <c r="W92" s="18"/>
      <c r="X92" s="18"/>
      <c r="Y92" s="18" t="e">
        <f>((C92-X92)/X92)*100</f>
        <v>#DIV/0!</v>
      </c>
      <c r="Z92" s="179">
        <f>O92/E92</f>
        <v>0.23622845732928174</v>
      </c>
      <c r="AA92" s="18"/>
      <c r="AB92" s="18"/>
      <c r="AC92" s="18"/>
      <c r="AD92" s="58"/>
      <c r="AE92">
        <f>L92</f>
        <v>16</v>
      </c>
      <c r="AF92">
        <v>0</v>
      </c>
      <c r="AG92">
        <v>0</v>
      </c>
      <c r="AH92">
        <v>16</v>
      </c>
      <c r="AI92">
        <v>0</v>
      </c>
      <c r="AJ92">
        <v>0</v>
      </c>
      <c r="AK92">
        <f>AF92+AG92+AH92+AI92+AJ92</f>
        <v>16</v>
      </c>
      <c r="AL92">
        <f>AK92-AE92</f>
        <v>0</v>
      </c>
    </row>
    <row r="93" spans="1:38" hidden="1">
      <c r="A93" s="3">
        <v>94</v>
      </c>
      <c r="B93" s="18" t="s">
        <v>749</v>
      </c>
      <c r="C93" s="24">
        <v>68.599999999999994</v>
      </c>
      <c r="D93" s="203">
        <v>0.297176820208024</v>
      </c>
      <c r="E93" s="21">
        <v>2500</v>
      </c>
      <c r="F93" s="204"/>
      <c r="G93" s="204">
        <v>6.5553224774230303</v>
      </c>
      <c r="H93" s="21" t="s">
        <v>268</v>
      </c>
      <c r="I93" s="21"/>
      <c r="J93" s="21"/>
      <c r="K93" s="173">
        <f>((C93-U93)/U93)*100</f>
        <v>-19.056047197640126</v>
      </c>
      <c r="L93" s="24">
        <v>2149</v>
      </c>
      <c r="M93" s="207">
        <v>110.19590507212656</v>
      </c>
      <c r="N93" s="208">
        <v>236811</v>
      </c>
      <c r="O93" s="43">
        <f>L93*C93</f>
        <v>147421.4</v>
      </c>
      <c r="P93" s="21">
        <f>O93-N93</f>
        <v>-89389.6</v>
      </c>
      <c r="Q93" s="21">
        <f>(P93/N93)*100</f>
        <v>-37.747233025492903</v>
      </c>
      <c r="R93" s="208">
        <v>274412.03378378379</v>
      </c>
      <c r="S93" s="24"/>
      <c r="T93" s="24">
        <v>1968</v>
      </c>
      <c r="U93" s="18">
        <v>84.75</v>
      </c>
      <c r="V93" s="18"/>
      <c r="W93" s="18"/>
      <c r="X93" s="18"/>
      <c r="Y93" s="18" t="e">
        <f>((C93-X93)/X93)*100</f>
        <v>#DIV/0!</v>
      </c>
      <c r="Z93" s="179">
        <f>O93/E93</f>
        <v>58.968559999999997</v>
      </c>
      <c r="AA93" s="18"/>
      <c r="AB93" s="18"/>
      <c r="AC93" s="18"/>
      <c r="AD93" s="58"/>
      <c r="AE93">
        <f>L93</f>
        <v>2149</v>
      </c>
      <c r="AF93">
        <v>0</v>
      </c>
      <c r="AG93">
        <v>1000</v>
      </c>
      <c r="AH93">
        <v>340</v>
      </c>
      <c r="AI93">
        <v>0</v>
      </c>
      <c r="AJ93">
        <v>809</v>
      </c>
      <c r="AK93">
        <f>AF93+AG93+AH93+AI93+AJ93</f>
        <v>2149</v>
      </c>
      <c r="AL93">
        <f>AK93-AE93</f>
        <v>0</v>
      </c>
    </row>
    <row r="94" spans="1:38" hidden="1">
      <c r="A94" s="3">
        <v>95</v>
      </c>
      <c r="B94" s="21" t="s">
        <v>823</v>
      </c>
      <c r="C94" s="24">
        <v>230.25</v>
      </c>
      <c r="D94" s="203">
        <v>0.57401812688821796</v>
      </c>
      <c r="E94" s="21">
        <v>1220.5263157894699</v>
      </c>
      <c r="F94" s="204">
        <v>5.38</v>
      </c>
      <c r="G94" s="204">
        <v>4.1983418910294104</v>
      </c>
      <c r="H94" s="21" t="s">
        <v>268</v>
      </c>
      <c r="I94" s="21"/>
      <c r="J94" s="21"/>
      <c r="K94" s="173">
        <f>((C94-U94)/U94)*100</f>
        <v>-11.442307692307692</v>
      </c>
      <c r="L94" s="24">
        <v>313</v>
      </c>
      <c r="M94" s="207">
        <v>273.46006389776358</v>
      </c>
      <c r="N94" s="208">
        <v>85593</v>
      </c>
      <c r="O94" s="43">
        <f>L94*C94</f>
        <v>72068.25</v>
      </c>
      <c r="P94" s="21">
        <f>O94-N94</f>
        <v>-13524.75</v>
      </c>
      <c r="Q94" s="21">
        <f>(P94/N94)*100</f>
        <v>-15.801233745750237</v>
      </c>
      <c r="R94" s="208">
        <v>186569.07432432429</v>
      </c>
      <c r="S94" s="24"/>
      <c r="T94" s="24">
        <v>-5049</v>
      </c>
      <c r="U94" s="227">
        <v>260</v>
      </c>
      <c r="V94" s="18"/>
      <c r="W94" s="18"/>
      <c r="X94" s="18"/>
      <c r="Y94" s="18" t="e">
        <f>((C94-X94)/X94)*100</f>
        <v>#DIV/0!</v>
      </c>
      <c r="Z94" s="179">
        <f>O94/E94</f>
        <v>59.046862871927736</v>
      </c>
      <c r="AA94" s="18"/>
      <c r="AB94" s="18"/>
      <c r="AE94">
        <f>L94</f>
        <v>313</v>
      </c>
      <c r="AF94">
        <v>0</v>
      </c>
      <c r="AG94">
        <v>160</v>
      </c>
      <c r="AH94">
        <v>22</v>
      </c>
      <c r="AI94">
        <v>0</v>
      </c>
      <c r="AJ94">
        <v>131</v>
      </c>
      <c r="AK94">
        <f>AF94+AG94+AH94+AI94+AJ94</f>
        <v>313</v>
      </c>
      <c r="AL94">
        <f>AK94-AE94</f>
        <v>0</v>
      </c>
    </row>
  </sheetData>
  <autoFilter ref="A2:AL94" xr:uid="{6EAE984A-2B15-4B27-AEC4-522E753EE6FB}">
    <filterColumn colId="37">
      <filters>
        <filter val="-11"/>
        <filter val="-15"/>
        <filter val="-799"/>
        <filter val="82"/>
      </filters>
    </filterColumn>
    <sortState xmlns:xlrd2="http://schemas.microsoft.com/office/spreadsheetml/2017/richdata2" ref="A3:AL94">
      <sortCondition ref="B2:B94"/>
    </sortState>
  </autoFilter>
  <phoneticPr fontId="113" type="noConversion"/>
  <pageMargins left="0.7" right="0.7" top="0.75" bottom="0.75" header="0.3" footer="0.3"/>
  <pageSetup orientation="portrait" r:id="rId1"/>
  <ignoredErrors>
    <ignoredError sqref="Q1"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93"/>
  <sheetViews>
    <sheetView topLeftCell="A80" workbookViewId="0">
      <selection activeCell="C91" sqref="C91:C93"/>
    </sheetView>
  </sheetViews>
  <sheetFormatPr defaultRowHeight="14.5"/>
  <cols>
    <col min="1" max="1" width="15.26953125" bestFit="1" customWidth="1"/>
    <col min="2" max="2" width="14" bestFit="1" customWidth="1"/>
    <col min="3" max="3" width="15" bestFit="1" customWidth="1"/>
    <col min="4" max="4" width="8.54296875" bestFit="1" customWidth="1"/>
    <col min="5" max="5" width="7.26953125" bestFit="1" customWidth="1"/>
    <col min="6" max="6" width="13.26953125" bestFit="1" customWidth="1"/>
    <col min="8" max="8" width="19.54296875" customWidth="1"/>
  </cols>
  <sheetData>
    <row r="1" spans="1:9">
      <c r="A1" s="239" t="s">
        <v>66</v>
      </c>
      <c r="B1" s="239" t="s">
        <v>69</v>
      </c>
      <c r="C1" s="239" t="s">
        <v>70</v>
      </c>
      <c r="D1" s="239" t="s">
        <v>71</v>
      </c>
      <c r="E1" s="239" t="s">
        <v>497</v>
      </c>
      <c r="F1" s="239" t="s">
        <v>498</v>
      </c>
      <c r="G1" s="239" t="s">
        <v>499</v>
      </c>
      <c r="H1" s="239" t="s">
        <v>500</v>
      </c>
      <c r="I1" s="239" t="s">
        <v>592</v>
      </c>
    </row>
    <row r="2" spans="1:9">
      <c r="A2" s="3" t="s">
        <v>530</v>
      </c>
      <c r="B2" t="s">
        <v>1158</v>
      </c>
      <c r="C2" s="9" t="s">
        <v>531</v>
      </c>
      <c r="D2" s="9" t="s">
        <v>72</v>
      </c>
      <c r="E2" s="9" t="s">
        <v>45</v>
      </c>
      <c r="F2" s="3" t="s">
        <v>532</v>
      </c>
      <c r="G2" s="9"/>
      <c r="H2" s="9" t="s">
        <v>531</v>
      </c>
      <c r="I2" s="56">
        <v>524091</v>
      </c>
    </row>
    <row r="3" spans="1:9">
      <c r="A3" s="9" t="s">
        <v>712</v>
      </c>
      <c r="B3" s="9" t="s">
        <v>713</v>
      </c>
      <c r="C3" s="9" t="s">
        <v>716</v>
      </c>
      <c r="D3" s="9" t="s">
        <v>72</v>
      </c>
      <c r="E3" s="9"/>
      <c r="F3" s="9" t="s">
        <v>971</v>
      </c>
      <c r="G3" s="9"/>
      <c r="H3" s="9" t="s">
        <v>716</v>
      </c>
      <c r="I3" s="9">
        <v>542752</v>
      </c>
    </row>
    <row r="4" spans="1:9">
      <c r="A4" s="3" t="s">
        <v>533</v>
      </c>
      <c r="B4" s="9" t="s">
        <v>534</v>
      </c>
      <c r="C4" s="9" t="s">
        <v>534</v>
      </c>
      <c r="D4" s="9" t="s">
        <v>72</v>
      </c>
      <c r="E4" s="9" t="s">
        <v>45</v>
      </c>
      <c r="F4" s="9" t="s">
        <v>535</v>
      </c>
      <c r="G4" s="9"/>
      <c r="H4" s="9" t="s">
        <v>534</v>
      </c>
      <c r="I4" s="9" t="s">
        <v>593</v>
      </c>
    </row>
    <row r="5" spans="1:9">
      <c r="A5" s="9" t="s">
        <v>472</v>
      </c>
      <c r="B5" s="9" t="s">
        <v>468</v>
      </c>
      <c r="C5" s="9" t="s">
        <v>468</v>
      </c>
      <c r="D5" s="9" t="s">
        <v>72</v>
      </c>
      <c r="E5" s="9"/>
      <c r="F5" s="9" t="s">
        <v>586</v>
      </c>
      <c r="G5" s="9" t="s">
        <v>501</v>
      </c>
      <c r="H5" s="240" t="s">
        <v>468</v>
      </c>
      <c r="I5" s="241">
        <v>531978</v>
      </c>
    </row>
    <row r="6" spans="1:9">
      <c r="A6" s="9" t="s">
        <v>1028</v>
      </c>
      <c r="B6" s="9" t="s">
        <v>1029</v>
      </c>
      <c r="C6" s="9" t="s">
        <v>1029</v>
      </c>
      <c r="D6" s="9" t="s">
        <v>72</v>
      </c>
      <c r="E6" s="9"/>
      <c r="F6" s="9" t="s">
        <v>1030</v>
      </c>
      <c r="G6" s="9"/>
      <c r="H6" s="9" t="s">
        <v>1029</v>
      </c>
      <c r="I6" s="9">
        <v>523694</v>
      </c>
    </row>
    <row r="7" spans="1:9">
      <c r="A7" s="9" t="s">
        <v>803</v>
      </c>
      <c r="B7" s="9" t="s">
        <v>794</v>
      </c>
      <c r="C7" s="9" t="s">
        <v>794</v>
      </c>
      <c r="D7" s="9" t="s">
        <v>72</v>
      </c>
      <c r="E7" s="9"/>
      <c r="F7" s="9" t="s">
        <v>804</v>
      </c>
      <c r="G7" s="9"/>
      <c r="H7" s="9" t="s">
        <v>794</v>
      </c>
      <c r="I7" s="9">
        <v>543335</v>
      </c>
    </row>
    <row r="8" spans="1:9">
      <c r="A8" s="3" t="s">
        <v>512</v>
      </c>
      <c r="B8" s="9" t="s">
        <v>511</v>
      </c>
      <c r="C8" s="9" t="s">
        <v>511</v>
      </c>
      <c r="D8" s="9" t="s">
        <v>72</v>
      </c>
      <c r="E8" s="9" t="s">
        <v>45</v>
      </c>
      <c r="F8" s="9" t="s">
        <v>513</v>
      </c>
      <c r="G8" s="9"/>
      <c r="H8" s="240" t="s">
        <v>511</v>
      </c>
      <c r="I8" s="9">
        <v>500820</v>
      </c>
    </row>
    <row r="9" spans="1:9">
      <c r="A9" s="10" t="s">
        <v>9</v>
      </c>
      <c r="B9" s="9" t="s">
        <v>75</v>
      </c>
      <c r="C9" s="9" t="s">
        <v>205</v>
      </c>
      <c r="D9" s="9" t="s">
        <v>76</v>
      </c>
      <c r="E9" s="9"/>
      <c r="F9" s="9" t="s">
        <v>77</v>
      </c>
      <c r="G9" s="9" t="s">
        <v>501</v>
      </c>
      <c r="H9" s="242">
        <v>532406</v>
      </c>
      <c r="I9" s="242">
        <v>532406</v>
      </c>
    </row>
    <row r="10" spans="1:9">
      <c r="A10" s="9" t="s">
        <v>671</v>
      </c>
      <c r="B10" s="9" t="s">
        <v>672</v>
      </c>
      <c r="C10" s="9" t="s">
        <v>672</v>
      </c>
      <c r="D10" s="9" t="s">
        <v>72</v>
      </c>
      <c r="E10" s="9"/>
      <c r="F10" s="9" t="s">
        <v>673</v>
      </c>
      <c r="G10" s="9"/>
      <c r="H10" s="9" t="s">
        <v>672</v>
      </c>
      <c r="I10" s="9">
        <v>500034</v>
      </c>
    </row>
    <row r="11" spans="1:9">
      <c r="A11" s="3" t="s">
        <v>194</v>
      </c>
      <c r="B11" s="9" t="s">
        <v>502</v>
      </c>
      <c r="C11" s="9" t="s">
        <v>195</v>
      </c>
      <c r="D11" s="9" t="s">
        <v>72</v>
      </c>
      <c r="E11" s="9" t="s">
        <v>45</v>
      </c>
      <c r="F11" s="9" t="s">
        <v>1138</v>
      </c>
      <c r="G11" s="9"/>
      <c r="H11" s="240" t="s">
        <v>195</v>
      </c>
      <c r="I11" s="9" t="s">
        <v>593</v>
      </c>
    </row>
    <row r="12" spans="1:9">
      <c r="A12" s="9" t="s">
        <v>743</v>
      </c>
      <c r="B12" s="9" t="s">
        <v>744</v>
      </c>
      <c r="C12" s="9" t="s">
        <v>744</v>
      </c>
      <c r="D12" s="9" t="s">
        <v>72</v>
      </c>
      <c r="E12" s="9"/>
      <c r="F12" s="9" t="s">
        <v>745</v>
      </c>
      <c r="G12" s="9"/>
      <c r="H12" s="9" t="s">
        <v>744</v>
      </c>
      <c r="I12" s="18">
        <v>532400</v>
      </c>
    </row>
    <row r="13" spans="1:9">
      <c r="A13" s="9" t="s">
        <v>969</v>
      </c>
      <c r="B13" s="9" t="s">
        <v>970</v>
      </c>
      <c r="C13" s="9" t="s">
        <v>970</v>
      </c>
      <c r="D13" s="9" t="s">
        <v>72</v>
      </c>
      <c r="E13" s="9"/>
      <c r="F13" s="9" t="s">
        <v>919</v>
      </c>
      <c r="G13" s="9"/>
      <c r="H13" s="9" t="s">
        <v>970</v>
      </c>
      <c r="I13" s="9">
        <v>543425</v>
      </c>
    </row>
    <row r="14" spans="1:9">
      <c r="A14" s="3" t="s">
        <v>12</v>
      </c>
      <c r="B14" s="243" t="s">
        <v>410</v>
      </c>
      <c r="C14" s="243" t="s">
        <v>81</v>
      </c>
      <c r="D14" s="9" t="s">
        <v>72</v>
      </c>
      <c r="E14" s="9" t="s">
        <v>45</v>
      </c>
      <c r="F14" s="9" t="s">
        <v>82</v>
      </c>
      <c r="G14" s="9"/>
      <c r="H14" s="244" t="s">
        <v>81</v>
      </c>
      <c r="I14" s="9" t="s">
        <v>593</v>
      </c>
    </row>
    <row r="15" spans="1:9">
      <c r="A15" s="9" t="s">
        <v>783</v>
      </c>
      <c r="B15" s="9" t="s">
        <v>784</v>
      </c>
      <c r="C15" s="9" t="s">
        <v>784</v>
      </c>
      <c r="D15" s="9" t="s">
        <v>72</v>
      </c>
      <c r="E15" s="9"/>
      <c r="F15" s="9" t="s">
        <v>785</v>
      </c>
      <c r="G15" s="9"/>
      <c r="H15" s="9" t="s">
        <v>784</v>
      </c>
      <c r="I15" s="18">
        <v>543333</v>
      </c>
    </row>
    <row r="16" spans="1:9" ht="29">
      <c r="A16" s="3" t="s">
        <v>13</v>
      </c>
      <c r="B16" s="9" t="s">
        <v>83</v>
      </c>
      <c r="C16" s="9" t="s">
        <v>246</v>
      </c>
      <c r="D16" s="9" t="s">
        <v>76</v>
      </c>
      <c r="E16" s="9" t="s">
        <v>45</v>
      </c>
      <c r="F16" s="9" t="s">
        <v>84</v>
      </c>
      <c r="G16" s="9"/>
      <c r="H16" s="242">
        <v>526817</v>
      </c>
      <c r="I16" s="242">
        <v>526817</v>
      </c>
    </row>
    <row r="17" spans="1:9">
      <c r="A17" s="9" t="s">
        <v>771</v>
      </c>
      <c r="B17" s="9" t="s">
        <v>895</v>
      </c>
      <c r="C17" s="9" t="s">
        <v>772</v>
      </c>
      <c r="D17" s="9" t="s">
        <v>72</v>
      </c>
      <c r="E17" s="9"/>
      <c r="F17" s="9" t="s">
        <v>773</v>
      </c>
      <c r="G17" s="9"/>
      <c r="H17" s="9" t="s">
        <v>772</v>
      </c>
      <c r="I17" s="9">
        <v>590031</v>
      </c>
    </row>
    <row r="18" spans="1:9">
      <c r="A18" s="9" t="s">
        <v>483</v>
      </c>
      <c r="B18" s="9" t="s">
        <v>474</v>
      </c>
      <c r="C18" s="9" t="s">
        <v>473</v>
      </c>
      <c r="D18" s="9" t="s">
        <v>72</v>
      </c>
      <c r="E18" s="9"/>
      <c r="F18" s="9" t="s">
        <v>587</v>
      </c>
      <c r="G18" s="9"/>
      <c r="H18" s="242">
        <v>531306</v>
      </c>
      <c r="I18" s="9">
        <v>531306</v>
      </c>
    </row>
    <row r="19" spans="1:9">
      <c r="A19" s="9" t="s">
        <v>668</v>
      </c>
      <c r="B19" s="9" t="s">
        <v>669</v>
      </c>
      <c r="C19" s="9" t="s">
        <v>669</v>
      </c>
      <c r="D19" s="9" t="s">
        <v>72</v>
      </c>
      <c r="E19" s="9"/>
      <c r="F19" s="9" t="s">
        <v>670</v>
      </c>
      <c r="G19" s="9"/>
      <c r="H19" s="9" t="s">
        <v>669</v>
      </c>
      <c r="I19" s="9">
        <v>532488</v>
      </c>
    </row>
    <row r="20" spans="1:9">
      <c r="A20" s="9" t="s">
        <v>665</v>
      </c>
      <c r="B20" s="9" t="s">
        <v>666</v>
      </c>
      <c r="C20" s="9" t="s">
        <v>666</v>
      </c>
      <c r="D20" s="9" t="s">
        <v>72</v>
      </c>
      <c r="E20" s="9"/>
      <c r="F20" s="9" t="s">
        <v>667</v>
      </c>
      <c r="G20" s="9"/>
      <c r="H20" s="9" t="s">
        <v>666</v>
      </c>
      <c r="I20" s="9">
        <v>539524</v>
      </c>
    </row>
    <row r="21" spans="1:9">
      <c r="A21" s="3" t="s">
        <v>424</v>
      </c>
      <c r="B21" s="9" t="s">
        <v>425</v>
      </c>
      <c r="C21" s="9" t="s">
        <v>425</v>
      </c>
      <c r="D21" s="9" t="s">
        <v>72</v>
      </c>
      <c r="E21" s="9" t="s">
        <v>73</v>
      </c>
      <c r="F21" s="9" t="s">
        <v>796</v>
      </c>
      <c r="G21" s="9"/>
      <c r="H21" s="240" t="s">
        <v>425</v>
      </c>
      <c r="I21" s="441">
        <v>500136</v>
      </c>
    </row>
    <row r="22" spans="1:9">
      <c r="A22" s="9" t="s">
        <v>740</v>
      </c>
      <c r="B22" s="9" t="s">
        <v>740</v>
      </c>
      <c r="C22" s="9" t="s">
        <v>740</v>
      </c>
      <c r="D22" s="9" t="s">
        <v>72</v>
      </c>
      <c r="E22" s="9"/>
      <c r="F22" s="9" t="s">
        <v>741</v>
      </c>
      <c r="G22" s="9"/>
      <c r="H22" s="9" t="s">
        <v>740</v>
      </c>
      <c r="I22" s="9">
        <v>531599</v>
      </c>
    </row>
    <row r="23" spans="1:9">
      <c r="A23" s="9" t="s">
        <v>635</v>
      </c>
      <c r="B23" s="9" t="s">
        <v>633</v>
      </c>
      <c r="C23" s="9" t="s">
        <v>633</v>
      </c>
      <c r="D23" s="9" t="s">
        <v>72</v>
      </c>
      <c r="E23" s="9"/>
      <c r="F23" s="9" t="s">
        <v>634</v>
      </c>
      <c r="G23" s="9"/>
      <c r="H23" s="240" t="s">
        <v>633</v>
      </c>
      <c r="I23" s="9">
        <v>541557</v>
      </c>
    </row>
    <row r="24" spans="1:9">
      <c r="A24" s="9" t="s">
        <v>689</v>
      </c>
      <c r="B24" s="9" t="s">
        <v>690</v>
      </c>
      <c r="C24" s="9" t="s">
        <v>690</v>
      </c>
      <c r="D24" s="9" t="s">
        <v>72</v>
      </c>
      <c r="E24" s="9"/>
      <c r="F24" s="9" t="s">
        <v>691</v>
      </c>
      <c r="G24" s="9"/>
      <c r="H24" s="9" t="s">
        <v>690</v>
      </c>
      <c r="I24" s="18">
        <v>540935</v>
      </c>
    </row>
    <row r="25" spans="1:9">
      <c r="A25" s="9" t="s">
        <v>630</v>
      </c>
      <c r="B25" s="9" t="s">
        <v>631</v>
      </c>
      <c r="C25" s="9" t="s">
        <v>631</v>
      </c>
      <c r="D25" s="9" t="s">
        <v>72</v>
      </c>
      <c r="E25" s="9"/>
      <c r="F25" s="9" t="s">
        <v>632</v>
      </c>
      <c r="G25" s="9"/>
      <c r="H25" s="240" t="s">
        <v>631</v>
      </c>
      <c r="I25" s="9">
        <v>509557</v>
      </c>
    </row>
    <row r="26" spans="1:9">
      <c r="A26" s="3" t="s">
        <v>536</v>
      </c>
      <c r="B26" s="9" t="s">
        <v>537</v>
      </c>
      <c r="C26" s="9" t="s">
        <v>550</v>
      </c>
      <c r="D26" s="9" t="s">
        <v>72</v>
      </c>
      <c r="E26" s="9" t="s">
        <v>45</v>
      </c>
      <c r="F26" s="9" t="s">
        <v>538</v>
      </c>
      <c r="G26" s="9"/>
      <c r="H26" s="9" t="s">
        <v>537</v>
      </c>
      <c r="I26" s="9">
        <v>505255</v>
      </c>
    </row>
    <row r="27" spans="1:9">
      <c r="A27" s="3" t="s">
        <v>15</v>
      </c>
      <c r="B27" s="9">
        <v>500670</v>
      </c>
      <c r="C27" s="9" t="s">
        <v>15</v>
      </c>
      <c r="D27" s="9" t="s">
        <v>72</v>
      </c>
      <c r="E27" s="9" t="s">
        <v>45</v>
      </c>
      <c r="F27" s="9" t="s">
        <v>87</v>
      </c>
      <c r="G27" s="9"/>
      <c r="H27" s="242">
        <v>500670</v>
      </c>
      <c r="I27" s="441">
        <v>500670</v>
      </c>
    </row>
    <row r="28" spans="1:9">
      <c r="A28" s="9" t="s">
        <v>649</v>
      </c>
      <c r="B28" s="9" t="s">
        <v>648</v>
      </c>
      <c r="C28" s="9" t="s">
        <v>648</v>
      </c>
      <c r="D28" s="9" t="s">
        <v>72</v>
      </c>
      <c r="E28" s="9"/>
      <c r="F28" s="9" t="s">
        <v>975</v>
      </c>
      <c r="G28" s="9"/>
      <c r="H28" s="240" t="s">
        <v>648</v>
      </c>
      <c r="I28" s="9">
        <v>526729</v>
      </c>
    </row>
    <row r="29" spans="1:9">
      <c r="A29" s="3" t="s">
        <v>18</v>
      </c>
      <c r="B29" s="9">
        <v>532281</v>
      </c>
      <c r="C29" s="9" t="s">
        <v>88</v>
      </c>
      <c r="D29" s="9" t="s">
        <v>72</v>
      </c>
      <c r="E29" s="9" t="s">
        <v>45</v>
      </c>
      <c r="F29" s="9" t="s">
        <v>89</v>
      </c>
      <c r="G29" s="9"/>
      <c r="H29" s="242">
        <v>532281</v>
      </c>
      <c r="I29" s="56">
        <v>532281</v>
      </c>
    </row>
    <row r="30" spans="1:9">
      <c r="A30" s="3" t="s">
        <v>441</v>
      </c>
      <c r="B30" s="9" t="s">
        <v>445</v>
      </c>
      <c r="C30" s="9" t="s">
        <v>445</v>
      </c>
      <c r="D30" s="9" t="s">
        <v>72</v>
      </c>
      <c r="E30" s="9" t="s">
        <v>45</v>
      </c>
      <c r="F30" s="9" t="s">
        <v>584</v>
      </c>
      <c r="G30" s="9"/>
      <c r="H30" s="240" t="s">
        <v>445</v>
      </c>
      <c r="I30" s="9" t="s">
        <v>593</v>
      </c>
    </row>
    <row r="31" spans="1:9">
      <c r="A31" s="9" t="s">
        <v>674</v>
      </c>
      <c r="B31" s="9" t="s">
        <v>675</v>
      </c>
      <c r="C31" s="9" t="s">
        <v>675</v>
      </c>
      <c r="D31" s="9" t="s">
        <v>72</v>
      </c>
      <c r="E31" s="9"/>
      <c r="F31" s="9" t="s">
        <v>676</v>
      </c>
      <c r="G31" s="9"/>
      <c r="H31" s="9" t="s">
        <v>675</v>
      </c>
      <c r="I31" s="9">
        <v>540777</v>
      </c>
    </row>
    <row r="32" spans="1:9">
      <c r="A32" s="3" t="s">
        <v>527</v>
      </c>
      <c r="B32" s="9" t="s">
        <v>528</v>
      </c>
      <c r="C32" s="9" t="s">
        <v>528</v>
      </c>
      <c r="D32" s="9" t="s">
        <v>72</v>
      </c>
      <c r="E32" s="9" t="s">
        <v>45</v>
      </c>
      <c r="F32" s="9" t="s">
        <v>529</v>
      </c>
      <c r="G32" s="9"/>
      <c r="H32" s="9" t="s">
        <v>528</v>
      </c>
      <c r="I32" s="9">
        <v>543266</v>
      </c>
    </row>
    <row r="33" spans="1:9">
      <c r="A33" s="3" t="s">
        <v>19</v>
      </c>
      <c r="B33" s="9" t="s">
        <v>90</v>
      </c>
      <c r="C33" s="9" t="s">
        <v>90</v>
      </c>
      <c r="D33" s="9" t="s">
        <v>72</v>
      </c>
      <c r="E33" s="9" t="s">
        <v>45</v>
      </c>
      <c r="F33" s="9" t="s">
        <v>91</v>
      </c>
      <c r="G33" s="9"/>
      <c r="H33" s="240" t="s">
        <v>90</v>
      </c>
      <c r="I33" s="9" t="s">
        <v>593</v>
      </c>
    </row>
    <row r="34" spans="1:9">
      <c r="A34" s="3" t="s">
        <v>463</v>
      </c>
      <c r="B34" s="9" t="s">
        <v>463</v>
      </c>
      <c r="C34" s="9" t="s">
        <v>463</v>
      </c>
      <c r="D34" s="9" t="s">
        <v>72</v>
      </c>
      <c r="E34" s="9" t="s">
        <v>45</v>
      </c>
      <c r="F34" s="9" t="s">
        <v>466</v>
      </c>
      <c r="G34" s="9" t="s">
        <v>501</v>
      </c>
      <c r="H34" s="240" t="s">
        <v>463</v>
      </c>
      <c r="I34" s="9">
        <v>540750</v>
      </c>
    </row>
    <row r="35" spans="1:9">
      <c r="A35" s="9" t="s">
        <v>650</v>
      </c>
      <c r="B35" s="9" t="s">
        <v>655</v>
      </c>
      <c r="C35" s="9" t="s">
        <v>655</v>
      </c>
      <c r="D35" s="9" t="s">
        <v>72</v>
      </c>
      <c r="E35" s="9"/>
      <c r="F35" s="9" t="s">
        <v>656</v>
      </c>
      <c r="G35" s="9"/>
      <c r="H35" s="9" t="s">
        <v>655</v>
      </c>
      <c r="I35" s="9">
        <v>542726</v>
      </c>
    </row>
    <row r="36" spans="1:9">
      <c r="A36" s="9" t="s">
        <v>677</v>
      </c>
      <c r="B36" s="9" t="s">
        <v>678</v>
      </c>
      <c r="C36" s="9" t="s">
        <v>678</v>
      </c>
      <c r="D36" s="9" t="s">
        <v>72</v>
      </c>
      <c r="E36" s="9"/>
      <c r="F36" s="9" t="s">
        <v>679</v>
      </c>
      <c r="G36" s="9"/>
      <c r="H36" s="9" t="s">
        <v>678</v>
      </c>
      <c r="I36" s="9">
        <v>524164</v>
      </c>
    </row>
    <row r="37" spans="1:9">
      <c r="A37" s="243" t="s">
        <v>414</v>
      </c>
      <c r="B37" s="243" t="s">
        <v>414</v>
      </c>
      <c r="C37" s="243" t="s">
        <v>414</v>
      </c>
      <c r="D37" s="9" t="s">
        <v>72</v>
      </c>
      <c r="E37" s="9" t="s">
        <v>45</v>
      </c>
      <c r="F37" s="243" t="s">
        <v>415</v>
      </c>
      <c r="G37" s="9"/>
      <c r="H37" s="244" t="s">
        <v>414</v>
      </c>
      <c r="I37" s="9" t="s">
        <v>593</v>
      </c>
    </row>
    <row r="38" spans="1:9">
      <c r="A38" s="10" t="s">
        <v>20</v>
      </c>
      <c r="B38" s="9" t="s">
        <v>93</v>
      </c>
      <c r="C38" s="9" t="s">
        <v>210</v>
      </c>
      <c r="D38" s="9" t="s">
        <v>76</v>
      </c>
      <c r="E38" s="9"/>
      <c r="F38" s="9" t="s">
        <v>95</v>
      </c>
      <c r="G38" s="9"/>
      <c r="H38" s="242">
        <v>500220</v>
      </c>
      <c r="I38" s="18" t="s">
        <v>593</v>
      </c>
    </row>
    <row r="39" spans="1:9" ht="12.4" customHeight="1">
      <c r="A39" s="9" t="s">
        <v>651</v>
      </c>
      <c r="B39" s="9" t="s">
        <v>653</v>
      </c>
      <c r="C39" s="9" t="s">
        <v>653</v>
      </c>
      <c r="D39" s="9" t="s">
        <v>72</v>
      </c>
      <c r="E39" s="9"/>
      <c r="F39" s="9" t="s">
        <v>654</v>
      </c>
      <c r="G39" s="9"/>
      <c r="H39" s="240" t="s">
        <v>653</v>
      </c>
      <c r="I39" s="9">
        <v>535648</v>
      </c>
    </row>
    <row r="40" spans="1:9">
      <c r="A40" s="3" t="s">
        <v>68</v>
      </c>
      <c r="B40" s="9">
        <v>500235</v>
      </c>
      <c r="C40" s="9" t="s">
        <v>98</v>
      </c>
      <c r="D40" s="9" t="s">
        <v>72</v>
      </c>
      <c r="E40" s="9"/>
      <c r="F40" s="9" t="s">
        <v>99</v>
      </c>
      <c r="G40" s="243" t="s">
        <v>503</v>
      </c>
      <c r="H40" s="242">
        <v>500235</v>
      </c>
      <c r="I40" s="441">
        <v>500235</v>
      </c>
    </row>
    <row r="41" spans="1:9" ht="15.4" customHeight="1">
      <c r="A41" s="3" t="s">
        <v>23</v>
      </c>
      <c r="B41" s="9" t="s">
        <v>96</v>
      </c>
      <c r="C41" s="9" t="s">
        <v>96</v>
      </c>
      <c r="D41" s="9" t="s">
        <v>72</v>
      </c>
      <c r="E41" s="9" t="s">
        <v>45</v>
      </c>
      <c r="F41" s="9" t="s">
        <v>97</v>
      </c>
      <c r="G41" s="9"/>
      <c r="H41" s="240" t="s">
        <v>96</v>
      </c>
      <c r="I41" s="9" t="s">
        <v>593</v>
      </c>
    </row>
    <row r="42" spans="1:9">
      <c r="A42" s="9" t="s">
        <v>982</v>
      </c>
      <c r="B42" s="9" t="s">
        <v>943</v>
      </c>
      <c r="C42" s="9" t="s">
        <v>943</v>
      </c>
      <c r="D42" s="9" t="s">
        <v>72</v>
      </c>
      <c r="E42" s="9"/>
      <c r="F42" s="9" t="s">
        <v>944</v>
      </c>
      <c r="G42" s="9"/>
      <c r="H42" s="9" t="s">
        <v>943</v>
      </c>
      <c r="I42" s="9">
        <v>542651</v>
      </c>
    </row>
    <row r="43" spans="1:9">
      <c r="A43" s="9" t="s">
        <v>717</v>
      </c>
      <c r="B43" s="9" t="s">
        <v>705</v>
      </c>
      <c r="C43" s="9" t="s">
        <v>705</v>
      </c>
      <c r="D43" s="9" t="s">
        <v>72</v>
      </c>
      <c r="E43" s="9"/>
      <c r="F43" s="9" t="s">
        <v>706</v>
      </c>
      <c r="G43" s="9"/>
      <c r="H43" s="9" t="s">
        <v>705</v>
      </c>
      <c r="I43" s="9">
        <v>543308</v>
      </c>
    </row>
    <row r="44" spans="1:9">
      <c r="A44" s="9" t="s">
        <v>894</v>
      </c>
      <c r="B44" s="9" t="s">
        <v>898</v>
      </c>
      <c r="C44" s="9" t="s">
        <v>898</v>
      </c>
      <c r="D44" s="9" t="s">
        <v>72</v>
      </c>
      <c r="E44" s="9"/>
      <c r="F44" s="9" t="s">
        <v>899</v>
      </c>
      <c r="G44" s="9"/>
      <c r="H44" s="9" t="s">
        <v>898</v>
      </c>
      <c r="I44" s="9">
        <v>540115</v>
      </c>
    </row>
    <row r="45" spans="1:9">
      <c r="A45" s="9" t="s">
        <v>746</v>
      </c>
      <c r="B45" s="9" t="s">
        <v>747</v>
      </c>
      <c r="C45" s="9" t="s">
        <v>747</v>
      </c>
      <c r="D45" s="9" t="s">
        <v>72</v>
      </c>
      <c r="E45" s="9"/>
      <c r="F45" s="9" t="s">
        <v>748</v>
      </c>
      <c r="G45" s="9"/>
      <c r="H45" s="9" t="s">
        <v>747</v>
      </c>
      <c r="I45" s="9">
        <v>540222</v>
      </c>
    </row>
    <row r="46" spans="1:9">
      <c r="A46" s="3" t="s">
        <v>25</v>
      </c>
      <c r="B46" s="9" t="s">
        <v>100</v>
      </c>
      <c r="C46" s="9" t="s">
        <v>100</v>
      </c>
      <c r="D46" s="9" t="s">
        <v>72</v>
      </c>
      <c r="E46" s="9" t="s">
        <v>45</v>
      </c>
      <c r="F46" s="9" t="s">
        <v>101</v>
      </c>
      <c r="G46" s="9"/>
      <c r="H46" s="240" t="s">
        <v>100</v>
      </c>
      <c r="I46" s="441">
        <v>500253</v>
      </c>
    </row>
    <row r="47" spans="1:9">
      <c r="A47" s="9" t="s">
        <v>812</v>
      </c>
      <c r="B47" s="9" t="s">
        <v>813</v>
      </c>
      <c r="C47" s="9" t="s">
        <v>815</v>
      </c>
      <c r="D47" s="9" t="s">
        <v>72</v>
      </c>
      <c r="E47" s="9"/>
      <c r="F47" s="9" t="s">
        <v>814</v>
      </c>
      <c r="G47" s="9"/>
      <c r="H47" s="9" t="s">
        <v>813</v>
      </c>
      <c r="I47" s="9">
        <v>531633</v>
      </c>
    </row>
    <row r="48" spans="1:9">
      <c r="A48" s="3" t="s">
        <v>252</v>
      </c>
      <c r="B48" s="245" t="s">
        <v>252</v>
      </c>
      <c r="C48" s="245" t="s">
        <v>252</v>
      </c>
      <c r="D48" s="9" t="s">
        <v>72</v>
      </c>
      <c r="E48" s="9" t="s">
        <v>45</v>
      </c>
      <c r="F48" s="9" t="s">
        <v>253</v>
      </c>
      <c r="G48" s="9" t="s">
        <v>501</v>
      </c>
      <c r="H48" s="240" t="s">
        <v>252</v>
      </c>
      <c r="I48" s="9" t="s">
        <v>593</v>
      </c>
    </row>
    <row r="49" spans="1:9">
      <c r="A49" s="3" t="s">
        <v>26</v>
      </c>
      <c r="B49" s="9" t="s">
        <v>102</v>
      </c>
      <c r="C49" s="9" t="s">
        <v>102</v>
      </c>
      <c r="D49" s="9" t="s">
        <v>72</v>
      </c>
      <c r="E49" s="9" t="s">
        <v>45</v>
      </c>
      <c r="F49" s="9" t="s">
        <v>103</v>
      </c>
      <c r="G49" s="9"/>
      <c r="H49" s="240" t="s">
        <v>102</v>
      </c>
      <c r="I49" s="441">
        <v>531213</v>
      </c>
    </row>
    <row r="50" spans="1:9">
      <c r="A50" s="9" t="s">
        <v>727</v>
      </c>
      <c r="B50" s="9" t="s">
        <v>728</v>
      </c>
      <c r="C50" s="9" t="s">
        <v>728</v>
      </c>
      <c r="D50" s="9" t="s">
        <v>72</v>
      </c>
      <c r="E50" s="9"/>
      <c r="F50" s="9" t="s">
        <v>729</v>
      </c>
      <c r="G50" s="9"/>
      <c r="H50" s="9" t="s">
        <v>728</v>
      </c>
      <c r="I50" s="9">
        <v>534091</v>
      </c>
    </row>
    <row r="51" spans="1:9">
      <c r="A51" s="9" t="s">
        <v>893</v>
      </c>
      <c r="B51" s="9" t="s">
        <v>904</v>
      </c>
      <c r="C51" t="s">
        <v>904</v>
      </c>
      <c r="D51" s="9" t="s">
        <v>72</v>
      </c>
      <c r="E51" s="9"/>
      <c r="F51" s="9" t="s">
        <v>905</v>
      </c>
      <c r="G51" s="9"/>
      <c r="H51" s="9" t="s">
        <v>904</v>
      </c>
      <c r="I51" s="9">
        <v>543427</v>
      </c>
    </row>
    <row r="52" spans="1:9">
      <c r="A52" s="9" t="s">
        <v>842</v>
      </c>
      <c r="B52" s="9" t="s">
        <v>843</v>
      </c>
      <c r="C52" s="9" t="s">
        <v>843</v>
      </c>
      <c r="D52" s="9" t="s">
        <v>72</v>
      </c>
      <c r="E52" s="9"/>
      <c r="F52" s="9" t="s">
        <v>844</v>
      </c>
      <c r="G52" s="9"/>
      <c r="H52" s="9" t="s">
        <v>843</v>
      </c>
      <c r="I52" s="9">
        <v>543332</v>
      </c>
    </row>
    <row r="53" spans="1:9">
      <c r="A53" s="3" t="s">
        <v>27</v>
      </c>
      <c r="B53" s="9">
        <v>500288</v>
      </c>
      <c r="C53" s="9" t="s">
        <v>104</v>
      </c>
      <c r="D53" s="9" t="s">
        <v>72</v>
      </c>
      <c r="E53" s="9" t="s">
        <v>45</v>
      </c>
      <c r="F53" s="9" t="s">
        <v>105</v>
      </c>
      <c r="G53" s="9"/>
      <c r="H53" s="242">
        <v>500288</v>
      </c>
      <c r="I53" s="9" t="s">
        <v>593</v>
      </c>
    </row>
    <row r="54" spans="1:9">
      <c r="A54" s="3" t="s">
        <v>545</v>
      </c>
      <c r="B54" s="9" t="s">
        <v>546</v>
      </c>
      <c r="C54" s="9" t="s">
        <v>546</v>
      </c>
      <c r="D54" s="9" t="s">
        <v>72</v>
      </c>
      <c r="E54" s="9" t="s">
        <v>45</v>
      </c>
      <c r="F54" s="9" t="s">
        <v>547</v>
      </c>
      <c r="G54" s="9"/>
      <c r="H54" s="9" t="s">
        <v>546</v>
      </c>
      <c r="I54" s="56">
        <v>543270</v>
      </c>
    </row>
    <row r="55" spans="1:9">
      <c r="A55" s="3" t="s">
        <v>594</v>
      </c>
      <c r="B55" s="9" t="s">
        <v>595</v>
      </c>
      <c r="C55" s="9" t="s">
        <v>595</v>
      </c>
      <c r="D55" s="9" t="s">
        <v>72</v>
      </c>
      <c r="E55" s="9" t="s">
        <v>45</v>
      </c>
      <c r="F55" s="9" t="s">
        <v>596</v>
      </c>
      <c r="G55" s="9"/>
      <c r="H55" s="9" t="s">
        <v>595</v>
      </c>
      <c r="I55" s="9">
        <v>543280</v>
      </c>
    </row>
    <row r="56" spans="1:9">
      <c r="A56" s="9" t="s">
        <v>723</v>
      </c>
      <c r="B56" s="9" t="s">
        <v>840</v>
      </c>
      <c r="C56" s="9" t="s">
        <v>724</v>
      </c>
      <c r="D56" s="9" t="s">
        <v>72</v>
      </c>
      <c r="E56" s="9"/>
      <c r="F56" s="9" t="s">
        <v>726</v>
      </c>
      <c r="G56" s="9"/>
      <c r="H56" s="9" t="s">
        <v>724</v>
      </c>
      <c r="I56" s="9">
        <v>540900</v>
      </c>
    </row>
    <row r="57" spans="1:9">
      <c r="A57" s="9" t="s">
        <v>931</v>
      </c>
      <c r="B57" s="9" t="s">
        <v>931</v>
      </c>
      <c r="C57" s="9" t="s">
        <v>931</v>
      </c>
      <c r="D57" s="9" t="s">
        <v>72</v>
      </c>
      <c r="E57" s="9"/>
      <c r="F57" s="9" t="s">
        <v>932</v>
      </c>
      <c r="G57" s="9"/>
      <c r="H57" s="9" t="s">
        <v>931</v>
      </c>
      <c r="I57" s="9">
        <v>526371</v>
      </c>
    </row>
    <row r="58" spans="1:9">
      <c r="A58" s="9" t="s">
        <v>28</v>
      </c>
      <c r="B58" s="9" t="s">
        <v>28</v>
      </c>
      <c r="C58" s="9" t="s">
        <v>28</v>
      </c>
      <c r="D58" s="9" t="s">
        <v>72</v>
      </c>
      <c r="E58" s="9"/>
      <c r="F58" s="9" t="s">
        <v>1143</v>
      </c>
      <c r="G58" s="9"/>
      <c r="H58" s="9" t="s">
        <v>28</v>
      </c>
      <c r="I58" s="9">
        <v>500730</v>
      </c>
    </row>
    <row r="59" spans="1:9">
      <c r="A59" s="9" t="s">
        <v>469</v>
      </c>
      <c r="B59" s="9" t="s">
        <v>467</v>
      </c>
      <c r="C59" s="9" t="s">
        <v>478</v>
      </c>
      <c r="D59" s="9" t="s">
        <v>72</v>
      </c>
      <c r="E59" s="9"/>
      <c r="F59" s="9" t="s">
        <v>589</v>
      </c>
      <c r="G59" s="9"/>
      <c r="H59" s="240" t="s">
        <v>467</v>
      </c>
      <c r="I59" s="9" t="s">
        <v>593</v>
      </c>
    </row>
    <row r="60" spans="1:9">
      <c r="A60" s="9" t="s">
        <v>936</v>
      </c>
      <c r="B60" s="9" t="s">
        <v>937</v>
      </c>
      <c r="C60" s="9" t="s">
        <v>937</v>
      </c>
      <c r="D60" s="9" t="s">
        <v>76</v>
      </c>
      <c r="E60" s="9"/>
      <c r="F60" s="9" t="s">
        <v>938</v>
      </c>
      <c r="G60" s="9"/>
      <c r="H60" s="9" t="s">
        <v>937</v>
      </c>
      <c r="I60" s="9">
        <v>532742</v>
      </c>
    </row>
    <row r="61" spans="1:9">
      <c r="A61" s="9" t="s">
        <v>881</v>
      </c>
      <c r="B61" s="9" t="s">
        <v>880</v>
      </c>
      <c r="C61" s="9" t="s">
        <v>880</v>
      </c>
      <c r="D61" s="9" t="s">
        <v>72</v>
      </c>
      <c r="E61" s="9"/>
      <c r="F61" s="9" t="s">
        <v>882</v>
      </c>
      <c r="G61" s="9"/>
      <c r="H61" s="9" t="s">
        <v>880</v>
      </c>
      <c r="I61" s="9">
        <v>543390</v>
      </c>
    </row>
    <row r="62" spans="1:9">
      <c r="A62" s="3" t="s">
        <v>29</v>
      </c>
      <c r="B62" s="9" t="s">
        <v>107</v>
      </c>
      <c r="C62" s="9" t="s">
        <v>107</v>
      </c>
      <c r="D62" s="9" t="s">
        <v>72</v>
      </c>
      <c r="E62" s="9" t="s">
        <v>45</v>
      </c>
      <c r="F62" s="9" t="s">
        <v>108</v>
      </c>
      <c r="G62" s="9" t="s">
        <v>503</v>
      </c>
      <c r="H62" s="240" t="s">
        <v>107</v>
      </c>
      <c r="I62" s="9" t="s">
        <v>593</v>
      </c>
    </row>
    <row r="63" spans="1:9">
      <c r="A63" s="3" t="s">
        <v>30</v>
      </c>
      <c r="B63" s="9" t="s">
        <v>109</v>
      </c>
      <c r="C63" s="9" t="s">
        <v>109</v>
      </c>
      <c r="D63" s="9" t="s">
        <v>72</v>
      </c>
      <c r="E63" s="9" t="s">
        <v>45</v>
      </c>
      <c r="F63" s="9" t="s">
        <v>110</v>
      </c>
      <c r="G63" s="9"/>
      <c r="H63" s="240" t="s">
        <v>109</v>
      </c>
      <c r="I63" s="56">
        <v>532366</v>
      </c>
    </row>
    <row r="64" spans="1:9">
      <c r="A64" s="254" t="s">
        <v>485</v>
      </c>
      <c r="B64" s="254" t="s">
        <v>486</v>
      </c>
      <c r="C64" s="254" t="s">
        <v>486</v>
      </c>
      <c r="D64" s="9" t="s">
        <v>72</v>
      </c>
      <c r="E64" s="18"/>
      <c r="F64" s="254" t="s">
        <v>590</v>
      </c>
      <c r="G64" s="18"/>
      <c r="H64" s="440" t="s">
        <v>486</v>
      </c>
      <c r="I64" s="254">
        <v>542652</v>
      </c>
    </row>
    <row r="65" spans="1:9">
      <c r="A65" s="437" t="s">
        <v>31</v>
      </c>
      <c r="B65" s="254" t="s">
        <v>111</v>
      </c>
      <c r="C65" s="254" t="s">
        <v>111</v>
      </c>
      <c r="D65" s="9" t="s">
        <v>72</v>
      </c>
      <c r="E65" s="18" t="s">
        <v>45</v>
      </c>
      <c r="F65" s="18" t="s">
        <v>112</v>
      </c>
      <c r="G65" s="18"/>
      <c r="H65" s="440" t="s">
        <v>111</v>
      </c>
      <c r="I65" s="254" t="s">
        <v>593</v>
      </c>
    </row>
    <row r="66" spans="1:9">
      <c r="A66" s="254" t="s">
        <v>627</v>
      </c>
      <c r="B66" s="254" t="s">
        <v>683</v>
      </c>
      <c r="C66" s="18" t="s">
        <v>628</v>
      </c>
      <c r="D66" s="9" t="s">
        <v>72</v>
      </c>
      <c r="E66" s="18"/>
      <c r="F66" s="18" t="s">
        <v>629</v>
      </c>
      <c r="G66" s="18"/>
      <c r="H66" s="254" t="s">
        <v>628</v>
      </c>
      <c r="I66" s="254">
        <v>522205</v>
      </c>
    </row>
    <row r="67" spans="1:9">
      <c r="A67" s="437" t="s">
        <v>522</v>
      </c>
      <c r="B67" s="254" t="s">
        <v>523</v>
      </c>
      <c r="C67" s="254" t="s">
        <v>523</v>
      </c>
      <c r="D67" s="9" t="s">
        <v>72</v>
      </c>
      <c r="E67" s="18" t="s">
        <v>45</v>
      </c>
      <c r="F67" s="18" t="s">
        <v>524</v>
      </c>
      <c r="G67" s="18"/>
      <c r="H67" s="254" t="s">
        <v>523</v>
      </c>
      <c r="I67" s="442">
        <v>543265</v>
      </c>
    </row>
    <row r="68" spans="1:9">
      <c r="A68" s="21" t="s">
        <v>539</v>
      </c>
      <c r="B68" s="21" t="s">
        <v>540</v>
      </c>
      <c r="C68" s="21" t="s">
        <v>540</v>
      </c>
      <c r="D68" s="9" t="s">
        <v>72</v>
      </c>
      <c r="E68" s="18" t="s">
        <v>45</v>
      </c>
      <c r="F68" s="18" t="s">
        <v>541</v>
      </c>
      <c r="G68" s="18"/>
      <c r="H68" s="21" t="s">
        <v>540</v>
      </c>
      <c r="I68" s="254" t="s">
        <v>593</v>
      </c>
    </row>
    <row r="69" spans="1:9">
      <c r="A69" s="18" t="s">
        <v>610</v>
      </c>
      <c r="B69" s="18" t="s">
        <v>611</v>
      </c>
      <c r="C69" s="298" t="s">
        <v>695</v>
      </c>
      <c r="D69" s="9" t="s">
        <v>72</v>
      </c>
      <c r="E69" s="18"/>
      <c r="F69" s="18" t="s">
        <v>1053</v>
      </c>
      <c r="G69" s="18"/>
      <c r="H69" s="439" t="s">
        <v>611</v>
      </c>
      <c r="I69" s="254">
        <v>532163</v>
      </c>
    </row>
    <row r="70" spans="1:9">
      <c r="A70" s="21" t="s">
        <v>33</v>
      </c>
      <c r="B70" s="18" t="s">
        <v>113</v>
      </c>
      <c r="C70" s="18" t="s">
        <v>113</v>
      </c>
      <c r="D70" s="9" t="s">
        <v>72</v>
      </c>
      <c r="E70" s="18" t="s">
        <v>45</v>
      </c>
      <c r="F70" s="18" t="s">
        <v>114</v>
      </c>
      <c r="G70" s="18"/>
      <c r="H70" s="439" t="s">
        <v>113</v>
      </c>
      <c r="I70" s="442">
        <v>500112</v>
      </c>
    </row>
    <row r="71" spans="1:9">
      <c r="A71" s="21" t="s">
        <v>34</v>
      </c>
      <c r="B71" s="18" t="s">
        <v>115</v>
      </c>
      <c r="C71" s="18" t="s">
        <v>115</v>
      </c>
      <c r="D71" s="9" t="s">
        <v>72</v>
      </c>
      <c r="E71" s="18" t="s">
        <v>45</v>
      </c>
      <c r="F71" s="18" t="s">
        <v>116</v>
      </c>
      <c r="G71" s="18" t="s">
        <v>503</v>
      </c>
      <c r="H71" s="439" t="s">
        <v>115</v>
      </c>
      <c r="I71" s="254" t="s">
        <v>593</v>
      </c>
    </row>
    <row r="72" spans="1:9">
      <c r="A72" s="18" t="s">
        <v>697</v>
      </c>
      <c r="B72" s="18" t="s">
        <v>698</v>
      </c>
      <c r="C72" s="18" t="s">
        <v>698</v>
      </c>
      <c r="D72" s="9" t="s">
        <v>72</v>
      </c>
      <c r="E72" s="18"/>
      <c r="F72" s="18" t="s">
        <v>699</v>
      </c>
      <c r="G72" s="18"/>
      <c r="H72" s="18" t="s">
        <v>698</v>
      </c>
      <c r="I72" s="254">
        <v>543300</v>
      </c>
    </row>
    <row r="73" spans="1:9">
      <c r="A73" t="s">
        <v>1084</v>
      </c>
      <c r="B73" t="s">
        <v>1084</v>
      </c>
      <c r="C73" t="s">
        <v>1084</v>
      </c>
      <c r="D73" s="9" t="s">
        <v>72</v>
      </c>
      <c r="F73" t="s">
        <v>1085</v>
      </c>
      <c r="H73" t="s">
        <v>1084</v>
      </c>
      <c r="I73" s="254">
        <v>503806</v>
      </c>
    </row>
    <row r="74" spans="1:9">
      <c r="A74" s="21" t="s">
        <v>566</v>
      </c>
      <c r="B74" s="18" t="s">
        <v>567</v>
      </c>
      <c r="C74" s="18" t="s">
        <v>567</v>
      </c>
      <c r="D74" s="9" t="s">
        <v>72</v>
      </c>
      <c r="E74" s="18" t="s">
        <v>45</v>
      </c>
      <c r="F74" s="18" t="s">
        <v>585</v>
      </c>
      <c r="G74" s="18"/>
      <c r="H74" s="18" t="s">
        <v>567</v>
      </c>
      <c r="I74" s="254">
        <v>532733</v>
      </c>
    </row>
    <row r="75" spans="1:9">
      <c r="A75" s="18" t="s">
        <v>645</v>
      </c>
      <c r="B75" s="18" t="s">
        <v>646</v>
      </c>
      <c r="C75" s="18" t="s">
        <v>646</v>
      </c>
      <c r="D75" s="9" t="s">
        <v>72</v>
      </c>
      <c r="E75" s="18"/>
      <c r="F75" s="18" t="s">
        <v>647</v>
      </c>
      <c r="G75" s="18"/>
      <c r="H75" s="439" t="s">
        <v>646</v>
      </c>
      <c r="I75" s="254">
        <v>509930</v>
      </c>
    </row>
    <row r="76" spans="1:9">
      <c r="A76" s="18" t="s">
        <v>623</v>
      </c>
      <c r="B76" s="18" t="s">
        <v>624</v>
      </c>
      <c r="C76" s="18" t="s">
        <v>624</v>
      </c>
      <c r="D76" s="9" t="s">
        <v>72</v>
      </c>
      <c r="E76" s="18"/>
      <c r="F76" s="18" t="s">
        <v>625</v>
      </c>
      <c r="G76" s="18"/>
      <c r="H76" s="439" t="s">
        <v>624</v>
      </c>
      <c r="I76" s="254">
        <v>500407</v>
      </c>
    </row>
    <row r="77" spans="1:9">
      <c r="A77" t="s">
        <v>966</v>
      </c>
      <c r="B77" s="299" t="s">
        <v>967</v>
      </c>
      <c r="C77" s="299" t="s">
        <v>967</v>
      </c>
      <c r="D77" s="9" t="s">
        <v>72</v>
      </c>
      <c r="F77" t="s">
        <v>968</v>
      </c>
      <c r="H77" s="444" t="s">
        <v>967</v>
      </c>
      <c r="I77" s="18">
        <v>532790</v>
      </c>
    </row>
    <row r="78" spans="1:9">
      <c r="A78" t="s">
        <v>925</v>
      </c>
      <c r="B78" t="s">
        <v>926</v>
      </c>
      <c r="C78" t="s">
        <v>926</v>
      </c>
      <c r="D78" s="9" t="s">
        <v>72</v>
      </c>
      <c r="F78" t="s">
        <v>927</v>
      </c>
      <c r="H78" t="s">
        <v>926</v>
      </c>
      <c r="I78">
        <v>543399</v>
      </c>
    </row>
    <row r="79" spans="1:9">
      <c r="A79" s="18" t="s">
        <v>218</v>
      </c>
      <c r="B79" s="18">
        <v>500408</v>
      </c>
      <c r="C79" s="18" t="s">
        <v>219</v>
      </c>
      <c r="D79" s="9" t="s">
        <v>72</v>
      </c>
      <c r="E79" s="18" t="s">
        <v>45</v>
      </c>
      <c r="F79" s="18" t="s">
        <v>504</v>
      </c>
      <c r="G79" s="18"/>
      <c r="H79" s="438">
        <v>500408</v>
      </c>
      <c r="I79" s="18" t="s">
        <v>593</v>
      </c>
    </row>
    <row r="80" spans="1:9">
      <c r="A80" t="s">
        <v>751</v>
      </c>
      <c r="B80" t="s">
        <v>763</v>
      </c>
      <c r="C80" t="s">
        <v>753</v>
      </c>
      <c r="D80" s="9" t="s">
        <v>72</v>
      </c>
      <c r="F80" t="s">
        <v>754</v>
      </c>
      <c r="H80" t="s">
        <v>753</v>
      </c>
      <c r="I80" s="18">
        <v>532375</v>
      </c>
    </row>
    <row r="81" spans="1:9">
      <c r="A81" s="21" t="s">
        <v>230</v>
      </c>
      <c r="B81" s="18" t="s">
        <v>117</v>
      </c>
      <c r="C81" s="18" t="s">
        <v>117</v>
      </c>
      <c r="D81" s="9" t="s">
        <v>72</v>
      </c>
      <c r="E81" s="18" t="s">
        <v>73</v>
      </c>
      <c r="F81" s="18" t="s">
        <v>118</v>
      </c>
      <c r="G81" s="18"/>
      <c r="H81" s="439" t="s">
        <v>117</v>
      </c>
      <c r="I81" s="18">
        <v>570001</v>
      </c>
    </row>
    <row r="82" spans="1:9">
      <c r="A82" s="436" t="s">
        <v>37</v>
      </c>
      <c r="B82" s="18" t="s">
        <v>119</v>
      </c>
      <c r="C82" s="18" t="s">
        <v>216</v>
      </c>
      <c r="D82" s="18" t="s">
        <v>76</v>
      </c>
      <c r="E82" s="18"/>
      <c r="F82" s="18" t="s">
        <v>120</v>
      </c>
      <c r="G82" s="18"/>
      <c r="H82" s="438">
        <v>532384</v>
      </c>
      <c r="I82" s="18" t="s">
        <v>593</v>
      </c>
    </row>
    <row r="83" spans="1:9">
      <c r="A83" s="43" t="s">
        <v>39</v>
      </c>
      <c r="B83" s="18" t="s">
        <v>123</v>
      </c>
      <c r="C83" s="18" t="s">
        <v>123</v>
      </c>
      <c r="D83" s="9" t="s">
        <v>72</v>
      </c>
      <c r="E83" s="18"/>
      <c r="F83" s="18" t="s">
        <v>124</v>
      </c>
      <c r="G83" s="18"/>
      <c r="H83" s="439" t="s">
        <v>123</v>
      </c>
      <c r="I83" s="18" t="s">
        <v>593</v>
      </c>
    </row>
    <row r="84" spans="1:9">
      <c r="A84" s="18" t="s">
        <v>470</v>
      </c>
      <c r="B84" s="18" t="s">
        <v>471</v>
      </c>
      <c r="C84" s="18" t="s">
        <v>471</v>
      </c>
      <c r="D84" s="9" t="s">
        <v>72</v>
      </c>
      <c r="E84" s="18"/>
      <c r="F84" s="18" t="s">
        <v>609</v>
      </c>
      <c r="G84" s="18" t="s">
        <v>501</v>
      </c>
      <c r="H84" s="439" t="s">
        <v>471</v>
      </c>
      <c r="I84" s="18" t="s">
        <v>593</v>
      </c>
    </row>
    <row r="85" spans="1:9">
      <c r="A85" t="s">
        <v>749</v>
      </c>
      <c r="B85" t="s">
        <v>742</v>
      </c>
      <c r="C85" t="s">
        <v>742</v>
      </c>
      <c r="D85" s="9" t="s">
        <v>72</v>
      </c>
      <c r="F85" t="s">
        <v>750</v>
      </c>
      <c r="H85" t="s">
        <v>742</v>
      </c>
      <c r="I85" s="18">
        <v>532616</v>
      </c>
    </row>
    <row r="86" spans="1:9">
      <c r="A86" s="2" t="s">
        <v>823</v>
      </c>
      <c r="B86" t="s">
        <v>824</v>
      </c>
      <c r="C86" t="s">
        <v>824</v>
      </c>
      <c r="D86" s="9" t="s">
        <v>72</v>
      </c>
      <c r="F86" t="s">
        <v>825</v>
      </c>
      <c r="H86" t="s">
        <v>824</v>
      </c>
      <c r="I86">
        <v>505537</v>
      </c>
    </row>
    <row r="87" spans="1:9">
      <c r="A87" t="s">
        <v>1172</v>
      </c>
      <c r="B87" t="s">
        <v>1172</v>
      </c>
      <c r="C87" t="s">
        <v>1172</v>
      </c>
      <c r="D87" s="9" t="s">
        <v>72</v>
      </c>
      <c r="F87" t="s">
        <v>1173</v>
      </c>
      <c r="H87" t="s">
        <v>1172</v>
      </c>
      <c r="I87">
        <v>543232</v>
      </c>
    </row>
    <row r="88" spans="1:9">
      <c r="A88" t="s">
        <v>1175</v>
      </c>
      <c r="B88" t="s">
        <v>1175</v>
      </c>
      <c r="C88" t="s">
        <v>1175</v>
      </c>
      <c r="D88" s="9" t="s">
        <v>72</v>
      </c>
      <c r="F88" t="s">
        <v>1174</v>
      </c>
      <c r="H88" t="s">
        <v>1175</v>
      </c>
      <c r="I88" t="s">
        <v>593</v>
      </c>
    </row>
    <row r="89" spans="1:9">
      <c r="A89" t="s">
        <v>1176</v>
      </c>
      <c r="B89" t="s">
        <v>1176</v>
      </c>
      <c r="C89" t="s">
        <v>1176</v>
      </c>
      <c r="D89" s="9" t="s">
        <v>72</v>
      </c>
      <c r="F89" t="s">
        <v>1177</v>
      </c>
      <c r="H89" t="s">
        <v>1176</v>
      </c>
      <c r="I89">
        <v>511243</v>
      </c>
    </row>
    <row r="90" spans="1:9">
      <c r="A90" t="s">
        <v>1183</v>
      </c>
      <c r="B90" t="s">
        <v>1184</v>
      </c>
      <c r="C90" t="s">
        <v>1184</v>
      </c>
      <c r="D90" s="9" t="s">
        <v>72</v>
      </c>
      <c r="F90" t="s">
        <v>1185</v>
      </c>
      <c r="H90" t="s">
        <v>1184</v>
      </c>
      <c r="I90">
        <v>532955</v>
      </c>
    </row>
    <row r="91" spans="1:9">
      <c r="A91" t="s">
        <v>1216</v>
      </c>
      <c r="B91" t="s">
        <v>1219</v>
      </c>
      <c r="C91" t="s">
        <v>1219</v>
      </c>
      <c r="D91" s="9" t="s">
        <v>72</v>
      </c>
      <c r="F91" t="s">
        <v>1220</v>
      </c>
      <c r="H91" t="s">
        <v>1219</v>
      </c>
      <c r="I91">
        <v>530999</v>
      </c>
    </row>
    <row r="92" spans="1:9">
      <c r="A92" t="s">
        <v>1217</v>
      </c>
      <c r="B92" t="s">
        <v>1221</v>
      </c>
      <c r="C92" t="s">
        <v>1221</v>
      </c>
      <c r="D92" s="9" t="s">
        <v>72</v>
      </c>
      <c r="F92" t="s">
        <v>1222</v>
      </c>
      <c r="H92" t="s">
        <v>1221</v>
      </c>
      <c r="I92">
        <v>543720</v>
      </c>
    </row>
    <row r="93" spans="1:9">
      <c r="A93" t="s">
        <v>1218</v>
      </c>
      <c r="B93" t="s">
        <v>1223</v>
      </c>
      <c r="C93" t="s">
        <v>1223</v>
      </c>
      <c r="D93" s="9" t="s">
        <v>72</v>
      </c>
      <c r="F93" t="s">
        <v>1224</v>
      </c>
      <c r="H93" t="s">
        <v>1223</v>
      </c>
      <c r="I93">
        <v>540699</v>
      </c>
    </row>
  </sheetData>
  <autoFilter ref="A1:I1" xr:uid="{7CBA54F3-D7EB-4608-B8D4-D68378BAA762}">
    <sortState xmlns:xlrd2="http://schemas.microsoft.com/office/spreadsheetml/2017/richdata2" ref="A2:I90">
      <sortCondition ref="A1"/>
    </sortState>
  </autoFilter>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1027"/>
  <sheetViews>
    <sheetView topLeftCell="A1012" zoomScaleNormal="100" workbookViewId="0">
      <selection activeCell="N1021" sqref="N1021"/>
    </sheetView>
  </sheetViews>
  <sheetFormatPr defaultRowHeight="14.5"/>
  <cols>
    <col min="2" max="2" width="15.7265625" bestFit="1" customWidth="1"/>
    <col min="6" max="6" width="16.26953125" customWidth="1"/>
    <col min="7" max="7" width="10.26953125" style="27" bestFit="1" customWidth="1"/>
    <col min="12" max="12" width="9.54296875" bestFit="1" customWidth="1"/>
    <col min="13" max="13" width="12.26953125" customWidth="1"/>
  </cols>
  <sheetData>
    <row r="1" spans="1:13">
      <c r="A1" s="26" t="s">
        <v>0</v>
      </c>
      <c r="B1" s="25" t="s">
        <v>66</v>
      </c>
      <c r="C1" s="25" t="s">
        <v>69</v>
      </c>
      <c r="D1" s="25" t="s">
        <v>70</v>
      </c>
      <c r="E1" s="25" t="s">
        <v>71</v>
      </c>
      <c r="F1" s="26" t="s">
        <v>127</v>
      </c>
      <c r="G1" s="28" t="s">
        <v>128</v>
      </c>
      <c r="H1" s="29" t="s">
        <v>129</v>
      </c>
      <c r="I1" s="26" t="s">
        <v>130</v>
      </c>
      <c r="J1" s="26" t="s">
        <v>131</v>
      </c>
      <c r="K1" s="26" t="s">
        <v>132</v>
      </c>
      <c r="L1" s="26" t="s">
        <v>158</v>
      </c>
      <c r="M1" s="26" t="s">
        <v>162</v>
      </c>
    </row>
    <row r="2" spans="1:13">
      <c r="A2">
        <v>1</v>
      </c>
      <c r="B2" t="s">
        <v>751</v>
      </c>
      <c r="C2" t="s">
        <v>763</v>
      </c>
      <c r="D2" t="s">
        <v>753</v>
      </c>
      <c r="E2" t="s">
        <v>72</v>
      </c>
      <c r="F2" t="s">
        <v>754</v>
      </c>
      <c r="G2" s="27" t="s">
        <v>1253</v>
      </c>
      <c r="H2" s="434">
        <v>10</v>
      </c>
      <c r="I2" s="435">
        <v>1691.5</v>
      </c>
      <c r="J2" s="435">
        <v>16915</v>
      </c>
      <c r="K2" s="435" t="s">
        <v>45</v>
      </c>
      <c r="L2">
        <v>20230122</v>
      </c>
      <c r="M2" t="s">
        <v>73</v>
      </c>
    </row>
    <row r="3" spans="1:13">
      <c r="A3">
        <v>2</v>
      </c>
      <c r="B3" t="s">
        <v>29</v>
      </c>
      <c r="C3" t="s">
        <v>107</v>
      </c>
      <c r="D3" t="s">
        <v>107</v>
      </c>
      <c r="E3" t="s">
        <v>72</v>
      </c>
      <c r="F3" t="s">
        <v>108</v>
      </c>
      <c r="G3" s="27" t="s">
        <v>1254</v>
      </c>
      <c r="H3" s="434">
        <v>7</v>
      </c>
      <c r="I3" s="435">
        <v>2450.14</v>
      </c>
      <c r="J3" s="435">
        <v>17150.98</v>
      </c>
      <c r="K3" s="435" t="s">
        <v>45</v>
      </c>
      <c r="L3">
        <v>20230121</v>
      </c>
      <c r="M3" t="s">
        <v>73</v>
      </c>
    </row>
    <row r="4" spans="1:13">
      <c r="A4">
        <v>3</v>
      </c>
      <c r="B4" t="s">
        <v>512</v>
      </c>
      <c r="C4" t="s">
        <v>511</v>
      </c>
      <c r="D4" t="s">
        <v>511</v>
      </c>
      <c r="E4" t="s">
        <v>72</v>
      </c>
      <c r="F4" t="s">
        <v>513</v>
      </c>
      <c r="G4" s="27" t="s">
        <v>1255</v>
      </c>
      <c r="H4" s="434">
        <v>11</v>
      </c>
      <c r="I4" s="435">
        <v>2807.36</v>
      </c>
      <c r="J4" s="435">
        <v>30880.960000000003</v>
      </c>
      <c r="K4" s="435" t="s">
        <v>45</v>
      </c>
      <c r="L4">
        <v>20230120</v>
      </c>
      <c r="M4" t="s">
        <v>73</v>
      </c>
    </row>
    <row r="5" spans="1:13">
      <c r="A5">
        <v>4</v>
      </c>
      <c r="B5" t="s">
        <v>1084</v>
      </c>
      <c r="C5" t="s">
        <v>1084</v>
      </c>
      <c r="D5" t="s">
        <v>1084</v>
      </c>
      <c r="E5" t="s">
        <v>72</v>
      </c>
      <c r="F5" t="s">
        <v>1085</v>
      </c>
      <c r="G5" s="27" t="s">
        <v>1256</v>
      </c>
      <c r="H5" s="434">
        <v>5</v>
      </c>
      <c r="I5" s="435">
        <v>2148.8000000000002</v>
      </c>
      <c r="J5" s="435">
        <v>10744</v>
      </c>
      <c r="K5" s="435" t="s">
        <v>45</v>
      </c>
      <c r="L5">
        <v>20230119</v>
      </c>
      <c r="M5" t="s">
        <v>73</v>
      </c>
    </row>
    <row r="6" spans="1:13">
      <c r="A6">
        <v>5</v>
      </c>
      <c r="B6" t="s">
        <v>630</v>
      </c>
      <c r="C6" t="s">
        <v>631</v>
      </c>
      <c r="D6" t="s">
        <v>631</v>
      </c>
      <c r="E6" t="s">
        <v>72</v>
      </c>
      <c r="F6" t="s">
        <v>632</v>
      </c>
      <c r="G6" s="27" t="s">
        <v>1237</v>
      </c>
      <c r="H6" s="434">
        <v>3</v>
      </c>
      <c r="I6" s="435">
        <v>2939.1</v>
      </c>
      <c r="J6" s="435">
        <v>8817.2999999999993</v>
      </c>
      <c r="K6" s="435" t="s">
        <v>45</v>
      </c>
      <c r="L6">
        <v>20230118</v>
      </c>
      <c r="M6" t="s">
        <v>73</v>
      </c>
    </row>
    <row r="7" spans="1:13">
      <c r="A7">
        <v>6</v>
      </c>
      <c r="B7" t="s">
        <v>610</v>
      </c>
      <c r="C7" t="s">
        <v>611</v>
      </c>
      <c r="D7" t="s">
        <v>695</v>
      </c>
      <c r="E7" t="s">
        <v>72</v>
      </c>
      <c r="F7" t="s">
        <v>1053</v>
      </c>
      <c r="G7" s="27" t="s">
        <v>1237</v>
      </c>
      <c r="H7" s="434">
        <v>30</v>
      </c>
      <c r="I7" s="435">
        <v>354</v>
      </c>
      <c r="J7" s="435">
        <v>10620</v>
      </c>
      <c r="K7" s="435" t="s">
        <v>45</v>
      </c>
      <c r="L7">
        <v>20230118</v>
      </c>
      <c r="M7" t="s">
        <v>73</v>
      </c>
    </row>
    <row r="8" spans="1:13">
      <c r="A8">
        <v>7</v>
      </c>
      <c r="B8" t="s">
        <v>1084</v>
      </c>
      <c r="C8" t="s">
        <v>1084</v>
      </c>
      <c r="D8" t="s">
        <v>1084</v>
      </c>
      <c r="E8" t="s">
        <v>72</v>
      </c>
      <c r="F8" t="s">
        <v>1085</v>
      </c>
      <c r="G8" s="27" t="s">
        <v>1239</v>
      </c>
      <c r="H8" s="434">
        <v>6</v>
      </c>
      <c r="I8" s="435">
        <v>2175.6799999999998</v>
      </c>
      <c r="J8" s="435">
        <v>13054.079999999998</v>
      </c>
      <c r="K8" s="435" t="s">
        <v>45</v>
      </c>
      <c r="L8">
        <v>20230116</v>
      </c>
      <c r="M8" t="s">
        <v>73</v>
      </c>
    </row>
    <row r="9" spans="1:13">
      <c r="A9">
        <v>8</v>
      </c>
      <c r="B9" t="s">
        <v>1218</v>
      </c>
      <c r="C9" t="s">
        <v>1223</v>
      </c>
      <c r="D9" t="s">
        <v>1223</v>
      </c>
      <c r="E9" t="s">
        <v>72</v>
      </c>
      <c r="F9" t="s">
        <v>1224</v>
      </c>
      <c r="G9" s="27" t="s">
        <v>1239</v>
      </c>
      <c r="H9" s="434">
        <v>2</v>
      </c>
      <c r="I9" s="435">
        <v>3584.65</v>
      </c>
      <c r="J9" s="462">
        <v>7169.3</v>
      </c>
      <c r="K9" s="435" t="s">
        <v>45</v>
      </c>
      <c r="L9">
        <v>20230116</v>
      </c>
      <c r="M9" t="s">
        <v>73</v>
      </c>
    </row>
    <row r="10" spans="1:13">
      <c r="A10">
        <v>9</v>
      </c>
      <c r="B10" t="s">
        <v>13</v>
      </c>
      <c r="C10" t="s">
        <v>83</v>
      </c>
      <c r="D10" t="s">
        <v>246</v>
      </c>
      <c r="E10" t="s">
        <v>76</v>
      </c>
      <c r="F10" t="s">
        <v>84</v>
      </c>
      <c r="G10" s="27" t="s">
        <v>1239</v>
      </c>
      <c r="H10" s="434">
        <v>11</v>
      </c>
      <c r="I10" s="435">
        <v>1138.06</v>
      </c>
      <c r="J10" s="435">
        <v>12518.66</v>
      </c>
      <c r="K10" s="435" t="s">
        <v>45</v>
      </c>
      <c r="L10">
        <v>20230116</v>
      </c>
      <c r="M10" t="s">
        <v>73</v>
      </c>
    </row>
    <row r="11" spans="1:13">
      <c r="A11">
        <v>10</v>
      </c>
      <c r="B11" t="s">
        <v>894</v>
      </c>
      <c r="C11" t="s">
        <v>898</v>
      </c>
      <c r="D11" t="s">
        <v>898</v>
      </c>
      <c r="E11" t="s">
        <v>72</v>
      </c>
      <c r="F11" t="s">
        <v>899</v>
      </c>
      <c r="G11" s="27" t="s">
        <v>1252</v>
      </c>
      <c r="H11" s="434">
        <v>9</v>
      </c>
      <c r="I11" s="435">
        <v>3447.67</v>
      </c>
      <c r="J11" s="435">
        <v>31029.03</v>
      </c>
      <c r="K11" s="435" t="s">
        <v>45</v>
      </c>
      <c r="L11">
        <v>20230113</v>
      </c>
      <c r="M11" t="s">
        <v>73</v>
      </c>
    </row>
    <row r="12" spans="1:13">
      <c r="A12">
        <v>11</v>
      </c>
      <c r="B12" t="s">
        <v>536</v>
      </c>
      <c r="C12" t="s">
        <v>537</v>
      </c>
      <c r="D12" t="s">
        <v>550</v>
      </c>
      <c r="E12" t="s">
        <v>72</v>
      </c>
      <c r="F12" t="s">
        <v>538</v>
      </c>
      <c r="G12" s="27" t="s">
        <v>1241</v>
      </c>
      <c r="H12" s="434">
        <v>5</v>
      </c>
      <c r="I12" s="435">
        <v>1581.9</v>
      </c>
      <c r="J12" s="435">
        <v>7909.5</v>
      </c>
      <c r="K12" s="435" t="s">
        <v>45</v>
      </c>
      <c r="L12">
        <v>20230112</v>
      </c>
      <c r="M12" t="s">
        <v>73</v>
      </c>
    </row>
    <row r="13" spans="1:13">
      <c r="A13">
        <v>12</v>
      </c>
      <c r="B13" t="s">
        <v>668</v>
      </c>
      <c r="C13" t="s">
        <v>669</v>
      </c>
      <c r="D13" t="s">
        <v>669</v>
      </c>
      <c r="E13" t="s">
        <v>72</v>
      </c>
      <c r="F13" t="s">
        <v>670</v>
      </c>
      <c r="G13" s="27" t="s">
        <v>1241</v>
      </c>
      <c r="H13" s="434">
        <v>2</v>
      </c>
      <c r="I13" s="435">
        <v>3292.25</v>
      </c>
      <c r="J13" s="462">
        <v>6584.5</v>
      </c>
      <c r="K13" s="435" t="s">
        <v>45</v>
      </c>
      <c r="L13">
        <v>20230112</v>
      </c>
      <c r="M13" t="s">
        <v>73</v>
      </c>
    </row>
    <row r="14" spans="1:13">
      <c r="A14">
        <v>13</v>
      </c>
      <c r="B14" t="s">
        <v>1028</v>
      </c>
      <c r="C14" t="s">
        <v>1029</v>
      </c>
      <c r="D14" t="s">
        <v>1029</v>
      </c>
      <c r="E14" t="s">
        <v>72</v>
      </c>
      <c r="F14" t="s">
        <v>1030</v>
      </c>
      <c r="G14" s="27" t="s">
        <v>1241</v>
      </c>
      <c r="H14">
        <v>19</v>
      </c>
      <c r="I14">
        <v>433.89</v>
      </c>
      <c r="J14">
        <v>8243.91</v>
      </c>
      <c r="K14" s="435" t="s">
        <v>45</v>
      </c>
      <c r="L14">
        <v>20230112</v>
      </c>
      <c r="M14" t="s">
        <v>73</v>
      </c>
    </row>
    <row r="15" spans="1:13">
      <c r="A15">
        <v>14</v>
      </c>
      <c r="B15" t="s">
        <v>746</v>
      </c>
      <c r="C15" t="s">
        <v>747</v>
      </c>
      <c r="D15" t="s">
        <v>747</v>
      </c>
      <c r="E15" t="s">
        <v>72</v>
      </c>
      <c r="F15" t="s">
        <v>748</v>
      </c>
      <c r="G15" s="27" t="s">
        <v>1241</v>
      </c>
      <c r="H15">
        <v>60</v>
      </c>
      <c r="I15">
        <v>362.95</v>
      </c>
      <c r="J15" s="54">
        <v>21777</v>
      </c>
      <c r="K15" s="435" t="s">
        <v>45</v>
      </c>
      <c r="L15">
        <v>20230112</v>
      </c>
      <c r="M15" t="s">
        <v>73</v>
      </c>
    </row>
    <row r="16" spans="1:13">
      <c r="A16">
        <v>15</v>
      </c>
      <c r="B16" t="s">
        <v>1218</v>
      </c>
      <c r="C16" t="s">
        <v>1223</v>
      </c>
      <c r="D16" t="s">
        <v>1223</v>
      </c>
      <c r="E16" t="s">
        <v>72</v>
      </c>
      <c r="F16" t="s">
        <v>1224</v>
      </c>
      <c r="G16" s="27" t="s">
        <v>1241</v>
      </c>
      <c r="H16">
        <v>4</v>
      </c>
      <c r="I16">
        <v>3674.1</v>
      </c>
      <c r="J16">
        <v>14696.4</v>
      </c>
      <c r="K16" s="435" t="s">
        <v>45</v>
      </c>
      <c r="L16">
        <v>20230112</v>
      </c>
      <c r="M16" t="s">
        <v>73</v>
      </c>
    </row>
    <row r="17" spans="1:13">
      <c r="A17">
        <v>16</v>
      </c>
      <c r="B17" t="s">
        <v>982</v>
      </c>
      <c r="C17" t="s">
        <v>943</v>
      </c>
      <c r="D17" t="s">
        <v>943</v>
      </c>
      <c r="E17" t="s">
        <v>72</v>
      </c>
      <c r="F17" t="s">
        <v>944</v>
      </c>
      <c r="G17" s="27" t="s">
        <v>1241</v>
      </c>
      <c r="H17">
        <v>2</v>
      </c>
      <c r="I17">
        <v>695.45</v>
      </c>
      <c r="J17">
        <v>1390.9</v>
      </c>
      <c r="K17" s="435" t="s">
        <v>45</v>
      </c>
      <c r="L17">
        <v>20230112</v>
      </c>
      <c r="M17" t="s">
        <v>73</v>
      </c>
    </row>
    <row r="18" spans="1:13">
      <c r="A18">
        <v>17</v>
      </c>
      <c r="B18" t="s">
        <v>925</v>
      </c>
      <c r="C18" t="s">
        <v>926</v>
      </c>
      <c r="D18" t="s">
        <v>926</v>
      </c>
      <c r="E18" t="s">
        <v>72</v>
      </c>
      <c r="F18" t="s">
        <v>927</v>
      </c>
      <c r="G18" s="27" t="s">
        <v>1241</v>
      </c>
      <c r="H18">
        <v>25</v>
      </c>
      <c r="I18">
        <v>678.25</v>
      </c>
      <c r="J18">
        <v>16956.25</v>
      </c>
      <c r="K18" s="435" t="s">
        <v>45</v>
      </c>
      <c r="L18">
        <v>20230112</v>
      </c>
      <c r="M18" t="s">
        <v>73</v>
      </c>
    </row>
    <row r="19" spans="1:13">
      <c r="A19">
        <v>18</v>
      </c>
      <c r="B19" t="s">
        <v>1084</v>
      </c>
      <c r="C19" t="s">
        <v>1084</v>
      </c>
      <c r="D19" t="s">
        <v>1084</v>
      </c>
      <c r="E19" t="s">
        <v>72</v>
      </c>
      <c r="F19" t="s">
        <v>1085</v>
      </c>
      <c r="G19" s="27" t="s">
        <v>1225</v>
      </c>
      <c r="H19">
        <v>5</v>
      </c>
      <c r="I19">
        <v>2195.65</v>
      </c>
      <c r="J19" s="54">
        <v>10978.25</v>
      </c>
      <c r="K19" s="435" t="s">
        <v>45</v>
      </c>
      <c r="L19">
        <v>20230111</v>
      </c>
      <c r="M19" t="s">
        <v>73</v>
      </c>
    </row>
    <row r="20" spans="1:13">
      <c r="A20">
        <v>19</v>
      </c>
      <c r="B20" t="s">
        <v>566</v>
      </c>
      <c r="C20" t="s">
        <v>567</v>
      </c>
      <c r="D20" t="s">
        <v>567</v>
      </c>
      <c r="E20" t="s">
        <v>72</v>
      </c>
      <c r="F20" t="s">
        <v>585</v>
      </c>
      <c r="G20" s="27" t="s">
        <v>1225</v>
      </c>
      <c r="H20">
        <v>19</v>
      </c>
      <c r="I20">
        <v>467.5</v>
      </c>
      <c r="J20">
        <v>8882.5</v>
      </c>
      <c r="K20" s="435" t="s">
        <v>45</v>
      </c>
      <c r="L20">
        <v>20230111</v>
      </c>
      <c r="M20" t="s">
        <v>73</v>
      </c>
    </row>
    <row r="21" spans="1:13">
      <c r="A21">
        <v>20</v>
      </c>
      <c r="B21" s="5" t="s">
        <v>746</v>
      </c>
      <c r="C21" t="s">
        <v>747</v>
      </c>
      <c r="D21" t="s">
        <v>747</v>
      </c>
      <c r="E21" t="s">
        <v>72</v>
      </c>
      <c r="F21" t="s">
        <v>748</v>
      </c>
      <c r="G21" s="27" t="s">
        <v>1225</v>
      </c>
      <c r="H21">
        <v>30</v>
      </c>
      <c r="I21" s="31">
        <v>366.6</v>
      </c>
      <c r="J21" s="31">
        <v>10998</v>
      </c>
      <c r="K21" t="s">
        <v>45</v>
      </c>
      <c r="L21">
        <v>20230111</v>
      </c>
      <c r="M21" t="s">
        <v>73</v>
      </c>
    </row>
    <row r="22" spans="1:13">
      <c r="A22">
        <v>21</v>
      </c>
      <c r="B22" t="s">
        <v>1176</v>
      </c>
      <c r="C22" t="s">
        <v>1176</v>
      </c>
      <c r="D22" t="s">
        <v>1176</v>
      </c>
      <c r="E22" t="s">
        <v>72</v>
      </c>
      <c r="F22" t="s">
        <v>1177</v>
      </c>
      <c r="G22" s="27" t="s">
        <v>1225</v>
      </c>
      <c r="H22">
        <v>10</v>
      </c>
      <c r="I22" s="31">
        <v>666.75</v>
      </c>
      <c r="J22" s="31">
        <v>6667.5</v>
      </c>
      <c r="K22" t="s">
        <v>45</v>
      </c>
      <c r="L22">
        <v>20230111</v>
      </c>
      <c r="M22" t="s">
        <v>73</v>
      </c>
    </row>
    <row r="23" spans="1:13">
      <c r="A23">
        <v>22</v>
      </c>
      <c r="B23" t="s">
        <v>530</v>
      </c>
      <c r="C23" t="s">
        <v>1158</v>
      </c>
      <c r="D23" t="s">
        <v>531</v>
      </c>
      <c r="E23" t="s">
        <v>72</v>
      </c>
      <c r="F23" t="s">
        <v>532</v>
      </c>
      <c r="G23" s="27" t="s">
        <v>1225</v>
      </c>
      <c r="H23">
        <v>40</v>
      </c>
      <c r="I23" s="31">
        <v>446.88</v>
      </c>
      <c r="J23" s="31">
        <v>17875.2</v>
      </c>
      <c r="K23" t="s">
        <v>45</v>
      </c>
      <c r="L23">
        <v>20230111</v>
      </c>
      <c r="M23" t="s">
        <v>73</v>
      </c>
    </row>
    <row r="24" spans="1:13">
      <c r="A24">
        <v>23</v>
      </c>
      <c r="B24" t="s">
        <v>29</v>
      </c>
      <c r="C24" t="s">
        <v>107</v>
      </c>
      <c r="D24" t="s">
        <v>107</v>
      </c>
      <c r="E24" t="s">
        <v>72</v>
      </c>
      <c r="F24" t="s">
        <v>108</v>
      </c>
      <c r="G24" s="27" t="s">
        <v>1225</v>
      </c>
      <c r="H24">
        <v>5</v>
      </c>
      <c r="I24" s="31">
        <v>2497.1</v>
      </c>
      <c r="J24" s="31">
        <v>12485.5</v>
      </c>
      <c r="K24" t="s">
        <v>45</v>
      </c>
      <c r="L24">
        <v>20230111</v>
      </c>
      <c r="M24" t="s">
        <v>73</v>
      </c>
    </row>
    <row r="25" spans="1:13">
      <c r="A25">
        <v>24</v>
      </c>
      <c r="B25" t="s">
        <v>936</v>
      </c>
      <c r="C25" t="s">
        <v>937</v>
      </c>
      <c r="D25" t="s">
        <v>937</v>
      </c>
      <c r="E25" t="s">
        <v>76</v>
      </c>
      <c r="F25" t="s">
        <v>938</v>
      </c>
      <c r="G25" s="27" t="s">
        <v>1232</v>
      </c>
      <c r="H25">
        <v>1</v>
      </c>
      <c r="I25" s="31">
        <v>7805</v>
      </c>
      <c r="J25" s="31">
        <v>7805</v>
      </c>
      <c r="K25" t="s">
        <v>45</v>
      </c>
      <c r="L25">
        <v>20230110</v>
      </c>
      <c r="M25" t="s">
        <v>73</v>
      </c>
    </row>
    <row r="26" spans="1:13">
      <c r="A26">
        <v>25</v>
      </c>
      <c r="B26" t="s">
        <v>936</v>
      </c>
      <c r="C26" t="s">
        <v>937</v>
      </c>
      <c r="D26" t="s">
        <v>937</v>
      </c>
      <c r="E26" t="s">
        <v>76</v>
      </c>
      <c r="F26" t="s">
        <v>938</v>
      </c>
      <c r="G26" s="27" t="s">
        <v>1226</v>
      </c>
      <c r="H26" s="30">
        <v>1</v>
      </c>
      <c r="I26">
        <v>7891.55</v>
      </c>
      <c r="J26">
        <v>7891.55</v>
      </c>
      <c r="K26" t="s">
        <v>45</v>
      </c>
      <c r="L26">
        <v>20230109</v>
      </c>
      <c r="M26" t="s">
        <v>73</v>
      </c>
    </row>
    <row r="27" spans="1:13">
      <c r="A27">
        <v>26</v>
      </c>
      <c r="B27" t="s">
        <v>727</v>
      </c>
      <c r="C27" t="s">
        <v>728</v>
      </c>
      <c r="D27" t="s">
        <v>728</v>
      </c>
      <c r="E27" t="s">
        <v>72</v>
      </c>
      <c r="F27" t="s">
        <v>729</v>
      </c>
      <c r="G27" s="27" t="s">
        <v>1225</v>
      </c>
      <c r="H27" s="30">
        <v>5</v>
      </c>
      <c r="I27">
        <v>1464.07</v>
      </c>
      <c r="J27">
        <v>7320.3499999999995</v>
      </c>
      <c r="K27" t="s">
        <v>45</v>
      </c>
      <c r="L27">
        <v>20230111</v>
      </c>
      <c r="M27" t="s">
        <v>73</v>
      </c>
    </row>
    <row r="28" spans="1:13">
      <c r="A28">
        <v>27</v>
      </c>
      <c r="B28" t="s">
        <v>751</v>
      </c>
      <c r="C28" t="s">
        <v>763</v>
      </c>
      <c r="D28" t="s">
        <v>753</v>
      </c>
      <c r="E28" t="s">
        <v>72</v>
      </c>
      <c r="F28" t="s">
        <v>754</v>
      </c>
      <c r="G28" s="27" t="s">
        <v>1226</v>
      </c>
      <c r="H28" s="30">
        <v>9</v>
      </c>
      <c r="I28">
        <v>1726.67</v>
      </c>
      <c r="J28">
        <v>15540.03</v>
      </c>
      <c r="K28" t="s">
        <v>45</v>
      </c>
      <c r="L28">
        <v>20230109</v>
      </c>
      <c r="M28" t="s">
        <v>73</v>
      </c>
    </row>
    <row r="29" spans="1:13">
      <c r="A29">
        <v>28</v>
      </c>
      <c r="B29" t="s">
        <v>936</v>
      </c>
      <c r="C29" t="s">
        <v>937</v>
      </c>
      <c r="D29" t="s">
        <v>937</v>
      </c>
      <c r="E29" t="s">
        <v>76</v>
      </c>
      <c r="F29" t="s">
        <v>938</v>
      </c>
      <c r="G29" s="27" t="s">
        <v>1227</v>
      </c>
      <c r="H29" s="30">
        <v>1</v>
      </c>
      <c r="I29">
        <v>8015</v>
      </c>
      <c r="J29">
        <v>8015</v>
      </c>
      <c r="K29" t="s">
        <v>45</v>
      </c>
      <c r="L29">
        <v>20230107</v>
      </c>
      <c r="M29" t="s">
        <v>73</v>
      </c>
    </row>
    <row r="30" spans="1:13">
      <c r="A30">
        <v>29</v>
      </c>
      <c r="B30" t="s">
        <v>194</v>
      </c>
      <c r="C30" t="s">
        <v>195</v>
      </c>
      <c r="D30" t="s">
        <v>195</v>
      </c>
      <c r="E30" t="s">
        <v>72</v>
      </c>
      <c r="F30" t="s">
        <v>1138</v>
      </c>
      <c r="G30" s="27" t="s">
        <v>1228</v>
      </c>
      <c r="H30" s="30">
        <v>10</v>
      </c>
      <c r="I30">
        <v>1458.25</v>
      </c>
      <c r="J30">
        <v>14582.5</v>
      </c>
      <c r="K30" t="s">
        <v>45</v>
      </c>
      <c r="L30">
        <v>20230106</v>
      </c>
      <c r="M30" t="s">
        <v>73</v>
      </c>
    </row>
    <row r="31" spans="1:13">
      <c r="A31">
        <v>30</v>
      </c>
      <c r="B31" t="s">
        <v>671</v>
      </c>
      <c r="C31" t="s">
        <v>672</v>
      </c>
      <c r="D31" t="s">
        <v>672</v>
      </c>
      <c r="E31" t="s">
        <v>72</v>
      </c>
      <c r="F31" t="s">
        <v>673</v>
      </c>
      <c r="G31" s="27" t="s">
        <v>1228</v>
      </c>
      <c r="H31" s="30">
        <v>3</v>
      </c>
      <c r="I31">
        <v>6080.5</v>
      </c>
      <c r="J31">
        <v>18241.5</v>
      </c>
      <c r="K31" t="s">
        <v>45</v>
      </c>
      <c r="L31">
        <v>20230106</v>
      </c>
      <c r="M31" t="s">
        <v>73</v>
      </c>
    </row>
    <row r="32" spans="1:13">
      <c r="A32">
        <v>31</v>
      </c>
      <c r="B32" t="s">
        <v>743</v>
      </c>
      <c r="C32" t="s">
        <v>744</v>
      </c>
      <c r="D32" t="s">
        <v>744</v>
      </c>
      <c r="E32" t="s">
        <v>72</v>
      </c>
      <c r="F32" t="s">
        <v>745</v>
      </c>
      <c r="G32" s="27" t="s">
        <v>1228</v>
      </c>
      <c r="H32" s="30">
        <v>72</v>
      </c>
      <c r="I32">
        <v>285.73</v>
      </c>
      <c r="J32">
        <v>20572.560000000001</v>
      </c>
      <c r="K32" t="s">
        <v>45</v>
      </c>
      <c r="L32">
        <v>20230106</v>
      </c>
      <c r="M32" t="s">
        <v>73</v>
      </c>
    </row>
    <row r="33" spans="1:13">
      <c r="A33">
        <v>32</v>
      </c>
      <c r="B33" t="s">
        <v>1218</v>
      </c>
      <c r="C33" t="s">
        <v>1223</v>
      </c>
      <c r="D33" t="s">
        <v>1223</v>
      </c>
      <c r="E33" t="s">
        <v>72</v>
      </c>
      <c r="F33" t="s">
        <v>1224</v>
      </c>
      <c r="G33" s="27" t="s">
        <v>1229</v>
      </c>
      <c r="H33" s="30">
        <v>30</v>
      </c>
      <c r="I33">
        <v>3851.5</v>
      </c>
      <c r="J33" s="54">
        <v>115545</v>
      </c>
      <c r="K33" t="s">
        <v>45</v>
      </c>
      <c r="L33">
        <v>20230105</v>
      </c>
      <c r="M33" t="s">
        <v>73</v>
      </c>
    </row>
    <row r="34" spans="1:13">
      <c r="A34">
        <v>33</v>
      </c>
      <c r="B34" t="s">
        <v>671</v>
      </c>
      <c r="C34" t="s">
        <v>672</v>
      </c>
      <c r="D34" t="s">
        <v>672</v>
      </c>
      <c r="E34" t="s">
        <v>72</v>
      </c>
      <c r="F34" t="s">
        <v>673</v>
      </c>
      <c r="G34" s="27" t="s">
        <v>1229</v>
      </c>
      <c r="H34" s="30">
        <v>3</v>
      </c>
      <c r="I34">
        <v>6117</v>
      </c>
      <c r="J34">
        <v>18351</v>
      </c>
      <c r="K34" t="s">
        <v>45</v>
      </c>
      <c r="L34">
        <v>20230105</v>
      </c>
      <c r="M34" t="s">
        <v>73</v>
      </c>
    </row>
    <row r="35" spans="1:13">
      <c r="A35">
        <v>34</v>
      </c>
      <c r="B35" t="s">
        <v>194</v>
      </c>
      <c r="C35" t="s">
        <v>195</v>
      </c>
      <c r="D35" t="s">
        <v>195</v>
      </c>
      <c r="E35" t="s">
        <v>72</v>
      </c>
      <c r="F35" t="s">
        <v>1138</v>
      </c>
      <c r="G35" s="27" t="s">
        <v>1229</v>
      </c>
      <c r="H35" s="30">
        <v>15</v>
      </c>
      <c r="I35">
        <v>1463.75</v>
      </c>
      <c r="J35">
        <v>21956.25</v>
      </c>
      <c r="K35" t="s">
        <v>45</v>
      </c>
      <c r="L35">
        <v>20230105</v>
      </c>
      <c r="M35" t="s">
        <v>73</v>
      </c>
    </row>
    <row r="36" spans="1:13">
      <c r="A36">
        <v>35</v>
      </c>
      <c r="B36" t="s">
        <v>1176</v>
      </c>
      <c r="C36" t="s">
        <v>1176</v>
      </c>
      <c r="D36" t="s">
        <v>1176</v>
      </c>
      <c r="E36" t="s">
        <v>72</v>
      </c>
      <c r="F36" t="s">
        <v>1177</v>
      </c>
      <c r="G36" s="27" t="s">
        <v>1229</v>
      </c>
      <c r="H36" s="30">
        <v>40</v>
      </c>
      <c r="I36">
        <v>683.53</v>
      </c>
      <c r="J36">
        <v>27341.199999999997</v>
      </c>
      <c r="K36" t="s">
        <v>45</v>
      </c>
      <c r="L36">
        <v>20230105</v>
      </c>
      <c r="M36" t="s">
        <v>73</v>
      </c>
    </row>
    <row r="37" spans="1:13">
      <c r="A37">
        <v>36</v>
      </c>
      <c r="B37" t="s">
        <v>1216</v>
      </c>
      <c r="C37" t="s">
        <v>1219</v>
      </c>
      <c r="D37" t="s">
        <v>1219</v>
      </c>
      <c r="E37" t="s">
        <v>72</v>
      </c>
      <c r="F37" t="s">
        <v>1220</v>
      </c>
      <c r="G37" s="27" t="s">
        <v>1229</v>
      </c>
      <c r="H37" s="30">
        <v>25</v>
      </c>
      <c r="I37">
        <v>2549.0500000000002</v>
      </c>
      <c r="J37">
        <v>63726.250000000007</v>
      </c>
      <c r="K37" t="s">
        <v>45</v>
      </c>
      <c r="L37">
        <v>20230105</v>
      </c>
      <c r="M37" t="s">
        <v>73</v>
      </c>
    </row>
    <row r="38" spans="1:13">
      <c r="A38">
        <v>37</v>
      </c>
      <c r="B38" t="s">
        <v>20</v>
      </c>
      <c r="C38" t="s">
        <v>93</v>
      </c>
      <c r="D38" t="s">
        <v>210</v>
      </c>
      <c r="E38" t="s">
        <v>76</v>
      </c>
      <c r="F38" t="s">
        <v>95</v>
      </c>
      <c r="G38" s="27" t="s">
        <v>1229</v>
      </c>
      <c r="H38" s="30">
        <v>100</v>
      </c>
      <c r="I38">
        <v>168.05</v>
      </c>
      <c r="J38">
        <v>16805</v>
      </c>
      <c r="K38" t="s">
        <v>45</v>
      </c>
      <c r="L38">
        <v>20230105</v>
      </c>
      <c r="M38" t="s">
        <v>73</v>
      </c>
    </row>
    <row r="39" spans="1:13">
      <c r="A39">
        <v>38</v>
      </c>
      <c r="B39" t="s">
        <v>697</v>
      </c>
      <c r="C39" t="s">
        <v>698</v>
      </c>
      <c r="D39" t="s">
        <v>698</v>
      </c>
      <c r="E39" t="s">
        <v>72</v>
      </c>
      <c r="F39" t="s">
        <v>699</v>
      </c>
      <c r="G39" s="27" t="s">
        <v>1230</v>
      </c>
      <c r="H39" s="30">
        <v>15</v>
      </c>
      <c r="I39">
        <v>414.8</v>
      </c>
      <c r="J39">
        <v>6222</v>
      </c>
      <c r="K39" t="s">
        <v>45</v>
      </c>
      <c r="L39">
        <v>20230104</v>
      </c>
      <c r="M39" t="s">
        <v>73</v>
      </c>
    </row>
    <row r="40" spans="1:13">
      <c r="A40">
        <v>39</v>
      </c>
      <c r="B40" t="s">
        <v>1176</v>
      </c>
      <c r="C40" t="s">
        <v>1176</v>
      </c>
      <c r="D40" t="s">
        <v>1176</v>
      </c>
      <c r="E40" t="s">
        <v>72</v>
      </c>
      <c r="F40" t="s">
        <v>1177</v>
      </c>
      <c r="G40" s="27" t="s">
        <v>1230</v>
      </c>
      <c r="H40" s="30">
        <v>40</v>
      </c>
      <c r="I40">
        <v>730.13</v>
      </c>
      <c r="J40">
        <v>29205.200000000001</v>
      </c>
      <c r="K40" t="s">
        <v>45</v>
      </c>
      <c r="L40">
        <v>20230104</v>
      </c>
      <c r="M40" t="s">
        <v>73</v>
      </c>
    </row>
    <row r="41" spans="1:13">
      <c r="A41">
        <v>40</v>
      </c>
      <c r="B41" t="s">
        <v>31</v>
      </c>
      <c r="C41" t="s">
        <v>111</v>
      </c>
      <c r="D41" t="s">
        <v>111</v>
      </c>
      <c r="E41" t="s">
        <v>72</v>
      </c>
      <c r="F41" t="s">
        <v>112</v>
      </c>
      <c r="G41" s="27" t="s">
        <v>1231</v>
      </c>
      <c r="H41" s="30">
        <v>20</v>
      </c>
      <c r="I41">
        <v>151.75</v>
      </c>
      <c r="J41">
        <v>3035</v>
      </c>
      <c r="K41" t="s">
        <v>45</v>
      </c>
      <c r="L41">
        <v>20230103</v>
      </c>
      <c r="M41" t="s">
        <v>73</v>
      </c>
    </row>
    <row r="42" spans="1:13">
      <c r="A42">
        <v>41</v>
      </c>
      <c r="B42" t="s">
        <v>1217</v>
      </c>
      <c r="C42" t="s">
        <v>1221</v>
      </c>
      <c r="D42" t="s">
        <v>1221</v>
      </c>
      <c r="E42" t="s">
        <v>72</v>
      </c>
      <c r="F42" t="s">
        <v>1222</v>
      </c>
      <c r="G42" s="27" t="s">
        <v>1231</v>
      </c>
      <c r="H42" s="30">
        <v>400</v>
      </c>
      <c r="I42">
        <v>356.04</v>
      </c>
      <c r="J42">
        <v>142416</v>
      </c>
      <c r="K42" t="s">
        <v>45</v>
      </c>
      <c r="L42">
        <v>20230103</v>
      </c>
      <c r="M42" t="s">
        <v>73</v>
      </c>
    </row>
    <row r="43" spans="1:13">
      <c r="A43">
        <v>42</v>
      </c>
      <c r="B43" t="s">
        <v>746</v>
      </c>
      <c r="C43" t="s">
        <v>747</v>
      </c>
      <c r="D43" t="s">
        <v>747</v>
      </c>
      <c r="E43" t="s">
        <v>72</v>
      </c>
      <c r="F43" t="s">
        <v>748</v>
      </c>
      <c r="G43" s="27" t="s">
        <v>1207</v>
      </c>
      <c r="H43" s="30">
        <v>30</v>
      </c>
      <c r="I43">
        <v>391.5</v>
      </c>
      <c r="J43">
        <v>11745</v>
      </c>
      <c r="K43" t="s">
        <v>45</v>
      </c>
      <c r="L43">
        <v>20221214</v>
      </c>
      <c r="M43" t="s">
        <v>73</v>
      </c>
    </row>
    <row r="44" spans="1:13">
      <c r="A44">
        <v>43</v>
      </c>
      <c r="B44" t="s">
        <v>982</v>
      </c>
      <c r="C44" t="s">
        <v>943</v>
      </c>
      <c r="D44" t="s">
        <v>943</v>
      </c>
      <c r="E44" t="s">
        <v>72</v>
      </c>
      <c r="F44" t="s">
        <v>944</v>
      </c>
      <c r="G44" s="27" t="s">
        <v>1207</v>
      </c>
      <c r="H44" s="30">
        <v>16</v>
      </c>
      <c r="I44">
        <v>681.94</v>
      </c>
      <c r="J44">
        <v>10911.04</v>
      </c>
      <c r="K44" t="s">
        <v>45</v>
      </c>
      <c r="L44">
        <v>20221214</v>
      </c>
      <c r="M44" t="s">
        <v>73</v>
      </c>
    </row>
    <row r="45" spans="1:13">
      <c r="A45">
        <v>44</v>
      </c>
      <c r="B45" t="s">
        <v>1172</v>
      </c>
      <c r="C45" t="s">
        <v>1172</v>
      </c>
      <c r="D45" t="s">
        <v>1172</v>
      </c>
      <c r="E45" t="s">
        <v>72</v>
      </c>
      <c r="F45" t="s">
        <v>1173</v>
      </c>
      <c r="G45" s="27" t="s">
        <v>1207</v>
      </c>
      <c r="H45" s="30">
        <v>3</v>
      </c>
      <c r="I45">
        <v>2205</v>
      </c>
      <c r="J45">
        <v>6615</v>
      </c>
      <c r="K45" t="s">
        <v>45</v>
      </c>
      <c r="L45">
        <v>20221214</v>
      </c>
      <c r="M45" t="s">
        <v>73</v>
      </c>
    </row>
    <row r="46" spans="1:13">
      <c r="A46">
        <v>45</v>
      </c>
      <c r="B46" t="s">
        <v>610</v>
      </c>
      <c r="C46" t="s">
        <v>611</v>
      </c>
      <c r="D46" t="s">
        <v>695</v>
      </c>
      <c r="E46" t="s">
        <v>72</v>
      </c>
      <c r="F46" t="s">
        <v>1053</v>
      </c>
      <c r="G46" s="27" t="s">
        <v>1208</v>
      </c>
      <c r="H46" s="30">
        <v>70</v>
      </c>
      <c r="I46">
        <v>359.21</v>
      </c>
      <c r="J46">
        <v>25144.699999999997</v>
      </c>
      <c r="K46" t="s">
        <v>45</v>
      </c>
      <c r="L46">
        <v>20221213</v>
      </c>
      <c r="M46" t="s">
        <v>73</v>
      </c>
    </row>
    <row r="47" spans="1:13">
      <c r="A47">
        <v>46</v>
      </c>
      <c r="B47" t="s">
        <v>13</v>
      </c>
      <c r="C47" t="s">
        <v>83</v>
      </c>
      <c r="D47" t="s">
        <v>246</v>
      </c>
      <c r="E47" t="s">
        <v>76</v>
      </c>
      <c r="F47" t="s">
        <v>84</v>
      </c>
      <c r="G47" s="27" t="s">
        <v>1200</v>
      </c>
      <c r="H47" s="30">
        <v>10</v>
      </c>
      <c r="I47">
        <v>1163.4000000000001</v>
      </c>
      <c r="J47">
        <v>11634</v>
      </c>
      <c r="K47" t="s">
        <v>45</v>
      </c>
      <c r="L47">
        <v>20221230</v>
      </c>
      <c r="M47" t="s">
        <v>73</v>
      </c>
    </row>
    <row r="48" spans="1:13">
      <c r="A48">
        <v>47</v>
      </c>
      <c r="B48" t="s">
        <v>969</v>
      </c>
      <c r="C48" t="s">
        <v>970</v>
      </c>
      <c r="D48" t="s">
        <v>970</v>
      </c>
      <c r="E48" t="s">
        <v>72</v>
      </c>
      <c r="F48" t="s">
        <v>919</v>
      </c>
      <c r="G48" s="27" t="s">
        <v>1200</v>
      </c>
      <c r="H48" s="30">
        <v>5</v>
      </c>
      <c r="I48">
        <v>1046</v>
      </c>
      <c r="J48">
        <v>5230</v>
      </c>
      <c r="K48" t="s">
        <v>45</v>
      </c>
      <c r="L48">
        <v>20221230</v>
      </c>
      <c r="M48" t="s">
        <v>73</v>
      </c>
    </row>
    <row r="49" spans="1:13">
      <c r="A49">
        <v>48</v>
      </c>
      <c r="B49" t="s">
        <v>936</v>
      </c>
      <c r="C49" t="s">
        <v>937</v>
      </c>
      <c r="D49" t="s">
        <v>937</v>
      </c>
      <c r="E49" t="s">
        <v>76</v>
      </c>
      <c r="F49" t="s">
        <v>938</v>
      </c>
      <c r="G49" s="27" t="s">
        <v>1201</v>
      </c>
      <c r="H49" s="30">
        <v>1</v>
      </c>
      <c r="I49">
        <v>8215</v>
      </c>
      <c r="J49">
        <v>8215</v>
      </c>
      <c r="K49" t="s">
        <v>45</v>
      </c>
      <c r="L49">
        <v>20221229</v>
      </c>
      <c r="M49" t="s">
        <v>73</v>
      </c>
    </row>
    <row r="50" spans="1:13">
      <c r="A50">
        <v>49</v>
      </c>
      <c r="B50" t="s">
        <v>689</v>
      </c>
      <c r="C50" t="s">
        <v>690</v>
      </c>
      <c r="D50" t="s">
        <v>690</v>
      </c>
      <c r="E50" t="s">
        <v>72</v>
      </c>
      <c r="F50" t="s">
        <v>691</v>
      </c>
      <c r="G50" s="27" t="s">
        <v>1201</v>
      </c>
      <c r="H50" s="30">
        <v>12</v>
      </c>
      <c r="I50">
        <v>2482.67</v>
      </c>
      <c r="J50">
        <v>29792.04</v>
      </c>
      <c r="K50" t="s">
        <v>45</v>
      </c>
      <c r="L50">
        <v>20221229</v>
      </c>
      <c r="M50" t="s">
        <v>73</v>
      </c>
    </row>
    <row r="51" spans="1:13">
      <c r="A51">
        <v>50</v>
      </c>
      <c r="B51" t="s">
        <v>894</v>
      </c>
      <c r="C51" t="s">
        <v>898</v>
      </c>
      <c r="D51" t="s">
        <v>898</v>
      </c>
      <c r="E51" t="s">
        <v>72</v>
      </c>
      <c r="F51" t="s">
        <v>899</v>
      </c>
      <c r="G51" s="27" t="s">
        <v>1201</v>
      </c>
      <c r="H51" s="30">
        <v>1</v>
      </c>
      <c r="I51">
        <v>3674.8</v>
      </c>
      <c r="J51">
        <v>3674.8</v>
      </c>
      <c r="K51" t="s">
        <v>45</v>
      </c>
      <c r="L51">
        <v>20221229</v>
      </c>
      <c r="M51" t="s">
        <v>73</v>
      </c>
    </row>
    <row r="52" spans="1:13">
      <c r="A52">
        <v>51</v>
      </c>
      <c r="B52" t="s">
        <v>527</v>
      </c>
      <c r="C52" t="s">
        <v>528</v>
      </c>
      <c r="D52" t="s">
        <v>528</v>
      </c>
      <c r="E52" t="s">
        <v>72</v>
      </c>
      <c r="F52" t="s">
        <v>529</v>
      </c>
      <c r="G52" s="27" t="s">
        <v>1201</v>
      </c>
      <c r="H52" s="30">
        <v>35</v>
      </c>
      <c r="I52">
        <v>486.16</v>
      </c>
      <c r="J52">
        <v>17015.600000000002</v>
      </c>
      <c r="K52" t="s">
        <v>45</v>
      </c>
      <c r="L52">
        <v>20221229</v>
      </c>
      <c r="M52" t="s">
        <v>73</v>
      </c>
    </row>
    <row r="53" spans="1:13">
      <c r="A53">
        <v>52</v>
      </c>
      <c r="B53" t="s">
        <v>472</v>
      </c>
      <c r="C53" t="s">
        <v>468</v>
      </c>
      <c r="D53" t="s">
        <v>468</v>
      </c>
      <c r="E53" t="s">
        <v>72</v>
      </c>
      <c r="F53" t="s">
        <v>586</v>
      </c>
      <c r="G53" s="27" t="s">
        <v>1201</v>
      </c>
      <c r="H53" s="30">
        <v>30</v>
      </c>
      <c r="I53">
        <v>1467.7</v>
      </c>
      <c r="J53">
        <v>44031</v>
      </c>
      <c r="K53" t="s">
        <v>45</v>
      </c>
      <c r="L53">
        <v>20221229</v>
      </c>
      <c r="M53" t="s">
        <v>73</v>
      </c>
    </row>
    <row r="54" spans="1:13">
      <c r="A54">
        <v>53</v>
      </c>
      <c r="B54" t="s">
        <v>530</v>
      </c>
      <c r="C54" t="s">
        <v>1158</v>
      </c>
      <c r="D54" t="s">
        <v>531</v>
      </c>
      <c r="E54" t="s">
        <v>72</v>
      </c>
      <c r="F54" t="s">
        <v>532</v>
      </c>
      <c r="G54" s="27" t="s">
        <v>1201</v>
      </c>
      <c r="H54" s="30">
        <v>30</v>
      </c>
      <c r="I54">
        <v>455.3</v>
      </c>
      <c r="J54">
        <v>13659</v>
      </c>
      <c r="K54" t="s">
        <v>45</v>
      </c>
      <c r="L54">
        <v>20221229</v>
      </c>
      <c r="M54" t="s">
        <v>73</v>
      </c>
    </row>
    <row r="55" spans="1:13">
      <c r="A55">
        <v>54</v>
      </c>
      <c r="B55" t="s">
        <v>1175</v>
      </c>
      <c r="C55" t="s">
        <v>1175</v>
      </c>
      <c r="D55" t="s">
        <v>1175</v>
      </c>
      <c r="E55" t="s">
        <v>72</v>
      </c>
      <c r="F55" t="s">
        <v>1174</v>
      </c>
      <c r="G55" s="27" t="s">
        <v>1199</v>
      </c>
      <c r="H55" s="30">
        <v>30</v>
      </c>
      <c r="I55">
        <v>1104.18</v>
      </c>
      <c r="J55">
        <v>33125.4</v>
      </c>
      <c r="K55" t="s">
        <v>45</v>
      </c>
      <c r="L55">
        <v>20221223</v>
      </c>
      <c r="M55" t="s">
        <v>73</v>
      </c>
    </row>
    <row r="56" spans="1:13">
      <c r="A56">
        <v>55</v>
      </c>
      <c r="B56" t="s">
        <v>1028</v>
      </c>
      <c r="C56" t="s">
        <v>1029</v>
      </c>
      <c r="D56" t="s">
        <v>1029</v>
      </c>
      <c r="E56" t="s">
        <v>72</v>
      </c>
      <c r="F56" t="s">
        <v>1030</v>
      </c>
      <c r="G56" s="27" t="s">
        <v>1199</v>
      </c>
      <c r="H56" s="30">
        <v>28</v>
      </c>
      <c r="I56">
        <v>446.75</v>
      </c>
      <c r="J56">
        <v>12509</v>
      </c>
      <c r="K56" t="s">
        <v>45</v>
      </c>
      <c r="L56">
        <v>20221223</v>
      </c>
      <c r="M56" t="s">
        <v>73</v>
      </c>
    </row>
    <row r="57" spans="1:13">
      <c r="A57">
        <v>56</v>
      </c>
      <c r="B57" t="s">
        <v>230</v>
      </c>
      <c r="C57" t="s">
        <v>117</v>
      </c>
      <c r="D57" t="s">
        <v>117</v>
      </c>
      <c r="E57" t="s">
        <v>72</v>
      </c>
      <c r="F57" t="s">
        <v>118</v>
      </c>
      <c r="G57" s="27" t="s">
        <v>1199</v>
      </c>
      <c r="H57" s="30">
        <v>58</v>
      </c>
      <c r="I57">
        <v>197.41</v>
      </c>
      <c r="J57">
        <v>11449.78</v>
      </c>
      <c r="K57" t="s">
        <v>45</v>
      </c>
      <c r="L57">
        <v>20221223</v>
      </c>
      <c r="M57" t="s">
        <v>73</v>
      </c>
    </row>
    <row r="58" spans="1:13">
      <c r="A58">
        <v>57</v>
      </c>
      <c r="B58" t="s">
        <v>630</v>
      </c>
      <c r="C58" t="s">
        <v>631</v>
      </c>
      <c r="D58" t="s">
        <v>631</v>
      </c>
      <c r="E58" t="s">
        <v>72</v>
      </c>
      <c r="F58" t="s">
        <v>632</v>
      </c>
      <c r="G58" s="27" t="s">
        <v>1199</v>
      </c>
      <c r="H58" s="30">
        <v>7</v>
      </c>
      <c r="I58">
        <v>3144.14</v>
      </c>
      <c r="J58">
        <v>22008.98</v>
      </c>
      <c r="K58" t="s">
        <v>45</v>
      </c>
      <c r="L58">
        <v>20221223</v>
      </c>
      <c r="M58" t="s">
        <v>73</v>
      </c>
    </row>
    <row r="59" spans="1:13">
      <c r="A59">
        <v>58</v>
      </c>
      <c r="B59" t="s">
        <v>545</v>
      </c>
      <c r="C59" t="s">
        <v>546</v>
      </c>
      <c r="D59" t="s">
        <v>546</v>
      </c>
      <c r="E59" t="s">
        <v>72</v>
      </c>
      <c r="F59" t="s">
        <v>547</v>
      </c>
      <c r="G59" s="27" t="s">
        <v>1199</v>
      </c>
      <c r="H59" s="30">
        <v>4</v>
      </c>
      <c r="I59">
        <v>1547.03</v>
      </c>
      <c r="J59" s="54">
        <v>6188.12</v>
      </c>
      <c r="K59" t="s">
        <v>45</v>
      </c>
      <c r="L59">
        <v>20221223</v>
      </c>
      <c r="M59" t="s">
        <v>73</v>
      </c>
    </row>
    <row r="60" spans="1:13">
      <c r="A60">
        <v>59</v>
      </c>
      <c r="B60" t="s">
        <v>15</v>
      </c>
      <c r="C60">
        <v>500670</v>
      </c>
      <c r="D60" t="s">
        <v>15</v>
      </c>
      <c r="E60" t="s">
        <v>72</v>
      </c>
      <c r="F60" t="s">
        <v>87</v>
      </c>
      <c r="G60" s="27" t="s">
        <v>1199</v>
      </c>
      <c r="H60" s="30">
        <v>15</v>
      </c>
      <c r="I60">
        <v>537.88</v>
      </c>
      <c r="J60">
        <v>8068.2</v>
      </c>
      <c r="K60" t="s">
        <v>45</v>
      </c>
      <c r="L60">
        <v>20221223</v>
      </c>
      <c r="M60" t="s">
        <v>73</v>
      </c>
    </row>
    <row r="61" spans="1:13">
      <c r="A61">
        <v>60</v>
      </c>
      <c r="B61" t="s">
        <v>635</v>
      </c>
      <c r="C61" t="s">
        <v>633</v>
      </c>
      <c r="D61" t="s">
        <v>633</v>
      </c>
      <c r="E61" t="s">
        <v>72</v>
      </c>
      <c r="F61" t="s">
        <v>634</v>
      </c>
      <c r="G61" s="27" t="s">
        <v>1199</v>
      </c>
      <c r="H61" s="30">
        <v>5</v>
      </c>
      <c r="I61">
        <v>5483.35</v>
      </c>
      <c r="J61">
        <v>27416.75</v>
      </c>
      <c r="K61" t="s">
        <v>45</v>
      </c>
      <c r="L61">
        <v>20221223</v>
      </c>
      <c r="M61" t="s">
        <v>73</v>
      </c>
    </row>
    <row r="62" spans="1:13">
      <c r="A62">
        <v>61</v>
      </c>
      <c r="B62" t="s">
        <v>627</v>
      </c>
      <c r="C62" t="s">
        <v>683</v>
      </c>
      <c r="D62" t="s">
        <v>628</v>
      </c>
      <c r="E62" t="s">
        <v>72</v>
      </c>
      <c r="F62" t="s">
        <v>629</v>
      </c>
      <c r="G62" s="27" t="s">
        <v>1199</v>
      </c>
      <c r="H62" s="30">
        <v>28</v>
      </c>
      <c r="I62">
        <v>345.64</v>
      </c>
      <c r="J62">
        <v>9677.92</v>
      </c>
      <c r="K62" t="s">
        <v>45</v>
      </c>
      <c r="L62">
        <v>20221223</v>
      </c>
      <c r="M62" t="s">
        <v>73</v>
      </c>
    </row>
    <row r="63" spans="1:13">
      <c r="A63">
        <v>62</v>
      </c>
      <c r="B63" t="s">
        <v>15</v>
      </c>
      <c r="C63">
        <v>500670</v>
      </c>
      <c r="D63" t="s">
        <v>15</v>
      </c>
      <c r="E63" t="s">
        <v>72</v>
      </c>
      <c r="F63" t="s">
        <v>87</v>
      </c>
      <c r="G63" s="27" t="s">
        <v>1202</v>
      </c>
      <c r="H63" s="30">
        <v>10</v>
      </c>
      <c r="I63">
        <v>558.75</v>
      </c>
      <c r="J63">
        <v>5587.5</v>
      </c>
      <c r="K63" t="s">
        <v>45</v>
      </c>
      <c r="L63">
        <v>20221221</v>
      </c>
      <c r="M63" t="s">
        <v>73</v>
      </c>
    </row>
    <row r="64" spans="1:13">
      <c r="A64">
        <v>63</v>
      </c>
      <c r="B64" t="s">
        <v>635</v>
      </c>
      <c r="C64" t="s">
        <v>633</v>
      </c>
      <c r="D64" t="s">
        <v>633</v>
      </c>
      <c r="E64" t="s">
        <v>72</v>
      </c>
      <c r="F64" t="s">
        <v>634</v>
      </c>
      <c r="G64" s="27" t="s">
        <v>1202</v>
      </c>
      <c r="H64" s="30">
        <v>1</v>
      </c>
      <c r="I64">
        <v>5730.05</v>
      </c>
      <c r="J64">
        <v>5730.05</v>
      </c>
      <c r="K64" t="s">
        <v>45</v>
      </c>
      <c r="L64">
        <v>20221221</v>
      </c>
      <c r="M64" t="s">
        <v>73</v>
      </c>
    </row>
    <row r="65" spans="1:13">
      <c r="A65">
        <v>64</v>
      </c>
      <c r="B65" t="s">
        <v>533</v>
      </c>
      <c r="C65" t="s">
        <v>534</v>
      </c>
      <c r="D65" t="s">
        <v>534</v>
      </c>
      <c r="E65" t="s">
        <v>72</v>
      </c>
      <c r="F65" t="s">
        <v>535</v>
      </c>
      <c r="G65" s="27" t="s">
        <v>1202</v>
      </c>
      <c r="H65" s="30">
        <v>4</v>
      </c>
      <c r="I65">
        <v>2745.88</v>
      </c>
      <c r="J65">
        <v>10983.52</v>
      </c>
      <c r="K65" t="s">
        <v>45</v>
      </c>
      <c r="L65">
        <v>20221221</v>
      </c>
      <c r="M65" t="s">
        <v>73</v>
      </c>
    </row>
    <row r="66" spans="1:13">
      <c r="A66">
        <v>65</v>
      </c>
      <c r="B66" t="s">
        <v>512</v>
      </c>
      <c r="C66" t="s">
        <v>511</v>
      </c>
      <c r="D66" t="s">
        <v>511</v>
      </c>
      <c r="E66" t="s">
        <v>72</v>
      </c>
      <c r="F66" t="s">
        <v>513</v>
      </c>
      <c r="G66" s="27" t="s">
        <v>1204</v>
      </c>
      <c r="H66" s="30">
        <v>4</v>
      </c>
      <c r="I66">
        <v>3040.75</v>
      </c>
      <c r="J66">
        <v>12163</v>
      </c>
      <c r="K66" t="s">
        <v>45</v>
      </c>
      <c r="L66">
        <v>20221220</v>
      </c>
      <c r="M66" t="s">
        <v>73</v>
      </c>
    </row>
    <row r="67" spans="1:13">
      <c r="A67">
        <v>66</v>
      </c>
      <c r="B67" t="s">
        <v>803</v>
      </c>
      <c r="C67" t="s">
        <v>794</v>
      </c>
      <c r="D67" t="s">
        <v>794</v>
      </c>
      <c r="E67" t="s">
        <v>72</v>
      </c>
      <c r="F67" t="s">
        <v>804</v>
      </c>
      <c r="G67" s="27" t="s">
        <v>1204</v>
      </c>
      <c r="H67" s="30">
        <v>100</v>
      </c>
      <c r="I67">
        <v>300.10000000000002</v>
      </c>
      <c r="J67">
        <v>30010.000000000004</v>
      </c>
      <c r="K67" t="s">
        <v>45</v>
      </c>
      <c r="L67">
        <v>20221220</v>
      </c>
      <c r="M67" t="s">
        <v>73</v>
      </c>
    </row>
    <row r="68" spans="1:13">
      <c r="A68">
        <v>67</v>
      </c>
      <c r="B68" t="s">
        <v>746</v>
      </c>
      <c r="C68" t="s">
        <v>747</v>
      </c>
      <c r="D68" t="s">
        <v>747</v>
      </c>
      <c r="E68" t="s">
        <v>72</v>
      </c>
      <c r="F68" t="s">
        <v>748</v>
      </c>
      <c r="G68" s="27" t="s">
        <v>1204</v>
      </c>
      <c r="H68" s="30">
        <v>26</v>
      </c>
      <c r="I68">
        <v>377.18</v>
      </c>
      <c r="J68">
        <v>9806.68</v>
      </c>
      <c r="K68" t="s">
        <v>45</v>
      </c>
      <c r="L68">
        <v>20221220</v>
      </c>
      <c r="M68" t="s">
        <v>73</v>
      </c>
    </row>
    <row r="69" spans="1:13">
      <c r="A69">
        <v>68</v>
      </c>
      <c r="B69" t="s">
        <v>1084</v>
      </c>
      <c r="C69" t="s">
        <v>1084</v>
      </c>
      <c r="D69" t="s">
        <v>1084</v>
      </c>
      <c r="E69" t="s">
        <v>72</v>
      </c>
      <c r="F69" t="s">
        <v>1085</v>
      </c>
      <c r="G69" s="27" t="s">
        <v>1205</v>
      </c>
      <c r="H69" s="30">
        <v>4</v>
      </c>
      <c r="I69">
        <v>2299.6</v>
      </c>
      <c r="J69">
        <v>9198.4</v>
      </c>
      <c r="K69" t="s">
        <v>45</v>
      </c>
      <c r="L69">
        <v>20221219</v>
      </c>
      <c r="M69" t="s">
        <v>73</v>
      </c>
    </row>
    <row r="70" spans="1:13">
      <c r="A70">
        <v>69</v>
      </c>
      <c r="B70" t="s">
        <v>533</v>
      </c>
      <c r="C70" t="s">
        <v>534</v>
      </c>
      <c r="D70" t="s">
        <v>534</v>
      </c>
      <c r="E70" t="s">
        <v>72</v>
      </c>
      <c r="F70" t="s">
        <v>535</v>
      </c>
      <c r="G70" s="27" t="s">
        <v>1205</v>
      </c>
      <c r="H70" s="30">
        <v>3</v>
      </c>
      <c r="I70">
        <v>2760.5</v>
      </c>
      <c r="J70">
        <v>8281.5</v>
      </c>
      <c r="K70" t="s">
        <v>45</v>
      </c>
      <c r="L70">
        <v>20221219</v>
      </c>
      <c r="M70" t="s">
        <v>73</v>
      </c>
    </row>
    <row r="71" spans="1:13">
      <c r="A71">
        <v>70</v>
      </c>
      <c r="B71" t="s">
        <v>743</v>
      </c>
      <c r="C71" t="s">
        <v>744</v>
      </c>
      <c r="D71" t="s">
        <v>744</v>
      </c>
      <c r="E71" t="s">
        <v>72</v>
      </c>
      <c r="F71" t="s">
        <v>745</v>
      </c>
      <c r="G71" s="27" t="s">
        <v>1205</v>
      </c>
      <c r="H71" s="30">
        <v>20</v>
      </c>
      <c r="I71">
        <v>299.60000000000002</v>
      </c>
      <c r="J71">
        <v>5992</v>
      </c>
      <c r="K71" t="s">
        <v>45</v>
      </c>
      <c r="L71">
        <v>20221219</v>
      </c>
      <c r="M71" t="s">
        <v>73</v>
      </c>
    </row>
    <row r="72" spans="1:13">
      <c r="A72">
        <v>71</v>
      </c>
      <c r="B72" t="s">
        <v>627</v>
      </c>
      <c r="C72" t="s">
        <v>683</v>
      </c>
      <c r="D72" t="s">
        <v>628</v>
      </c>
      <c r="E72" t="s">
        <v>72</v>
      </c>
      <c r="F72" t="s">
        <v>629</v>
      </c>
      <c r="G72" s="27" t="s">
        <v>1203</v>
      </c>
      <c r="H72" s="30">
        <v>25</v>
      </c>
      <c r="I72">
        <v>367.55</v>
      </c>
      <c r="J72">
        <v>9188.75</v>
      </c>
      <c r="K72" t="s">
        <v>45</v>
      </c>
      <c r="L72">
        <v>20221216</v>
      </c>
      <c r="M72" t="s">
        <v>73</v>
      </c>
    </row>
    <row r="73" spans="1:13">
      <c r="A73">
        <v>72</v>
      </c>
      <c r="B73" t="s">
        <v>630</v>
      </c>
      <c r="C73" t="s">
        <v>631</v>
      </c>
      <c r="D73" t="s">
        <v>631</v>
      </c>
      <c r="E73" t="s">
        <v>72</v>
      </c>
      <c r="F73" t="s">
        <v>632</v>
      </c>
      <c r="G73" s="27" t="s">
        <v>1203</v>
      </c>
      <c r="H73" s="30">
        <v>4</v>
      </c>
      <c r="I73">
        <v>3272.75</v>
      </c>
      <c r="J73">
        <v>13091</v>
      </c>
      <c r="K73" t="s">
        <v>45</v>
      </c>
      <c r="L73">
        <v>20221216</v>
      </c>
      <c r="M73" t="s">
        <v>73</v>
      </c>
    </row>
    <row r="74" spans="1:13">
      <c r="A74">
        <v>73</v>
      </c>
      <c r="B74" t="s">
        <v>230</v>
      </c>
      <c r="C74" t="s">
        <v>117</v>
      </c>
      <c r="D74" t="s">
        <v>117</v>
      </c>
      <c r="E74" t="s">
        <v>72</v>
      </c>
      <c r="F74" t="s">
        <v>118</v>
      </c>
      <c r="G74" s="27" t="s">
        <v>1203</v>
      </c>
      <c r="H74" s="30">
        <v>50</v>
      </c>
      <c r="I74">
        <v>220.1</v>
      </c>
      <c r="J74">
        <v>11005</v>
      </c>
      <c r="K74" t="s">
        <v>45</v>
      </c>
      <c r="L74">
        <v>20221216</v>
      </c>
      <c r="M74" t="s">
        <v>73</v>
      </c>
    </row>
    <row r="75" spans="1:13">
      <c r="A75">
        <v>74</v>
      </c>
      <c r="B75" t="s">
        <v>31</v>
      </c>
      <c r="C75" t="s">
        <v>111</v>
      </c>
      <c r="D75" t="s">
        <v>111</v>
      </c>
      <c r="E75" t="s">
        <v>72</v>
      </c>
      <c r="F75" t="s">
        <v>112</v>
      </c>
      <c r="G75" s="27" t="s">
        <v>1203</v>
      </c>
      <c r="H75" s="30">
        <v>25</v>
      </c>
      <c r="I75">
        <v>141.25</v>
      </c>
      <c r="J75">
        <v>3531.25</v>
      </c>
      <c r="K75" t="s">
        <v>45</v>
      </c>
      <c r="L75">
        <v>20221216</v>
      </c>
      <c r="M75" t="s">
        <v>73</v>
      </c>
    </row>
    <row r="76" spans="1:13">
      <c r="A76">
        <v>75</v>
      </c>
      <c r="B76" t="s">
        <v>414</v>
      </c>
      <c r="C76" t="s">
        <v>414</v>
      </c>
      <c r="D76" t="s">
        <v>414</v>
      </c>
      <c r="E76" t="s">
        <v>72</v>
      </c>
      <c r="F76" t="s">
        <v>415</v>
      </c>
      <c r="G76" s="27" t="s">
        <v>1203</v>
      </c>
      <c r="H76" s="30">
        <v>25</v>
      </c>
      <c r="I76">
        <v>674.33</v>
      </c>
      <c r="J76">
        <v>16858.25</v>
      </c>
      <c r="K76" t="s">
        <v>45</v>
      </c>
      <c r="L76">
        <v>20221216</v>
      </c>
      <c r="M76" t="s">
        <v>73</v>
      </c>
    </row>
    <row r="77" spans="1:13">
      <c r="A77">
        <v>76</v>
      </c>
      <c r="B77" t="s">
        <v>29</v>
      </c>
      <c r="C77" t="s">
        <v>107</v>
      </c>
      <c r="D77" t="s">
        <v>107</v>
      </c>
      <c r="E77" t="s">
        <v>72</v>
      </c>
      <c r="F77" t="s">
        <v>108</v>
      </c>
      <c r="G77" s="27" t="s">
        <v>1203</v>
      </c>
      <c r="H77" s="30">
        <v>4</v>
      </c>
      <c r="I77">
        <v>2590.0500000000002</v>
      </c>
      <c r="J77">
        <v>10360.200000000001</v>
      </c>
      <c r="K77" t="s">
        <v>45</v>
      </c>
      <c r="L77">
        <v>20221216</v>
      </c>
      <c r="M77" t="s">
        <v>73</v>
      </c>
    </row>
    <row r="78" spans="1:13">
      <c r="A78">
        <v>77</v>
      </c>
      <c r="B78" t="s">
        <v>15</v>
      </c>
      <c r="C78">
        <v>500670</v>
      </c>
      <c r="D78" t="s">
        <v>15</v>
      </c>
      <c r="E78" t="s">
        <v>72</v>
      </c>
      <c r="F78" t="s">
        <v>87</v>
      </c>
      <c r="G78" s="27" t="s">
        <v>1203</v>
      </c>
      <c r="H78" s="30">
        <v>10</v>
      </c>
      <c r="I78">
        <v>587.5</v>
      </c>
      <c r="J78">
        <v>5875</v>
      </c>
      <c r="K78" t="s">
        <v>45</v>
      </c>
      <c r="L78">
        <v>20221216</v>
      </c>
      <c r="M78" t="s">
        <v>73</v>
      </c>
    </row>
    <row r="79" spans="1:13">
      <c r="A79">
        <v>78</v>
      </c>
      <c r="B79" t="s">
        <v>712</v>
      </c>
      <c r="C79" t="s">
        <v>713</v>
      </c>
      <c r="D79" t="s">
        <v>716</v>
      </c>
      <c r="E79" t="s">
        <v>72</v>
      </c>
      <c r="F79" t="s">
        <v>971</v>
      </c>
      <c r="G79" s="27" t="s">
        <v>1203</v>
      </c>
      <c r="H79" s="30">
        <v>8</v>
      </c>
      <c r="I79">
        <v>1103.19</v>
      </c>
      <c r="J79">
        <v>8825.52</v>
      </c>
      <c r="K79" t="s">
        <v>45</v>
      </c>
      <c r="L79">
        <v>20221216</v>
      </c>
      <c r="M79" t="s">
        <v>73</v>
      </c>
    </row>
    <row r="80" spans="1:13">
      <c r="A80">
        <v>79</v>
      </c>
      <c r="B80" t="s">
        <v>712</v>
      </c>
      <c r="C80" t="s">
        <v>713</v>
      </c>
      <c r="D80" t="s">
        <v>716</v>
      </c>
      <c r="E80" t="s">
        <v>72</v>
      </c>
      <c r="F80" t="s">
        <v>971</v>
      </c>
      <c r="G80" s="27" t="s">
        <v>1206</v>
      </c>
      <c r="H80" s="30">
        <v>10</v>
      </c>
      <c r="I80">
        <v>1152</v>
      </c>
      <c r="J80">
        <v>11520</v>
      </c>
      <c r="K80" t="s">
        <v>45</v>
      </c>
      <c r="L80">
        <v>20221215</v>
      </c>
      <c r="M80" t="s">
        <v>73</v>
      </c>
    </row>
    <row r="81" spans="1:13">
      <c r="A81">
        <v>80</v>
      </c>
      <c r="B81" t="s">
        <v>969</v>
      </c>
      <c r="C81" t="s">
        <v>970</v>
      </c>
      <c r="D81" t="s">
        <v>970</v>
      </c>
      <c r="E81" t="s">
        <v>72</v>
      </c>
      <c r="F81" t="s">
        <v>919</v>
      </c>
      <c r="G81" s="27" t="s">
        <v>1207</v>
      </c>
      <c r="H81" s="30">
        <v>8</v>
      </c>
      <c r="I81">
        <v>1161.28</v>
      </c>
      <c r="J81">
        <v>9290.24</v>
      </c>
      <c r="K81" t="s">
        <v>45</v>
      </c>
      <c r="L81">
        <v>20221214</v>
      </c>
      <c r="M81" t="s">
        <v>73</v>
      </c>
    </row>
    <row r="82" spans="1:13">
      <c r="A82">
        <v>81</v>
      </c>
      <c r="B82" t="s">
        <v>9</v>
      </c>
      <c r="C82" t="s">
        <v>75</v>
      </c>
      <c r="D82" t="s">
        <v>205</v>
      </c>
      <c r="E82" t="s">
        <v>76</v>
      </c>
      <c r="F82" t="s">
        <v>77</v>
      </c>
      <c r="G82" s="27" t="s">
        <v>1207</v>
      </c>
      <c r="H82" s="30">
        <v>9</v>
      </c>
      <c r="I82">
        <v>396.88</v>
      </c>
      <c r="J82" s="54">
        <v>3571.92</v>
      </c>
      <c r="K82" t="s">
        <v>45</v>
      </c>
      <c r="L82">
        <v>20221214</v>
      </c>
      <c r="M82" t="s">
        <v>73</v>
      </c>
    </row>
    <row r="83" spans="1:13">
      <c r="A83">
        <v>82</v>
      </c>
      <c r="B83" t="s">
        <v>894</v>
      </c>
      <c r="C83" t="s">
        <v>898</v>
      </c>
      <c r="D83" t="s">
        <v>898</v>
      </c>
      <c r="E83" t="s">
        <v>72</v>
      </c>
      <c r="F83" t="s">
        <v>899</v>
      </c>
      <c r="G83" s="27" t="s">
        <v>1208</v>
      </c>
      <c r="H83" s="30">
        <v>6</v>
      </c>
      <c r="I83">
        <v>3890.5</v>
      </c>
      <c r="J83" s="54">
        <v>23343</v>
      </c>
      <c r="K83" t="s">
        <v>45</v>
      </c>
      <c r="L83">
        <v>20221213</v>
      </c>
      <c r="M83" t="s">
        <v>73</v>
      </c>
    </row>
    <row r="84" spans="1:13">
      <c r="A84">
        <v>83</v>
      </c>
      <c r="B84" t="s">
        <v>1084</v>
      </c>
      <c r="C84" t="s">
        <v>1084</v>
      </c>
      <c r="D84" t="s">
        <v>1084</v>
      </c>
      <c r="E84" t="s">
        <v>72</v>
      </c>
      <c r="F84" t="s">
        <v>1085</v>
      </c>
      <c r="G84" s="27" t="s">
        <v>1208</v>
      </c>
      <c r="H84" s="30">
        <v>2</v>
      </c>
      <c r="I84">
        <v>2343.5</v>
      </c>
      <c r="J84">
        <v>4687</v>
      </c>
      <c r="K84" t="s">
        <v>45</v>
      </c>
      <c r="L84">
        <v>20221213</v>
      </c>
      <c r="M84" t="s">
        <v>73</v>
      </c>
    </row>
    <row r="85" spans="1:13">
      <c r="A85">
        <v>84</v>
      </c>
      <c r="B85" t="s">
        <v>20</v>
      </c>
      <c r="C85" t="s">
        <v>93</v>
      </c>
      <c r="D85" t="s">
        <v>210</v>
      </c>
      <c r="E85" t="s">
        <v>76</v>
      </c>
      <c r="F85" t="s">
        <v>95</v>
      </c>
      <c r="G85" s="27" t="s">
        <v>1193</v>
      </c>
      <c r="H85" s="30">
        <v>40</v>
      </c>
      <c r="I85">
        <v>173.03</v>
      </c>
      <c r="J85">
        <v>6921.2</v>
      </c>
      <c r="K85" t="s">
        <v>45</v>
      </c>
      <c r="L85">
        <v>20221209</v>
      </c>
      <c r="M85" t="s">
        <v>73</v>
      </c>
    </row>
    <row r="86" spans="1:13">
      <c r="A86">
        <v>85</v>
      </c>
      <c r="B86" t="s">
        <v>472</v>
      </c>
      <c r="C86" t="s">
        <v>468</v>
      </c>
      <c r="D86" t="s">
        <v>468</v>
      </c>
      <c r="E86" t="s">
        <v>72</v>
      </c>
      <c r="F86" t="s">
        <v>586</v>
      </c>
      <c r="G86" s="27" t="s">
        <v>1193</v>
      </c>
      <c r="H86" s="30">
        <v>8</v>
      </c>
      <c r="I86">
        <v>1552.5</v>
      </c>
      <c r="J86" s="54">
        <v>12420</v>
      </c>
      <c r="K86" t="s">
        <v>45</v>
      </c>
      <c r="L86">
        <v>20221209</v>
      </c>
      <c r="M86" t="s">
        <v>73</v>
      </c>
    </row>
    <row r="87" spans="1:13">
      <c r="A87">
        <v>86</v>
      </c>
      <c r="B87" t="s">
        <v>533</v>
      </c>
      <c r="C87" t="s">
        <v>534</v>
      </c>
      <c r="D87" t="s">
        <v>534</v>
      </c>
      <c r="E87" t="s">
        <v>72</v>
      </c>
      <c r="F87" t="s">
        <v>535</v>
      </c>
      <c r="G87" s="27" t="s">
        <v>1194</v>
      </c>
      <c r="H87" s="30">
        <v>2</v>
      </c>
      <c r="I87">
        <v>2795.25</v>
      </c>
      <c r="J87">
        <v>5590.5</v>
      </c>
      <c r="K87" t="s">
        <v>45</v>
      </c>
      <c r="L87">
        <v>20221208</v>
      </c>
      <c r="M87" t="s">
        <v>73</v>
      </c>
    </row>
    <row r="88" spans="1:13">
      <c r="A88">
        <v>87</v>
      </c>
      <c r="B88" t="s">
        <v>894</v>
      </c>
      <c r="C88" t="s">
        <v>898</v>
      </c>
      <c r="D88" t="s">
        <v>898</v>
      </c>
      <c r="E88" t="s">
        <v>72</v>
      </c>
      <c r="F88" t="s">
        <v>899</v>
      </c>
      <c r="G88" s="27" t="s">
        <v>1194</v>
      </c>
      <c r="H88" s="30">
        <v>1</v>
      </c>
      <c r="I88">
        <v>4101.5</v>
      </c>
      <c r="J88">
        <v>4101.5</v>
      </c>
      <c r="K88" t="s">
        <v>45</v>
      </c>
      <c r="L88">
        <v>20221208</v>
      </c>
      <c r="M88" t="s">
        <v>73</v>
      </c>
    </row>
    <row r="89" spans="1:13">
      <c r="A89">
        <v>88</v>
      </c>
      <c r="B89" t="s">
        <v>1183</v>
      </c>
      <c r="C89" t="s">
        <v>1184</v>
      </c>
      <c r="D89" t="s">
        <v>1184</v>
      </c>
      <c r="E89" t="s">
        <v>72</v>
      </c>
      <c r="F89" t="s">
        <v>1185</v>
      </c>
      <c r="G89" s="27" t="s">
        <v>1194</v>
      </c>
      <c r="H89" s="30">
        <v>30</v>
      </c>
      <c r="I89">
        <v>114.5</v>
      </c>
      <c r="J89">
        <v>3435</v>
      </c>
      <c r="K89" t="s">
        <v>45</v>
      </c>
      <c r="L89">
        <v>20221208</v>
      </c>
      <c r="M89" t="s">
        <v>73</v>
      </c>
    </row>
    <row r="90" spans="1:13">
      <c r="A90">
        <v>89</v>
      </c>
      <c r="B90" t="s">
        <v>936</v>
      </c>
      <c r="C90" t="s">
        <v>937</v>
      </c>
      <c r="D90" t="s">
        <v>937</v>
      </c>
      <c r="E90" t="s">
        <v>76</v>
      </c>
      <c r="F90" t="s">
        <v>938</v>
      </c>
      <c r="G90" s="27" t="s">
        <v>1194</v>
      </c>
      <c r="H90" s="30">
        <v>1</v>
      </c>
      <c r="I90">
        <v>8415</v>
      </c>
      <c r="J90">
        <v>8415</v>
      </c>
      <c r="K90" t="s">
        <v>45</v>
      </c>
      <c r="L90">
        <v>20221208</v>
      </c>
      <c r="M90" t="s">
        <v>73</v>
      </c>
    </row>
    <row r="91" spans="1:13">
      <c r="A91">
        <v>90</v>
      </c>
      <c r="B91" t="s">
        <v>194</v>
      </c>
      <c r="C91" t="s">
        <v>195</v>
      </c>
      <c r="D91" t="s">
        <v>195</v>
      </c>
      <c r="E91" t="s">
        <v>72</v>
      </c>
      <c r="F91" t="s">
        <v>1138</v>
      </c>
      <c r="G91" s="27" t="s">
        <v>1195</v>
      </c>
      <c r="H91" s="30">
        <v>22</v>
      </c>
      <c r="I91">
        <v>1603.89</v>
      </c>
      <c r="J91">
        <v>35285.58</v>
      </c>
      <c r="K91" t="s">
        <v>45</v>
      </c>
      <c r="L91">
        <v>20221207</v>
      </c>
      <c r="M91" t="s">
        <v>73</v>
      </c>
    </row>
    <row r="92" spans="1:13">
      <c r="A92">
        <v>91</v>
      </c>
      <c r="B92" t="s">
        <v>15</v>
      </c>
      <c r="C92">
        <v>500670</v>
      </c>
      <c r="D92" t="s">
        <v>15</v>
      </c>
      <c r="E92" t="s">
        <v>72</v>
      </c>
      <c r="F92" t="s">
        <v>87</v>
      </c>
      <c r="G92" s="27" t="s">
        <v>1195</v>
      </c>
      <c r="H92" s="30">
        <v>12</v>
      </c>
      <c r="I92">
        <v>593.04999999999995</v>
      </c>
      <c r="J92">
        <v>7116.5999999999995</v>
      </c>
      <c r="K92" t="s">
        <v>45</v>
      </c>
      <c r="L92">
        <v>20221207</v>
      </c>
      <c r="M92" t="s">
        <v>73</v>
      </c>
    </row>
    <row r="93" spans="1:13">
      <c r="A93">
        <v>92</v>
      </c>
      <c r="B93" t="s">
        <v>1176</v>
      </c>
      <c r="C93" t="s">
        <v>1176</v>
      </c>
      <c r="D93" t="s">
        <v>1176</v>
      </c>
      <c r="E93" t="s">
        <v>72</v>
      </c>
      <c r="F93" t="s">
        <v>1177</v>
      </c>
      <c r="G93" s="27" t="s">
        <v>1195</v>
      </c>
      <c r="H93" s="30">
        <v>50</v>
      </c>
      <c r="I93">
        <v>734</v>
      </c>
      <c r="J93">
        <v>36700</v>
      </c>
      <c r="K93" t="s">
        <v>45</v>
      </c>
      <c r="L93">
        <v>20221207</v>
      </c>
      <c r="M93" t="s">
        <v>73</v>
      </c>
    </row>
    <row r="94" spans="1:13">
      <c r="A94">
        <v>93</v>
      </c>
      <c r="B94" t="s">
        <v>1176</v>
      </c>
      <c r="C94" t="s">
        <v>1176</v>
      </c>
      <c r="D94" t="s">
        <v>1176</v>
      </c>
      <c r="E94" t="s">
        <v>72</v>
      </c>
      <c r="F94" t="s">
        <v>1177</v>
      </c>
      <c r="G94" s="27" t="s">
        <v>1196</v>
      </c>
      <c r="H94" s="30">
        <v>10</v>
      </c>
      <c r="I94">
        <v>737.15</v>
      </c>
      <c r="J94">
        <v>7371.5</v>
      </c>
      <c r="K94" t="s">
        <v>45</v>
      </c>
      <c r="L94">
        <v>20221206</v>
      </c>
      <c r="M94" t="s">
        <v>73</v>
      </c>
    </row>
    <row r="95" spans="1:13">
      <c r="A95">
        <v>94</v>
      </c>
      <c r="B95" t="s">
        <v>936</v>
      </c>
      <c r="C95" t="s">
        <v>937</v>
      </c>
      <c r="D95" t="s">
        <v>937</v>
      </c>
      <c r="E95" t="s">
        <v>76</v>
      </c>
      <c r="F95" t="s">
        <v>938</v>
      </c>
      <c r="G95" s="27" t="s">
        <v>1196</v>
      </c>
      <c r="H95" s="30">
        <v>1</v>
      </c>
      <c r="I95">
        <v>8528.0499999999993</v>
      </c>
      <c r="J95">
        <v>8528.0499999999993</v>
      </c>
      <c r="K95" t="s">
        <v>45</v>
      </c>
      <c r="L95">
        <v>20221206</v>
      </c>
      <c r="M95" t="s">
        <v>73</v>
      </c>
    </row>
    <row r="96" spans="1:13">
      <c r="A96">
        <v>95</v>
      </c>
      <c r="B96" t="s">
        <v>1175</v>
      </c>
      <c r="C96" t="s">
        <v>1175</v>
      </c>
      <c r="D96" t="s">
        <v>1175</v>
      </c>
      <c r="E96" t="s">
        <v>72</v>
      </c>
      <c r="F96" t="s">
        <v>1174</v>
      </c>
      <c r="G96" s="27" t="s">
        <v>1196</v>
      </c>
      <c r="H96" s="30">
        <v>3</v>
      </c>
      <c r="I96">
        <v>1230</v>
      </c>
      <c r="J96">
        <v>3690</v>
      </c>
      <c r="K96" t="s">
        <v>45</v>
      </c>
      <c r="L96">
        <v>20221206</v>
      </c>
      <c r="M96" t="s">
        <v>73</v>
      </c>
    </row>
    <row r="97" spans="1:13">
      <c r="A97">
        <v>96</v>
      </c>
      <c r="B97" t="s">
        <v>594</v>
      </c>
      <c r="C97" t="s">
        <v>595</v>
      </c>
      <c r="D97" t="s">
        <v>595</v>
      </c>
      <c r="E97" t="s">
        <v>72</v>
      </c>
      <c r="F97" t="s">
        <v>596</v>
      </c>
      <c r="G97" s="27" t="s">
        <v>1196</v>
      </c>
      <c r="H97" s="30">
        <v>50</v>
      </c>
      <c r="I97">
        <v>607.64</v>
      </c>
      <c r="J97">
        <v>30382</v>
      </c>
      <c r="K97" t="s">
        <v>45</v>
      </c>
      <c r="L97">
        <v>20221206</v>
      </c>
      <c r="M97" t="s">
        <v>73</v>
      </c>
    </row>
    <row r="98" spans="1:13">
      <c r="A98">
        <v>97</v>
      </c>
      <c r="B98" t="s">
        <v>881</v>
      </c>
      <c r="C98" t="s">
        <v>880</v>
      </c>
      <c r="D98" t="s">
        <v>880</v>
      </c>
      <c r="E98" t="s">
        <v>72</v>
      </c>
      <c r="F98" t="s">
        <v>882</v>
      </c>
      <c r="G98" s="27" t="s">
        <v>1196</v>
      </c>
      <c r="H98" s="30">
        <v>40</v>
      </c>
      <c r="I98">
        <v>471.81</v>
      </c>
      <c r="J98">
        <v>18872.400000000001</v>
      </c>
      <c r="K98" t="s">
        <v>45</v>
      </c>
      <c r="L98">
        <v>20221206</v>
      </c>
      <c r="M98" t="s">
        <v>73</v>
      </c>
    </row>
    <row r="99" spans="1:13">
      <c r="A99">
        <v>98</v>
      </c>
      <c r="B99" t="s">
        <v>483</v>
      </c>
      <c r="C99" t="s">
        <v>474</v>
      </c>
      <c r="D99" t="s">
        <v>473</v>
      </c>
      <c r="E99" t="s">
        <v>72</v>
      </c>
      <c r="F99" t="s">
        <v>587</v>
      </c>
      <c r="G99" s="27" t="s">
        <v>1196</v>
      </c>
      <c r="H99" s="30">
        <v>14</v>
      </c>
      <c r="I99">
        <v>1078.1500000000001</v>
      </c>
      <c r="J99">
        <v>15094.100000000002</v>
      </c>
      <c r="K99" t="s">
        <v>45</v>
      </c>
      <c r="L99">
        <v>20221206</v>
      </c>
      <c r="M99" t="s">
        <v>73</v>
      </c>
    </row>
    <row r="100" spans="1:13">
      <c r="A100">
        <v>99</v>
      </c>
      <c r="B100" t="s">
        <v>15</v>
      </c>
      <c r="C100">
        <v>500670</v>
      </c>
      <c r="D100" t="s">
        <v>15</v>
      </c>
      <c r="E100" t="s">
        <v>72</v>
      </c>
      <c r="F100" t="s">
        <v>87</v>
      </c>
      <c r="G100" s="27" t="s">
        <v>1196</v>
      </c>
      <c r="H100" s="30">
        <v>100</v>
      </c>
      <c r="I100">
        <v>597.85</v>
      </c>
      <c r="J100">
        <v>59785</v>
      </c>
      <c r="K100" t="s">
        <v>45</v>
      </c>
      <c r="L100">
        <v>20221206</v>
      </c>
      <c r="M100" t="s">
        <v>73</v>
      </c>
    </row>
    <row r="101" spans="1:13">
      <c r="A101">
        <v>100</v>
      </c>
      <c r="B101" t="s">
        <v>1183</v>
      </c>
      <c r="C101" t="s">
        <v>1184</v>
      </c>
      <c r="D101" t="s">
        <v>1184</v>
      </c>
      <c r="E101" t="s">
        <v>72</v>
      </c>
      <c r="F101" t="s">
        <v>1185</v>
      </c>
      <c r="G101" s="27" t="s">
        <v>1196</v>
      </c>
      <c r="H101" s="30">
        <v>100</v>
      </c>
      <c r="I101">
        <v>110.9</v>
      </c>
      <c r="J101">
        <v>11090</v>
      </c>
      <c r="K101" t="s">
        <v>45</v>
      </c>
      <c r="L101">
        <v>20221206</v>
      </c>
      <c r="M101" t="s">
        <v>73</v>
      </c>
    </row>
    <row r="102" spans="1:13">
      <c r="A102">
        <v>101</v>
      </c>
      <c r="B102" t="s">
        <v>1176</v>
      </c>
      <c r="C102" t="s">
        <v>1176</v>
      </c>
      <c r="D102" t="s">
        <v>1176</v>
      </c>
      <c r="E102" t="s">
        <v>72</v>
      </c>
      <c r="F102" t="s">
        <v>1177</v>
      </c>
      <c r="G102" s="27" t="s">
        <v>1197</v>
      </c>
      <c r="H102" s="30">
        <v>10</v>
      </c>
      <c r="I102">
        <v>740.45</v>
      </c>
      <c r="J102">
        <v>7404.5</v>
      </c>
      <c r="K102" t="s">
        <v>45</v>
      </c>
      <c r="L102">
        <v>20221205</v>
      </c>
      <c r="M102" t="s">
        <v>73</v>
      </c>
    </row>
    <row r="103" spans="1:13">
      <c r="A103">
        <v>102</v>
      </c>
      <c r="B103" t="s">
        <v>1183</v>
      </c>
      <c r="C103" t="s">
        <v>1184</v>
      </c>
      <c r="D103" t="s">
        <v>1184</v>
      </c>
      <c r="E103" t="s">
        <v>72</v>
      </c>
      <c r="F103" t="s">
        <v>1185</v>
      </c>
      <c r="G103" s="27" t="s">
        <v>1186</v>
      </c>
      <c r="H103" s="30">
        <v>50</v>
      </c>
      <c r="I103">
        <v>110.7</v>
      </c>
      <c r="J103">
        <v>5535</v>
      </c>
      <c r="K103" t="s">
        <v>45</v>
      </c>
      <c r="L103">
        <v>20221201</v>
      </c>
      <c r="M103" t="s">
        <v>73</v>
      </c>
    </row>
    <row r="104" spans="1:13">
      <c r="A104">
        <v>103</v>
      </c>
      <c r="B104" t="s">
        <v>697</v>
      </c>
      <c r="C104" t="s">
        <v>698</v>
      </c>
      <c r="D104" t="s">
        <v>698</v>
      </c>
      <c r="E104" t="s">
        <v>72</v>
      </c>
      <c r="F104" t="s">
        <v>699</v>
      </c>
      <c r="G104" s="27" t="s">
        <v>1187</v>
      </c>
      <c r="H104" s="30">
        <v>65</v>
      </c>
      <c r="I104">
        <v>454.35</v>
      </c>
      <c r="J104">
        <v>29532.75</v>
      </c>
      <c r="K104" t="s">
        <v>45</v>
      </c>
      <c r="L104">
        <v>20221130</v>
      </c>
      <c r="M104" t="s">
        <v>73</v>
      </c>
    </row>
    <row r="105" spans="1:13">
      <c r="A105">
        <v>104</v>
      </c>
      <c r="B105" t="s">
        <v>566</v>
      </c>
      <c r="C105" t="s">
        <v>567</v>
      </c>
      <c r="D105" t="s">
        <v>567</v>
      </c>
      <c r="E105" t="s">
        <v>72</v>
      </c>
      <c r="F105" t="s">
        <v>585</v>
      </c>
      <c r="G105" s="27" t="s">
        <v>1187</v>
      </c>
      <c r="H105" s="30">
        <v>30</v>
      </c>
      <c r="I105">
        <v>492.3</v>
      </c>
      <c r="J105">
        <v>14769</v>
      </c>
      <c r="K105" t="s">
        <v>45</v>
      </c>
      <c r="L105">
        <v>20221130</v>
      </c>
      <c r="M105" t="s">
        <v>73</v>
      </c>
    </row>
    <row r="106" spans="1:13">
      <c r="A106">
        <v>105</v>
      </c>
      <c r="B106" t="s">
        <v>689</v>
      </c>
      <c r="C106" t="s">
        <v>690</v>
      </c>
      <c r="D106" t="s">
        <v>690</v>
      </c>
      <c r="E106" t="s">
        <v>72</v>
      </c>
      <c r="F106" t="s">
        <v>691</v>
      </c>
      <c r="G106" s="27" t="s">
        <v>1188</v>
      </c>
      <c r="H106" s="30">
        <v>9</v>
      </c>
      <c r="I106">
        <v>2769.36</v>
      </c>
      <c r="J106">
        <v>24924.240000000002</v>
      </c>
      <c r="K106" t="s">
        <v>45</v>
      </c>
      <c r="L106">
        <v>20221129</v>
      </c>
      <c r="M106" t="s">
        <v>73</v>
      </c>
    </row>
    <row r="107" spans="1:13">
      <c r="A107">
        <v>106</v>
      </c>
      <c r="B107" t="s">
        <v>740</v>
      </c>
      <c r="C107" t="s">
        <v>740</v>
      </c>
      <c r="D107" t="s">
        <v>740</v>
      </c>
      <c r="E107" t="s">
        <v>72</v>
      </c>
      <c r="F107" t="s">
        <v>741</v>
      </c>
      <c r="G107" s="27" t="s">
        <v>1188</v>
      </c>
      <c r="H107" s="30">
        <v>2</v>
      </c>
      <c r="I107">
        <v>288.10000000000002</v>
      </c>
      <c r="J107">
        <v>576.20000000000005</v>
      </c>
      <c r="K107" t="s">
        <v>45</v>
      </c>
      <c r="L107">
        <v>20221129</v>
      </c>
      <c r="M107" t="s">
        <v>73</v>
      </c>
    </row>
    <row r="108" spans="1:13">
      <c r="A108">
        <v>107</v>
      </c>
      <c r="B108" t="s">
        <v>1183</v>
      </c>
      <c r="C108" t="s">
        <v>1184</v>
      </c>
      <c r="D108" t="s">
        <v>1184</v>
      </c>
      <c r="E108" t="s">
        <v>72</v>
      </c>
      <c r="F108" t="s">
        <v>1185</v>
      </c>
      <c r="G108" s="27" t="s">
        <v>1188</v>
      </c>
      <c r="H108" s="30">
        <v>500</v>
      </c>
      <c r="I108">
        <v>110.12</v>
      </c>
      <c r="J108">
        <v>55060</v>
      </c>
      <c r="K108" t="s">
        <v>45</v>
      </c>
      <c r="L108">
        <v>20221129</v>
      </c>
      <c r="M108" t="s">
        <v>73</v>
      </c>
    </row>
    <row r="109" spans="1:13">
      <c r="A109">
        <v>108</v>
      </c>
      <c r="B109" t="s">
        <v>1176</v>
      </c>
      <c r="C109" t="s">
        <v>1176</v>
      </c>
      <c r="D109" t="s">
        <v>1176</v>
      </c>
      <c r="E109" t="s">
        <v>72</v>
      </c>
      <c r="F109" t="s">
        <v>1177</v>
      </c>
      <c r="G109" s="27" t="s">
        <v>1188</v>
      </c>
      <c r="H109" s="30">
        <v>15</v>
      </c>
      <c r="I109">
        <v>718</v>
      </c>
      <c r="J109" s="54">
        <v>10770</v>
      </c>
      <c r="K109" t="s">
        <v>45</v>
      </c>
      <c r="L109">
        <v>20221129</v>
      </c>
      <c r="M109" t="s">
        <v>73</v>
      </c>
    </row>
    <row r="110" spans="1:13">
      <c r="A110">
        <v>109</v>
      </c>
      <c r="B110" t="s">
        <v>746</v>
      </c>
      <c r="C110" t="s">
        <v>747</v>
      </c>
      <c r="D110" t="s">
        <v>747</v>
      </c>
      <c r="E110" t="s">
        <v>72</v>
      </c>
      <c r="F110" t="s">
        <v>748</v>
      </c>
      <c r="G110" s="27" t="s">
        <v>1188</v>
      </c>
      <c r="H110" s="30">
        <v>60</v>
      </c>
      <c r="I110">
        <v>421.37</v>
      </c>
      <c r="J110">
        <v>25282.2</v>
      </c>
      <c r="K110" t="s">
        <v>45</v>
      </c>
      <c r="L110">
        <v>20221129</v>
      </c>
      <c r="M110" t="s">
        <v>73</v>
      </c>
    </row>
    <row r="111" spans="1:13">
      <c r="A111">
        <v>110</v>
      </c>
      <c r="B111" t="s">
        <v>194</v>
      </c>
      <c r="C111" t="s">
        <v>195</v>
      </c>
      <c r="D111" t="s">
        <v>195</v>
      </c>
      <c r="E111" t="s">
        <v>72</v>
      </c>
      <c r="F111" t="s">
        <v>1138</v>
      </c>
      <c r="G111" s="27" t="s">
        <v>1189</v>
      </c>
      <c r="H111" s="30">
        <v>4</v>
      </c>
      <c r="I111">
        <v>1660.45</v>
      </c>
      <c r="J111">
        <v>6641.8</v>
      </c>
      <c r="K111" t="s">
        <v>45</v>
      </c>
      <c r="L111">
        <v>20221128</v>
      </c>
      <c r="M111" t="s">
        <v>73</v>
      </c>
    </row>
    <row r="112" spans="1:13">
      <c r="A112">
        <v>111</v>
      </c>
      <c r="B112" t="s">
        <v>1084</v>
      </c>
      <c r="C112" t="s">
        <v>1084</v>
      </c>
      <c r="D112" t="s">
        <v>1084</v>
      </c>
      <c r="E112" t="s">
        <v>72</v>
      </c>
      <c r="F112" t="s">
        <v>1085</v>
      </c>
      <c r="G112" s="27" t="s">
        <v>1180</v>
      </c>
      <c r="H112" s="30">
        <v>1</v>
      </c>
      <c r="I112">
        <v>2256.4</v>
      </c>
      <c r="J112">
        <v>2256.4</v>
      </c>
      <c r="K112" t="s">
        <v>45</v>
      </c>
      <c r="L112">
        <v>20221122</v>
      </c>
      <c r="M112" t="s">
        <v>73</v>
      </c>
    </row>
    <row r="113" spans="1:13">
      <c r="A113">
        <v>112</v>
      </c>
      <c r="B113" t="s">
        <v>969</v>
      </c>
      <c r="C113" t="s">
        <v>970</v>
      </c>
      <c r="D113" t="s">
        <v>970</v>
      </c>
      <c r="E113" t="s">
        <v>72</v>
      </c>
      <c r="F113" t="s">
        <v>919</v>
      </c>
      <c r="G113" s="27" t="s">
        <v>1182</v>
      </c>
      <c r="H113" s="30">
        <v>20</v>
      </c>
      <c r="I113">
        <v>1219.75</v>
      </c>
      <c r="J113">
        <v>24395</v>
      </c>
      <c r="K113" t="s">
        <v>45</v>
      </c>
      <c r="L113">
        <v>20221118</v>
      </c>
      <c r="M113" t="s">
        <v>73</v>
      </c>
    </row>
    <row r="114" spans="1:13">
      <c r="A114">
        <v>113</v>
      </c>
      <c r="B114" t="s">
        <v>966</v>
      </c>
      <c r="C114" t="s">
        <v>967</v>
      </c>
      <c r="D114" t="s">
        <v>967</v>
      </c>
      <c r="E114" t="s">
        <v>72</v>
      </c>
      <c r="F114" t="s">
        <v>968</v>
      </c>
      <c r="G114" s="27" t="s">
        <v>1182</v>
      </c>
      <c r="H114" s="30">
        <v>9</v>
      </c>
      <c r="I114">
        <v>742.4</v>
      </c>
      <c r="J114">
        <v>6681.5999999999995</v>
      </c>
      <c r="K114" t="s">
        <v>45</v>
      </c>
      <c r="L114">
        <v>20221118</v>
      </c>
      <c r="M114" t="s">
        <v>73</v>
      </c>
    </row>
    <row r="115" spans="1:13">
      <c r="A115">
        <v>114</v>
      </c>
      <c r="B115" t="s">
        <v>37</v>
      </c>
      <c r="C115" t="s">
        <v>119</v>
      </c>
      <c r="D115" t="s">
        <v>216</v>
      </c>
      <c r="E115" t="s">
        <v>76</v>
      </c>
      <c r="F115" t="s">
        <v>120</v>
      </c>
      <c r="G115" s="27" t="s">
        <v>1182</v>
      </c>
      <c r="H115" s="30">
        <v>30</v>
      </c>
      <c r="I115">
        <v>127</v>
      </c>
      <c r="J115">
        <v>3810</v>
      </c>
      <c r="K115" t="s">
        <v>45</v>
      </c>
      <c r="L115">
        <v>20221118</v>
      </c>
      <c r="M115" t="s">
        <v>73</v>
      </c>
    </row>
    <row r="116" spans="1:13">
      <c r="A116">
        <v>115</v>
      </c>
      <c r="B116" t="s">
        <v>1175</v>
      </c>
      <c r="C116" t="s">
        <v>1175</v>
      </c>
      <c r="D116" t="s">
        <v>1175</v>
      </c>
      <c r="F116" t="s">
        <v>1174</v>
      </c>
      <c r="G116" s="27" t="s">
        <v>1179</v>
      </c>
      <c r="H116" s="30">
        <v>90</v>
      </c>
      <c r="I116">
        <v>1218.47</v>
      </c>
      <c r="J116">
        <v>109662.3</v>
      </c>
      <c r="K116" t="s">
        <v>45</v>
      </c>
      <c r="L116">
        <v>20221124</v>
      </c>
      <c r="M116" t="s">
        <v>73</v>
      </c>
    </row>
    <row r="117" spans="1:13">
      <c r="A117">
        <v>116</v>
      </c>
      <c r="B117" t="s">
        <v>1176</v>
      </c>
      <c r="C117" t="s">
        <v>1176</v>
      </c>
      <c r="D117" t="s">
        <v>1176</v>
      </c>
      <c r="E117" t="s">
        <v>72</v>
      </c>
      <c r="F117" t="s">
        <v>1177</v>
      </c>
      <c r="G117" s="27" t="s">
        <v>1179</v>
      </c>
      <c r="H117" s="30">
        <v>65</v>
      </c>
      <c r="I117">
        <v>721.13</v>
      </c>
      <c r="J117">
        <v>46873.45</v>
      </c>
      <c r="K117" t="s">
        <v>45</v>
      </c>
      <c r="L117">
        <v>20221124</v>
      </c>
      <c r="M117" t="s">
        <v>73</v>
      </c>
    </row>
    <row r="118" spans="1:13">
      <c r="A118">
        <v>117</v>
      </c>
      <c r="B118" t="s">
        <v>1172</v>
      </c>
      <c r="C118" t="s">
        <v>1172</v>
      </c>
      <c r="D118" t="s">
        <v>1172</v>
      </c>
      <c r="E118" t="s">
        <v>72</v>
      </c>
      <c r="F118" t="s">
        <v>1173</v>
      </c>
      <c r="G118" s="27" t="s">
        <v>1181</v>
      </c>
      <c r="H118" s="30">
        <v>50</v>
      </c>
      <c r="I118">
        <v>2261.25</v>
      </c>
      <c r="J118">
        <v>113062.5</v>
      </c>
      <c r="K118" t="s">
        <v>45</v>
      </c>
      <c r="L118">
        <v>20221123</v>
      </c>
      <c r="M118" t="s">
        <v>73</v>
      </c>
    </row>
    <row r="119" spans="1:13">
      <c r="A119">
        <v>118</v>
      </c>
      <c r="B119" t="s">
        <v>627</v>
      </c>
      <c r="C119" t="s">
        <v>683</v>
      </c>
      <c r="D119" t="s">
        <v>628</v>
      </c>
      <c r="E119" t="s">
        <v>72</v>
      </c>
      <c r="F119" t="s">
        <v>629</v>
      </c>
      <c r="G119" s="27" t="s">
        <v>1180</v>
      </c>
      <c r="H119" s="30">
        <v>70</v>
      </c>
      <c r="I119">
        <v>390.21</v>
      </c>
      <c r="J119">
        <v>27314.699999999997</v>
      </c>
      <c r="K119" t="s">
        <v>45</v>
      </c>
      <c r="L119">
        <v>20221122</v>
      </c>
      <c r="M119" t="s">
        <v>73</v>
      </c>
    </row>
    <row r="120" spans="1:13">
      <c r="A120">
        <v>119</v>
      </c>
      <c r="B120" t="s">
        <v>671</v>
      </c>
      <c r="C120" t="s">
        <v>672</v>
      </c>
      <c r="D120" t="s">
        <v>672</v>
      </c>
      <c r="E120" t="s">
        <v>72</v>
      </c>
      <c r="F120" t="s">
        <v>673</v>
      </c>
      <c r="G120" s="27" t="s">
        <v>1180</v>
      </c>
      <c r="H120" s="30">
        <v>5</v>
      </c>
      <c r="I120">
        <v>6705.28</v>
      </c>
      <c r="J120">
        <v>33526.400000000001</v>
      </c>
      <c r="K120" t="s">
        <v>45</v>
      </c>
      <c r="L120">
        <v>20221122</v>
      </c>
      <c r="M120" t="s">
        <v>73</v>
      </c>
    </row>
    <row r="121" spans="1:13">
      <c r="A121">
        <v>120</v>
      </c>
      <c r="B121" t="s">
        <v>1084</v>
      </c>
      <c r="C121" t="s">
        <v>1084</v>
      </c>
      <c r="D121" t="s">
        <v>1084</v>
      </c>
      <c r="E121" t="s">
        <v>72</v>
      </c>
      <c r="F121" t="s">
        <v>1085</v>
      </c>
      <c r="G121" s="27" t="s">
        <v>1180</v>
      </c>
      <c r="H121" s="30">
        <v>13</v>
      </c>
      <c r="I121">
        <v>2256.4</v>
      </c>
      <c r="J121">
        <v>29333.200000000001</v>
      </c>
      <c r="K121" t="s">
        <v>45</v>
      </c>
      <c r="L121">
        <v>20221122</v>
      </c>
      <c r="M121" t="s">
        <v>73</v>
      </c>
    </row>
    <row r="122" spans="1:13">
      <c r="A122">
        <v>121</v>
      </c>
      <c r="B122" t="s">
        <v>13</v>
      </c>
      <c r="C122" t="s">
        <v>83</v>
      </c>
      <c r="D122" t="s">
        <v>246</v>
      </c>
      <c r="E122" t="s">
        <v>76</v>
      </c>
      <c r="F122" t="s">
        <v>84</v>
      </c>
      <c r="G122" s="27" t="s">
        <v>1180</v>
      </c>
      <c r="H122" s="30">
        <v>10</v>
      </c>
      <c r="I122">
        <v>1207.0999999999999</v>
      </c>
      <c r="J122">
        <v>12071</v>
      </c>
      <c r="K122" t="s">
        <v>45</v>
      </c>
      <c r="L122">
        <v>20221122</v>
      </c>
      <c r="M122" t="s">
        <v>73</v>
      </c>
    </row>
    <row r="123" spans="1:13">
      <c r="A123">
        <v>122</v>
      </c>
      <c r="B123" t="s">
        <v>194</v>
      </c>
      <c r="C123" t="s">
        <v>195</v>
      </c>
      <c r="D123" t="s">
        <v>195</v>
      </c>
      <c r="E123" t="s">
        <v>72</v>
      </c>
      <c r="F123" t="s">
        <v>1138</v>
      </c>
      <c r="G123" s="27" t="s">
        <v>1180</v>
      </c>
      <c r="H123" s="30">
        <v>10</v>
      </c>
      <c r="I123">
        <v>1645.9</v>
      </c>
      <c r="J123">
        <v>16459</v>
      </c>
      <c r="K123" t="s">
        <v>45</v>
      </c>
      <c r="L123">
        <v>20221122</v>
      </c>
      <c r="M123" t="s">
        <v>73</v>
      </c>
    </row>
    <row r="124" spans="1:13">
      <c r="A124">
        <v>123</v>
      </c>
      <c r="B124" t="s">
        <v>936</v>
      </c>
      <c r="C124" t="s">
        <v>937</v>
      </c>
      <c r="D124" t="s">
        <v>937</v>
      </c>
      <c r="E124" t="s">
        <v>76</v>
      </c>
      <c r="F124" t="s">
        <v>938</v>
      </c>
      <c r="G124" s="27" t="s">
        <v>1152</v>
      </c>
      <c r="H124" s="30">
        <v>2</v>
      </c>
      <c r="I124">
        <v>8845.5</v>
      </c>
      <c r="J124">
        <v>17691</v>
      </c>
      <c r="K124" t="s">
        <v>45</v>
      </c>
      <c r="L124">
        <v>20221114</v>
      </c>
      <c r="M124" t="s">
        <v>73</v>
      </c>
    </row>
    <row r="125" spans="1:13">
      <c r="A125">
        <v>124</v>
      </c>
      <c r="B125" t="s">
        <v>530</v>
      </c>
      <c r="C125" t="s">
        <v>531</v>
      </c>
      <c r="D125" t="s">
        <v>531</v>
      </c>
      <c r="E125" t="s">
        <v>72</v>
      </c>
      <c r="F125" t="s">
        <v>532</v>
      </c>
      <c r="G125" s="27" t="s">
        <v>1153</v>
      </c>
      <c r="H125" s="30">
        <v>47</v>
      </c>
      <c r="I125">
        <v>493.58</v>
      </c>
      <c r="J125">
        <v>23198.26</v>
      </c>
      <c r="K125" t="s">
        <v>45</v>
      </c>
      <c r="L125">
        <v>20221111</v>
      </c>
      <c r="M125" t="s">
        <v>73</v>
      </c>
    </row>
    <row r="126" spans="1:13">
      <c r="A126">
        <v>125</v>
      </c>
      <c r="B126" t="s">
        <v>230</v>
      </c>
      <c r="C126" t="s">
        <v>117</v>
      </c>
      <c r="D126" t="s">
        <v>117</v>
      </c>
      <c r="E126" t="s">
        <v>72</v>
      </c>
      <c r="F126" t="s">
        <v>118</v>
      </c>
      <c r="G126" s="27" t="s">
        <v>1154</v>
      </c>
      <c r="H126" s="30">
        <v>73</v>
      </c>
      <c r="I126">
        <v>223.62</v>
      </c>
      <c r="J126">
        <v>16324.26</v>
      </c>
      <c r="K126" t="s">
        <v>45</v>
      </c>
      <c r="L126">
        <v>20221110</v>
      </c>
      <c r="M126" t="s">
        <v>73</v>
      </c>
    </row>
    <row r="127" spans="1:13">
      <c r="A127">
        <v>126</v>
      </c>
      <c r="B127" t="s">
        <v>668</v>
      </c>
      <c r="C127" t="s">
        <v>669</v>
      </c>
      <c r="D127" t="s">
        <v>669</v>
      </c>
      <c r="E127" t="s">
        <v>72</v>
      </c>
      <c r="F127" t="s">
        <v>670</v>
      </c>
      <c r="G127" s="27" t="s">
        <v>1155</v>
      </c>
      <c r="H127" s="30">
        <v>6</v>
      </c>
      <c r="I127">
        <v>3292.5</v>
      </c>
      <c r="J127">
        <v>19755</v>
      </c>
      <c r="K127" t="s">
        <v>45</v>
      </c>
      <c r="L127">
        <v>20221109</v>
      </c>
      <c r="M127" t="s">
        <v>73</v>
      </c>
    </row>
    <row r="128" spans="1:13">
      <c r="A128">
        <v>127</v>
      </c>
      <c r="B128" t="s">
        <v>635</v>
      </c>
      <c r="C128" t="s">
        <v>633</v>
      </c>
      <c r="D128" t="s">
        <v>633</v>
      </c>
      <c r="E128" t="s">
        <v>72</v>
      </c>
      <c r="F128" t="s">
        <v>634</v>
      </c>
      <c r="G128" s="27" t="s">
        <v>1155</v>
      </c>
      <c r="H128" s="30">
        <v>4</v>
      </c>
      <c r="I128">
        <v>5826.5</v>
      </c>
      <c r="J128">
        <v>23306</v>
      </c>
      <c r="K128" t="s">
        <v>45</v>
      </c>
      <c r="L128">
        <v>20221109</v>
      </c>
      <c r="M128" t="s">
        <v>73</v>
      </c>
    </row>
    <row r="129" spans="1:13">
      <c r="A129">
        <v>128</v>
      </c>
      <c r="B129" t="s">
        <v>925</v>
      </c>
      <c r="C129" t="s">
        <v>926</v>
      </c>
      <c r="D129" t="s">
        <v>926</v>
      </c>
      <c r="E129" t="s">
        <v>72</v>
      </c>
      <c r="F129" t="s">
        <v>927</v>
      </c>
      <c r="G129" s="27" t="s">
        <v>1156</v>
      </c>
      <c r="H129" s="30">
        <v>45</v>
      </c>
      <c r="I129">
        <v>712.1</v>
      </c>
      <c r="J129">
        <v>32044.5</v>
      </c>
      <c r="K129" t="s">
        <v>45</v>
      </c>
      <c r="L129">
        <v>20221107</v>
      </c>
      <c r="M129" t="s">
        <v>73</v>
      </c>
    </row>
    <row r="130" spans="1:13">
      <c r="A130">
        <v>129</v>
      </c>
      <c r="B130" t="s">
        <v>668</v>
      </c>
      <c r="C130" t="s">
        <v>669</v>
      </c>
      <c r="D130" t="s">
        <v>669</v>
      </c>
      <c r="E130" t="s">
        <v>72</v>
      </c>
      <c r="F130" t="s">
        <v>670</v>
      </c>
      <c r="G130" s="27" t="s">
        <v>1156</v>
      </c>
      <c r="H130" s="30">
        <v>4</v>
      </c>
      <c r="I130">
        <v>3453.1</v>
      </c>
      <c r="J130">
        <v>13812.4</v>
      </c>
      <c r="K130" t="s">
        <v>45</v>
      </c>
      <c r="L130">
        <v>20221107</v>
      </c>
      <c r="M130" t="s">
        <v>73</v>
      </c>
    </row>
    <row r="131" spans="1:13">
      <c r="A131">
        <v>130</v>
      </c>
      <c r="B131" t="s">
        <v>635</v>
      </c>
      <c r="C131" t="s">
        <v>633</v>
      </c>
      <c r="D131" t="s">
        <v>633</v>
      </c>
      <c r="E131" t="s">
        <v>72</v>
      </c>
      <c r="F131" t="s">
        <v>634</v>
      </c>
      <c r="G131" s="27" t="s">
        <v>1156</v>
      </c>
      <c r="H131" s="30">
        <v>3</v>
      </c>
      <c r="I131">
        <v>5899</v>
      </c>
      <c r="J131">
        <v>17697</v>
      </c>
      <c r="K131" t="s">
        <v>45</v>
      </c>
      <c r="L131">
        <v>20221107</v>
      </c>
      <c r="M131" t="s">
        <v>73</v>
      </c>
    </row>
    <row r="132" spans="1:13">
      <c r="A132">
        <v>131</v>
      </c>
      <c r="B132" t="s">
        <v>1084</v>
      </c>
      <c r="C132" t="s">
        <v>1084</v>
      </c>
      <c r="D132" t="s">
        <v>1084</v>
      </c>
      <c r="E132" t="s">
        <v>72</v>
      </c>
      <c r="F132" t="s">
        <v>1085</v>
      </c>
      <c r="G132" s="27" t="s">
        <v>1142</v>
      </c>
      <c r="H132" s="30">
        <v>4</v>
      </c>
      <c r="I132">
        <v>2464.4</v>
      </c>
      <c r="J132">
        <v>9857.6</v>
      </c>
      <c r="K132" t="s">
        <v>45</v>
      </c>
      <c r="L132">
        <v>20221104</v>
      </c>
      <c r="M132" t="s">
        <v>73</v>
      </c>
    </row>
    <row r="133" spans="1:13">
      <c r="A133">
        <v>132</v>
      </c>
      <c r="B133" t="s">
        <v>712</v>
      </c>
      <c r="C133" t="s">
        <v>713</v>
      </c>
      <c r="D133" t="s">
        <v>716</v>
      </c>
      <c r="E133" t="s">
        <v>72</v>
      </c>
      <c r="F133" t="s">
        <v>971</v>
      </c>
      <c r="G133" s="27" t="s">
        <v>1142</v>
      </c>
      <c r="H133" s="30">
        <v>4</v>
      </c>
      <c r="I133">
        <v>1145.58</v>
      </c>
      <c r="J133">
        <v>4582.32</v>
      </c>
      <c r="K133" t="s">
        <v>45</v>
      </c>
      <c r="L133">
        <v>20221104</v>
      </c>
      <c r="M133" t="s">
        <v>73</v>
      </c>
    </row>
    <row r="134" spans="1:13">
      <c r="A134">
        <v>133</v>
      </c>
      <c r="B134" t="s">
        <v>539</v>
      </c>
      <c r="C134" t="s">
        <v>540</v>
      </c>
      <c r="D134" t="s">
        <v>540</v>
      </c>
      <c r="E134" t="s">
        <v>72</v>
      </c>
      <c r="F134" t="s">
        <v>541</v>
      </c>
      <c r="G134" s="27" t="s">
        <v>1142</v>
      </c>
      <c r="H134" s="30">
        <v>13</v>
      </c>
      <c r="I134">
        <v>930.44</v>
      </c>
      <c r="J134">
        <v>12095.720000000001</v>
      </c>
      <c r="K134" t="s">
        <v>45</v>
      </c>
      <c r="L134">
        <v>20221104</v>
      </c>
      <c r="M134" t="s">
        <v>73</v>
      </c>
    </row>
    <row r="135" spans="1:13">
      <c r="A135">
        <v>134</v>
      </c>
      <c r="B135" t="s">
        <v>743</v>
      </c>
      <c r="C135" t="s">
        <v>744</v>
      </c>
      <c r="D135" t="s">
        <v>744</v>
      </c>
      <c r="E135" t="s">
        <v>72</v>
      </c>
      <c r="F135" t="s">
        <v>745</v>
      </c>
      <c r="G135" s="27" t="s">
        <v>1146</v>
      </c>
      <c r="H135" s="30">
        <v>27</v>
      </c>
      <c r="I135">
        <v>271.39</v>
      </c>
      <c r="J135">
        <v>7327.53</v>
      </c>
      <c r="K135" t="s">
        <v>45</v>
      </c>
      <c r="L135">
        <v>20221101</v>
      </c>
      <c r="M135" t="s">
        <v>73</v>
      </c>
    </row>
    <row r="136" spans="1:13">
      <c r="A136">
        <v>135</v>
      </c>
      <c r="B136" t="s">
        <v>936</v>
      </c>
      <c r="C136" t="s">
        <v>937</v>
      </c>
      <c r="D136" t="s">
        <v>937</v>
      </c>
      <c r="E136" t="s">
        <v>76</v>
      </c>
      <c r="F136" t="s">
        <v>938</v>
      </c>
      <c r="G136" s="27" t="s">
        <v>1146</v>
      </c>
      <c r="H136" s="30">
        <v>4</v>
      </c>
      <c r="I136">
        <v>8418.75</v>
      </c>
      <c r="J136">
        <v>33675</v>
      </c>
      <c r="K136" t="s">
        <v>45</v>
      </c>
      <c r="L136">
        <v>20221101</v>
      </c>
      <c r="M136" t="s">
        <v>73</v>
      </c>
    </row>
    <row r="137" spans="1:13">
      <c r="A137">
        <v>136</v>
      </c>
      <c r="B137" t="s">
        <v>931</v>
      </c>
      <c r="C137" t="s">
        <v>931</v>
      </c>
      <c r="D137" t="s">
        <v>931</v>
      </c>
      <c r="E137" t="s">
        <v>72</v>
      </c>
      <c r="F137" t="s">
        <v>932</v>
      </c>
      <c r="G137" s="27" t="s">
        <v>1146</v>
      </c>
      <c r="H137" s="30">
        <v>394</v>
      </c>
      <c r="I137">
        <v>100.98</v>
      </c>
      <c r="J137">
        <v>39786.120000000003</v>
      </c>
      <c r="K137" t="s">
        <v>45</v>
      </c>
      <c r="L137">
        <v>20221101</v>
      </c>
      <c r="M137" t="s">
        <v>73</v>
      </c>
    </row>
    <row r="138" spans="1:13">
      <c r="A138">
        <v>137</v>
      </c>
      <c r="B138" t="s">
        <v>1084</v>
      </c>
      <c r="C138" t="s">
        <v>1084</v>
      </c>
      <c r="D138" t="s">
        <v>1084</v>
      </c>
      <c r="E138" t="s">
        <v>72</v>
      </c>
      <c r="F138" t="s">
        <v>1085</v>
      </c>
      <c r="G138" s="27" t="s">
        <v>1146</v>
      </c>
      <c r="H138" s="30">
        <v>5</v>
      </c>
      <c r="I138">
        <v>2577</v>
      </c>
      <c r="J138">
        <v>12885</v>
      </c>
      <c r="K138" t="s">
        <v>45</v>
      </c>
      <c r="L138">
        <v>20221101</v>
      </c>
      <c r="M138" t="s">
        <v>73</v>
      </c>
    </row>
    <row r="139" spans="1:13">
      <c r="A139">
        <v>138</v>
      </c>
      <c r="B139" t="s">
        <v>746</v>
      </c>
      <c r="C139" t="s">
        <v>747</v>
      </c>
      <c r="D139" t="s">
        <v>747</v>
      </c>
      <c r="E139" t="s">
        <v>72</v>
      </c>
      <c r="F139" t="s">
        <v>748</v>
      </c>
      <c r="G139" s="27" t="s">
        <v>1146</v>
      </c>
      <c r="H139" s="30">
        <v>85</v>
      </c>
      <c r="I139">
        <v>464.13</v>
      </c>
      <c r="J139">
        <v>39451.050000000003</v>
      </c>
      <c r="K139" t="s">
        <v>45</v>
      </c>
      <c r="L139">
        <v>20221101</v>
      </c>
      <c r="M139" t="s">
        <v>73</v>
      </c>
    </row>
    <row r="140" spans="1:13">
      <c r="A140">
        <v>139</v>
      </c>
      <c r="B140" t="s">
        <v>1028</v>
      </c>
      <c r="C140" t="s">
        <v>1029</v>
      </c>
      <c r="D140" t="s">
        <v>1029</v>
      </c>
      <c r="E140" t="s">
        <v>72</v>
      </c>
      <c r="F140" t="s">
        <v>1030</v>
      </c>
      <c r="G140" s="27" t="s">
        <v>1086</v>
      </c>
      <c r="H140" s="30">
        <v>21</v>
      </c>
      <c r="I140">
        <v>492.5</v>
      </c>
      <c r="J140">
        <v>10342.5</v>
      </c>
      <c r="K140" t="s">
        <v>45</v>
      </c>
      <c r="L140">
        <v>20221031</v>
      </c>
      <c r="M140" t="s">
        <v>73</v>
      </c>
    </row>
    <row r="141" spans="1:13">
      <c r="A141">
        <v>140</v>
      </c>
      <c r="B141" t="s">
        <v>1028</v>
      </c>
      <c r="C141" t="s">
        <v>1029</v>
      </c>
      <c r="D141" t="s">
        <v>1029</v>
      </c>
      <c r="E141" t="s">
        <v>72</v>
      </c>
      <c r="F141" t="s">
        <v>1030</v>
      </c>
      <c r="G141" s="27" t="s">
        <v>1087</v>
      </c>
      <c r="H141" s="30">
        <v>45</v>
      </c>
      <c r="I141">
        <v>553.03</v>
      </c>
      <c r="J141">
        <v>24886.35</v>
      </c>
      <c r="K141" t="s">
        <v>45</v>
      </c>
      <c r="L141">
        <v>20221021</v>
      </c>
      <c r="M141" t="s">
        <v>73</v>
      </c>
    </row>
    <row r="142" spans="1:13">
      <c r="A142">
        <v>141</v>
      </c>
      <c r="B142" t="s">
        <v>1084</v>
      </c>
      <c r="C142" t="s">
        <v>1084</v>
      </c>
      <c r="D142" t="s">
        <v>1084</v>
      </c>
      <c r="E142" t="s">
        <v>72</v>
      </c>
      <c r="F142" t="s">
        <v>1085</v>
      </c>
      <c r="G142" s="27" t="s">
        <v>1090</v>
      </c>
      <c r="H142" s="30">
        <v>2</v>
      </c>
      <c r="I142">
        <v>2579.83</v>
      </c>
      <c r="J142">
        <v>5159.66</v>
      </c>
      <c r="K142" t="s">
        <v>45</v>
      </c>
      <c r="L142">
        <v>20221007</v>
      </c>
      <c r="M142" t="s">
        <v>73</v>
      </c>
    </row>
    <row r="143" spans="1:13">
      <c r="A143">
        <v>142</v>
      </c>
      <c r="B143" t="s">
        <v>27</v>
      </c>
      <c r="C143">
        <v>500288</v>
      </c>
      <c r="D143" t="s">
        <v>104</v>
      </c>
      <c r="E143" t="s">
        <v>72</v>
      </c>
      <c r="F143" t="s">
        <v>105</v>
      </c>
      <c r="G143" s="27" t="s">
        <v>1091</v>
      </c>
      <c r="H143" s="30">
        <v>100</v>
      </c>
      <c r="I143">
        <v>23.98</v>
      </c>
      <c r="J143">
        <v>2398</v>
      </c>
      <c r="K143" t="s">
        <v>45</v>
      </c>
      <c r="L143">
        <v>20220930</v>
      </c>
      <c r="M143" t="s">
        <v>73</v>
      </c>
    </row>
    <row r="144" spans="1:13">
      <c r="A144">
        <v>143</v>
      </c>
      <c r="B144" t="s">
        <v>37</v>
      </c>
      <c r="C144" t="s">
        <v>119</v>
      </c>
      <c r="D144" t="s">
        <v>216</v>
      </c>
      <c r="E144" t="s">
        <v>76</v>
      </c>
      <c r="F144" t="s">
        <v>120</v>
      </c>
      <c r="G144" s="27" t="s">
        <v>1091</v>
      </c>
      <c r="H144" s="30">
        <v>30</v>
      </c>
      <c r="I144">
        <v>139.13999999999999</v>
      </c>
      <c r="J144">
        <v>4174.2</v>
      </c>
      <c r="K144" t="s">
        <v>45</v>
      </c>
      <c r="L144">
        <v>20220930</v>
      </c>
      <c r="M144" t="s">
        <v>73</v>
      </c>
    </row>
    <row r="145" spans="1:13">
      <c r="A145">
        <v>144</v>
      </c>
      <c r="B145" t="s">
        <v>1028</v>
      </c>
      <c r="C145" t="s">
        <v>1029</v>
      </c>
      <c r="D145" t="s">
        <v>1029</v>
      </c>
      <c r="E145" t="s">
        <v>72</v>
      </c>
      <c r="F145" t="s">
        <v>1030</v>
      </c>
      <c r="G145" s="27" t="s">
        <v>1091</v>
      </c>
      <c r="H145" s="30">
        <v>10</v>
      </c>
      <c r="I145">
        <v>567.54999999999995</v>
      </c>
      <c r="J145" s="54">
        <v>5675.5</v>
      </c>
      <c r="K145" t="s">
        <v>45</v>
      </c>
      <c r="L145">
        <v>20220930</v>
      </c>
      <c r="M145" t="s">
        <v>73</v>
      </c>
    </row>
    <row r="146" spans="1:13">
      <c r="A146">
        <v>145</v>
      </c>
      <c r="B146" t="s">
        <v>527</v>
      </c>
      <c r="C146" t="s">
        <v>528</v>
      </c>
      <c r="D146" t="s">
        <v>528</v>
      </c>
      <c r="E146" t="s">
        <v>72</v>
      </c>
      <c r="F146" t="s">
        <v>529</v>
      </c>
      <c r="G146" s="27" t="s">
        <v>1092</v>
      </c>
      <c r="H146" s="30">
        <v>55</v>
      </c>
      <c r="I146">
        <v>540.62</v>
      </c>
      <c r="J146" s="54">
        <v>29734.1</v>
      </c>
      <c r="K146" t="s">
        <v>45</v>
      </c>
      <c r="L146">
        <v>20220927</v>
      </c>
      <c r="M146" t="s">
        <v>73</v>
      </c>
    </row>
    <row r="147" spans="1:13">
      <c r="A147">
        <v>146</v>
      </c>
      <c r="B147" t="s">
        <v>9</v>
      </c>
      <c r="C147" t="s">
        <v>75</v>
      </c>
      <c r="D147" t="s">
        <v>205</v>
      </c>
      <c r="E147" t="s">
        <v>76</v>
      </c>
      <c r="F147" t="s">
        <v>77</v>
      </c>
      <c r="G147" s="27" t="s">
        <v>1092</v>
      </c>
      <c r="H147" s="30">
        <v>20</v>
      </c>
      <c r="I147">
        <v>290.2</v>
      </c>
      <c r="J147">
        <v>5804</v>
      </c>
      <c r="K147" t="s">
        <v>45</v>
      </c>
      <c r="L147">
        <v>20220927</v>
      </c>
      <c r="M147" t="s">
        <v>73</v>
      </c>
    </row>
    <row r="148" spans="1:13">
      <c r="A148">
        <v>147</v>
      </c>
      <c r="B148" t="s">
        <v>530</v>
      </c>
      <c r="C148" t="s">
        <v>531</v>
      </c>
      <c r="D148" t="s">
        <v>531</v>
      </c>
      <c r="E148" t="s">
        <v>72</v>
      </c>
      <c r="F148" t="s">
        <v>532</v>
      </c>
      <c r="G148" s="27" t="s">
        <v>1093</v>
      </c>
      <c r="H148" s="30">
        <v>67</v>
      </c>
      <c r="I148">
        <v>606.79999999999995</v>
      </c>
      <c r="J148">
        <v>40655.599999999999</v>
      </c>
      <c r="K148" t="s">
        <v>45</v>
      </c>
      <c r="L148">
        <v>20220926</v>
      </c>
      <c r="M148" t="s">
        <v>73</v>
      </c>
    </row>
    <row r="149" spans="1:13">
      <c r="A149">
        <v>148</v>
      </c>
      <c r="B149" t="s">
        <v>689</v>
      </c>
      <c r="C149" t="s">
        <v>690</v>
      </c>
      <c r="D149" t="s">
        <v>690</v>
      </c>
      <c r="E149" t="s">
        <v>72</v>
      </c>
      <c r="F149" t="s">
        <v>691</v>
      </c>
      <c r="G149" s="27" t="s">
        <v>1093</v>
      </c>
      <c r="H149" s="30">
        <v>1</v>
      </c>
      <c r="I149">
        <v>3049.67</v>
      </c>
      <c r="J149">
        <v>3049.67</v>
      </c>
      <c r="K149" t="s">
        <v>45</v>
      </c>
      <c r="L149">
        <v>20220926</v>
      </c>
      <c r="M149" t="s">
        <v>73</v>
      </c>
    </row>
    <row r="150" spans="1:13">
      <c r="A150">
        <v>149</v>
      </c>
      <c r="B150" t="s">
        <v>20</v>
      </c>
      <c r="C150" t="s">
        <v>93</v>
      </c>
      <c r="D150" t="s">
        <v>210</v>
      </c>
      <c r="E150" t="s">
        <v>76</v>
      </c>
      <c r="F150" t="s">
        <v>95</v>
      </c>
      <c r="G150" s="27" t="s">
        <v>1093</v>
      </c>
      <c r="H150" s="30">
        <v>40</v>
      </c>
      <c r="I150">
        <v>150.80000000000001</v>
      </c>
      <c r="J150">
        <v>6032</v>
      </c>
      <c r="K150" t="s">
        <v>45</v>
      </c>
      <c r="L150">
        <v>20220926</v>
      </c>
      <c r="M150" t="s">
        <v>73</v>
      </c>
    </row>
    <row r="151" spans="1:13">
      <c r="A151">
        <v>150</v>
      </c>
      <c r="B151" t="s">
        <v>1084</v>
      </c>
      <c r="C151" t="s">
        <v>1084</v>
      </c>
      <c r="D151" t="s">
        <v>1084</v>
      </c>
      <c r="E151" t="s">
        <v>72</v>
      </c>
      <c r="F151" t="s">
        <v>1085</v>
      </c>
      <c r="G151" s="27" t="s">
        <v>1093</v>
      </c>
      <c r="H151" s="30">
        <v>6</v>
      </c>
      <c r="I151" s="54">
        <v>2551.4499999999998</v>
      </c>
      <c r="J151" s="54">
        <v>15308.699999999999</v>
      </c>
      <c r="K151" t="s">
        <v>45</v>
      </c>
      <c r="L151">
        <v>20220926</v>
      </c>
      <c r="M151" t="s">
        <v>73</v>
      </c>
    </row>
    <row r="152" spans="1:13">
      <c r="A152">
        <v>151</v>
      </c>
      <c r="B152" t="s">
        <v>27</v>
      </c>
      <c r="C152">
        <v>500288</v>
      </c>
      <c r="D152" t="s">
        <v>104</v>
      </c>
      <c r="E152" t="s">
        <v>72</v>
      </c>
      <c r="F152" t="s">
        <v>105</v>
      </c>
      <c r="G152" s="27" t="s">
        <v>1093</v>
      </c>
      <c r="H152" s="30">
        <v>700</v>
      </c>
      <c r="I152">
        <v>28.77</v>
      </c>
      <c r="J152">
        <v>20139</v>
      </c>
      <c r="K152" t="s">
        <v>45</v>
      </c>
      <c r="L152">
        <v>20220926</v>
      </c>
      <c r="M152" t="s">
        <v>73</v>
      </c>
    </row>
    <row r="153" spans="1:13">
      <c r="A153">
        <v>152</v>
      </c>
      <c r="B153" t="s">
        <v>649</v>
      </c>
      <c r="C153" t="s">
        <v>648</v>
      </c>
      <c r="D153" t="s">
        <v>648</v>
      </c>
      <c r="E153" t="s">
        <v>72</v>
      </c>
      <c r="F153" t="s">
        <v>975</v>
      </c>
      <c r="G153" s="27" t="s">
        <v>1095</v>
      </c>
      <c r="H153" s="30">
        <v>80</v>
      </c>
      <c r="I153">
        <v>135.58000000000001</v>
      </c>
      <c r="J153">
        <v>10846.400000000001</v>
      </c>
      <c r="K153" t="s">
        <v>45</v>
      </c>
      <c r="L153">
        <v>20220921</v>
      </c>
      <c r="M153" t="s">
        <v>73</v>
      </c>
    </row>
    <row r="154" spans="1:13">
      <c r="A154">
        <v>153</v>
      </c>
      <c r="B154" t="s">
        <v>20</v>
      </c>
      <c r="C154" t="s">
        <v>93</v>
      </c>
      <c r="D154" t="s">
        <v>210</v>
      </c>
      <c r="E154" t="s">
        <v>76</v>
      </c>
      <c r="F154" t="s">
        <v>95</v>
      </c>
      <c r="G154" s="27" t="s">
        <v>1096</v>
      </c>
      <c r="H154" s="30">
        <v>50</v>
      </c>
      <c r="I154">
        <v>162.75</v>
      </c>
      <c r="J154">
        <v>8137.5</v>
      </c>
      <c r="K154" t="s">
        <v>45</v>
      </c>
      <c r="L154">
        <v>20220920</v>
      </c>
      <c r="M154" t="s">
        <v>73</v>
      </c>
    </row>
    <row r="155" spans="1:13">
      <c r="A155">
        <v>154</v>
      </c>
      <c r="B155" t="s">
        <v>463</v>
      </c>
      <c r="C155" t="s">
        <v>463</v>
      </c>
      <c r="D155" t="s">
        <v>463</v>
      </c>
      <c r="E155" t="s">
        <v>72</v>
      </c>
      <c r="F155" t="s">
        <v>466</v>
      </c>
      <c r="G155" s="27" t="s">
        <v>1096</v>
      </c>
      <c r="H155" s="30">
        <v>80</v>
      </c>
      <c r="I155">
        <v>155.19999999999999</v>
      </c>
      <c r="J155">
        <v>12416</v>
      </c>
      <c r="K155" t="s">
        <v>45</v>
      </c>
      <c r="L155">
        <v>20220920</v>
      </c>
      <c r="M155" t="s">
        <v>73</v>
      </c>
    </row>
    <row r="156" spans="1:13">
      <c r="A156">
        <v>155</v>
      </c>
      <c r="B156" t="s">
        <v>610</v>
      </c>
      <c r="C156" t="s">
        <v>611</v>
      </c>
      <c r="D156" t="s">
        <v>695</v>
      </c>
      <c r="E156" t="s">
        <v>72</v>
      </c>
      <c r="F156" t="s">
        <v>612</v>
      </c>
      <c r="G156" s="27" t="s">
        <v>1096</v>
      </c>
      <c r="H156" s="30">
        <v>65</v>
      </c>
      <c r="I156">
        <v>375.45</v>
      </c>
      <c r="J156">
        <v>24404.25</v>
      </c>
      <c r="K156" t="s">
        <v>45</v>
      </c>
      <c r="L156">
        <v>20220920</v>
      </c>
      <c r="M156" t="s">
        <v>73</v>
      </c>
    </row>
    <row r="157" spans="1:13">
      <c r="A157">
        <v>156</v>
      </c>
      <c r="B157" t="s">
        <v>530</v>
      </c>
      <c r="C157" t="s">
        <v>531</v>
      </c>
      <c r="D157" t="s">
        <v>531</v>
      </c>
      <c r="E157" t="s">
        <v>72</v>
      </c>
      <c r="F157" t="s">
        <v>532</v>
      </c>
      <c r="G157" s="27" t="s">
        <v>1097</v>
      </c>
      <c r="H157" s="30">
        <v>40</v>
      </c>
      <c r="I157">
        <v>668.28</v>
      </c>
      <c r="J157">
        <v>26731.199999999997</v>
      </c>
      <c r="K157" t="s">
        <v>45</v>
      </c>
      <c r="L157">
        <v>20220919</v>
      </c>
      <c r="M157" t="s">
        <v>73</v>
      </c>
    </row>
    <row r="158" spans="1:13">
      <c r="A158">
        <v>157</v>
      </c>
      <c r="B158" t="s">
        <v>1084</v>
      </c>
      <c r="C158" t="s">
        <v>1084</v>
      </c>
      <c r="D158" t="s">
        <v>1084</v>
      </c>
      <c r="E158" t="s">
        <v>72</v>
      </c>
      <c r="F158" t="s">
        <v>1085</v>
      </c>
      <c r="G158" s="27" t="s">
        <v>1097</v>
      </c>
      <c r="H158" s="30">
        <v>4</v>
      </c>
      <c r="I158">
        <v>2666.75</v>
      </c>
      <c r="J158">
        <v>10667</v>
      </c>
      <c r="K158" t="s">
        <v>45</v>
      </c>
      <c r="L158">
        <v>20220919</v>
      </c>
      <c r="M158" t="s">
        <v>73</v>
      </c>
    </row>
    <row r="159" spans="1:13">
      <c r="A159">
        <v>158</v>
      </c>
      <c r="B159" t="s">
        <v>743</v>
      </c>
      <c r="C159" t="s">
        <v>744</v>
      </c>
      <c r="D159" t="s">
        <v>744</v>
      </c>
      <c r="E159" t="s">
        <v>72</v>
      </c>
      <c r="F159" t="s">
        <v>745</v>
      </c>
      <c r="G159" s="27" t="s">
        <v>1097</v>
      </c>
      <c r="H159" s="30">
        <v>100</v>
      </c>
      <c r="I159">
        <v>299.75</v>
      </c>
      <c r="J159">
        <v>29975</v>
      </c>
      <c r="K159" t="s">
        <v>45</v>
      </c>
      <c r="L159">
        <v>20220919</v>
      </c>
      <c r="M159" t="s">
        <v>73</v>
      </c>
    </row>
    <row r="160" spans="1:13">
      <c r="A160">
        <v>159</v>
      </c>
      <c r="B160" t="s">
        <v>1084</v>
      </c>
      <c r="C160" t="s">
        <v>1084</v>
      </c>
      <c r="D160" t="s">
        <v>1084</v>
      </c>
      <c r="E160" t="s">
        <v>72</v>
      </c>
      <c r="F160" t="s">
        <v>1085</v>
      </c>
      <c r="G160" s="27" t="s">
        <v>1098</v>
      </c>
      <c r="H160" s="30">
        <v>8</v>
      </c>
      <c r="I160">
        <v>2767.51</v>
      </c>
      <c r="J160">
        <v>22140.080000000002</v>
      </c>
      <c r="K160" t="s">
        <v>45</v>
      </c>
      <c r="L160">
        <v>20220916</v>
      </c>
      <c r="M160" t="s">
        <v>73</v>
      </c>
    </row>
    <row r="161" spans="1:13">
      <c r="A161">
        <v>160</v>
      </c>
      <c r="B161" t="s">
        <v>530</v>
      </c>
      <c r="C161" t="s">
        <v>531</v>
      </c>
      <c r="D161" t="s">
        <v>531</v>
      </c>
      <c r="E161" t="s">
        <v>72</v>
      </c>
      <c r="F161" t="s">
        <v>532</v>
      </c>
      <c r="G161" s="27" t="s">
        <v>1098</v>
      </c>
      <c r="H161" s="30">
        <v>4</v>
      </c>
      <c r="I161">
        <v>695.7</v>
      </c>
      <c r="J161" s="54">
        <v>2782.8</v>
      </c>
      <c r="K161" t="s">
        <v>45</v>
      </c>
      <c r="L161">
        <v>20220916</v>
      </c>
      <c r="M161" t="s">
        <v>73</v>
      </c>
    </row>
    <row r="162" spans="1:13">
      <c r="A162">
        <v>161</v>
      </c>
      <c r="B162" t="s">
        <v>746</v>
      </c>
      <c r="C162" t="s">
        <v>747</v>
      </c>
      <c r="D162" t="s">
        <v>747</v>
      </c>
      <c r="E162" t="s">
        <v>72</v>
      </c>
      <c r="F162" t="s">
        <v>748</v>
      </c>
      <c r="G162" s="27" t="s">
        <v>1098</v>
      </c>
      <c r="H162" s="30">
        <v>28</v>
      </c>
      <c r="I162">
        <v>528.94000000000005</v>
      </c>
      <c r="J162">
        <v>14810.320000000002</v>
      </c>
      <c r="K162" t="s">
        <v>45</v>
      </c>
      <c r="L162">
        <v>20220916</v>
      </c>
      <c r="M162" t="s">
        <v>73</v>
      </c>
    </row>
    <row r="163" spans="1:13">
      <c r="A163">
        <v>162</v>
      </c>
      <c r="B163" t="s">
        <v>20</v>
      </c>
      <c r="C163" t="s">
        <v>93</v>
      </c>
      <c r="D163" t="s">
        <v>210</v>
      </c>
      <c r="E163" t="s">
        <v>76</v>
      </c>
      <c r="F163" t="s">
        <v>95</v>
      </c>
      <c r="G163" s="27" t="s">
        <v>1098</v>
      </c>
      <c r="H163" s="30">
        <v>100</v>
      </c>
      <c r="I163">
        <v>168</v>
      </c>
      <c r="J163" s="54">
        <v>16800</v>
      </c>
      <c r="K163" t="s">
        <v>45</v>
      </c>
      <c r="L163">
        <v>20220916</v>
      </c>
      <c r="M163" t="s">
        <v>73</v>
      </c>
    </row>
    <row r="164" spans="1:13">
      <c r="A164">
        <v>163</v>
      </c>
      <c r="B164" t="s">
        <v>1084</v>
      </c>
      <c r="C164" t="s">
        <v>1084</v>
      </c>
      <c r="D164" t="s">
        <v>1084</v>
      </c>
      <c r="E164" t="s">
        <v>72</v>
      </c>
      <c r="F164" t="s">
        <v>1085</v>
      </c>
      <c r="G164" s="27" t="s">
        <v>1099</v>
      </c>
      <c r="H164" s="30">
        <v>2</v>
      </c>
      <c r="I164">
        <v>2818.65</v>
      </c>
      <c r="J164">
        <v>5637.3</v>
      </c>
      <c r="K164" t="s">
        <v>45</v>
      </c>
      <c r="L164">
        <v>20220915</v>
      </c>
      <c r="M164" t="s">
        <v>73</v>
      </c>
    </row>
    <row r="165" spans="1:13">
      <c r="A165">
        <v>164</v>
      </c>
      <c r="B165" t="s">
        <v>1084</v>
      </c>
      <c r="C165" t="s">
        <v>1084</v>
      </c>
      <c r="D165" t="s">
        <v>1084</v>
      </c>
      <c r="E165" t="s">
        <v>72</v>
      </c>
      <c r="F165" t="s">
        <v>1085</v>
      </c>
      <c r="G165" s="27" t="s">
        <v>1100</v>
      </c>
      <c r="H165" s="30">
        <v>12</v>
      </c>
      <c r="I165">
        <v>2830</v>
      </c>
      <c r="J165">
        <v>33960</v>
      </c>
      <c r="K165" t="s">
        <v>45</v>
      </c>
      <c r="L165">
        <v>20220914</v>
      </c>
      <c r="M165" t="s">
        <v>73</v>
      </c>
    </row>
    <row r="166" spans="1:13">
      <c r="A166">
        <v>165</v>
      </c>
      <c r="B166" t="s">
        <v>1084</v>
      </c>
      <c r="C166" t="s">
        <v>1084</v>
      </c>
      <c r="D166" t="s">
        <v>1084</v>
      </c>
      <c r="E166" t="s">
        <v>72</v>
      </c>
      <c r="F166" t="s">
        <v>1085</v>
      </c>
      <c r="G166" s="27" t="s">
        <v>1101</v>
      </c>
      <c r="H166" s="30">
        <v>9</v>
      </c>
      <c r="I166">
        <v>2833.32</v>
      </c>
      <c r="J166" s="54">
        <v>25499.88</v>
      </c>
      <c r="K166" t="s">
        <v>45</v>
      </c>
      <c r="L166">
        <v>20220913</v>
      </c>
      <c r="M166" t="s">
        <v>73</v>
      </c>
    </row>
    <row r="167" spans="1:13">
      <c r="A167">
        <v>166</v>
      </c>
      <c r="B167" t="s">
        <v>936</v>
      </c>
      <c r="C167" t="s">
        <v>937</v>
      </c>
      <c r="D167" t="s">
        <v>937</v>
      </c>
      <c r="E167" t="s">
        <v>76</v>
      </c>
      <c r="F167" t="s">
        <v>938</v>
      </c>
      <c r="G167" s="27" t="s">
        <v>1102</v>
      </c>
      <c r="H167" s="30">
        <v>1</v>
      </c>
      <c r="I167">
        <v>9198</v>
      </c>
      <c r="J167">
        <v>9198</v>
      </c>
      <c r="K167" t="s">
        <v>45</v>
      </c>
      <c r="L167">
        <v>20220908</v>
      </c>
      <c r="M167" t="s">
        <v>73</v>
      </c>
    </row>
    <row r="168" spans="1:13">
      <c r="A168">
        <v>167</v>
      </c>
      <c r="B168" t="s">
        <v>936</v>
      </c>
      <c r="C168" t="s">
        <v>937</v>
      </c>
      <c r="D168" t="s">
        <v>937</v>
      </c>
      <c r="E168" t="s">
        <v>76</v>
      </c>
      <c r="F168" t="s">
        <v>938</v>
      </c>
      <c r="G168" s="27" t="s">
        <v>1103</v>
      </c>
      <c r="H168" s="30">
        <v>1</v>
      </c>
      <c r="I168">
        <v>9255</v>
      </c>
      <c r="J168">
        <v>9255</v>
      </c>
      <c r="K168" t="s">
        <v>45</v>
      </c>
      <c r="L168">
        <v>20220907</v>
      </c>
      <c r="M168" t="s">
        <v>73</v>
      </c>
    </row>
    <row r="169" spans="1:13">
      <c r="A169">
        <v>168</v>
      </c>
      <c r="B169" t="s">
        <v>668</v>
      </c>
      <c r="C169" t="s">
        <v>669</v>
      </c>
      <c r="D169" t="s">
        <v>669</v>
      </c>
      <c r="E169" t="s">
        <v>72</v>
      </c>
      <c r="F169" t="s">
        <v>670</v>
      </c>
      <c r="G169" s="27" t="s">
        <v>1104</v>
      </c>
      <c r="H169" s="30">
        <v>2</v>
      </c>
      <c r="I169">
        <v>3484.67</v>
      </c>
      <c r="J169">
        <v>6969.34</v>
      </c>
      <c r="K169" t="s">
        <v>45</v>
      </c>
      <c r="L169">
        <v>20220824</v>
      </c>
      <c r="M169" t="s">
        <v>73</v>
      </c>
    </row>
    <row r="170" spans="1:13">
      <c r="A170">
        <v>169</v>
      </c>
      <c r="B170" t="s">
        <v>969</v>
      </c>
      <c r="C170" t="s">
        <v>970</v>
      </c>
      <c r="D170" t="s">
        <v>970</v>
      </c>
      <c r="E170" t="s">
        <v>72</v>
      </c>
      <c r="F170" t="s">
        <v>919</v>
      </c>
      <c r="G170" s="27" t="s">
        <v>1105</v>
      </c>
      <c r="H170" s="30">
        <v>13</v>
      </c>
      <c r="I170">
        <v>1270.45</v>
      </c>
      <c r="J170" s="54">
        <v>16515.850000000002</v>
      </c>
      <c r="K170" t="s">
        <v>45</v>
      </c>
      <c r="L170">
        <v>20220823</v>
      </c>
      <c r="M170" t="s">
        <v>73</v>
      </c>
    </row>
    <row r="171" spans="1:13">
      <c r="A171">
        <v>170</v>
      </c>
      <c r="B171" t="s">
        <v>27</v>
      </c>
      <c r="C171">
        <v>500288</v>
      </c>
      <c r="D171" t="s">
        <v>104</v>
      </c>
      <c r="E171" t="s">
        <v>72</v>
      </c>
      <c r="F171" t="s">
        <v>105</v>
      </c>
      <c r="G171" s="27" t="s">
        <v>1106</v>
      </c>
      <c r="H171" s="30">
        <v>450</v>
      </c>
      <c r="I171">
        <v>34.729999999999997</v>
      </c>
      <c r="J171">
        <v>15628.499999999998</v>
      </c>
      <c r="K171" t="s">
        <v>45</v>
      </c>
      <c r="L171">
        <v>20220817</v>
      </c>
      <c r="M171" t="s">
        <v>73</v>
      </c>
    </row>
    <row r="172" spans="1:13">
      <c r="A172">
        <v>171</v>
      </c>
      <c r="B172" t="s">
        <v>743</v>
      </c>
      <c r="C172" t="s">
        <v>744</v>
      </c>
      <c r="D172" t="s">
        <v>744</v>
      </c>
      <c r="E172" t="s">
        <v>72</v>
      </c>
      <c r="F172" t="s">
        <v>745</v>
      </c>
      <c r="G172" s="27" t="s">
        <v>1107</v>
      </c>
      <c r="H172" s="30">
        <v>60</v>
      </c>
      <c r="I172">
        <v>335.25</v>
      </c>
      <c r="J172">
        <v>20115</v>
      </c>
      <c r="K172" t="s">
        <v>45</v>
      </c>
      <c r="L172">
        <v>20220810</v>
      </c>
      <c r="M172" t="s">
        <v>73</v>
      </c>
    </row>
    <row r="173" spans="1:13">
      <c r="A173">
        <v>172</v>
      </c>
      <c r="B173" t="s">
        <v>674</v>
      </c>
      <c r="C173" t="s">
        <v>675</v>
      </c>
      <c r="D173" t="s">
        <v>675</v>
      </c>
      <c r="E173" t="s">
        <v>72</v>
      </c>
      <c r="F173" t="s">
        <v>676</v>
      </c>
      <c r="G173" s="27" t="s">
        <v>1108</v>
      </c>
      <c r="H173" s="30">
        <v>12</v>
      </c>
      <c r="I173">
        <v>541.66999999999996</v>
      </c>
      <c r="J173">
        <v>6500.0399999999991</v>
      </c>
      <c r="K173" t="s">
        <v>45</v>
      </c>
      <c r="L173">
        <v>20220805</v>
      </c>
      <c r="M173" t="s">
        <v>73</v>
      </c>
    </row>
    <row r="174" spans="1:13">
      <c r="A174">
        <v>173</v>
      </c>
      <c r="B174" t="s">
        <v>1028</v>
      </c>
      <c r="C174" t="s">
        <v>1029</v>
      </c>
      <c r="D174" t="s">
        <v>1029</v>
      </c>
      <c r="E174" t="s">
        <v>72</v>
      </c>
      <c r="F174" t="s">
        <v>1030</v>
      </c>
      <c r="G174" s="27" t="s">
        <v>1108</v>
      </c>
      <c r="H174" s="30">
        <v>50</v>
      </c>
      <c r="I174">
        <v>538.65</v>
      </c>
      <c r="J174">
        <v>26932.5</v>
      </c>
      <c r="K174" t="s">
        <v>45</v>
      </c>
      <c r="L174">
        <v>20220805</v>
      </c>
      <c r="M174" t="s">
        <v>73</v>
      </c>
    </row>
    <row r="175" spans="1:13">
      <c r="A175">
        <v>174</v>
      </c>
      <c r="B175" t="s">
        <v>545</v>
      </c>
      <c r="C175" t="s">
        <v>546</v>
      </c>
      <c r="D175" t="s">
        <v>546</v>
      </c>
      <c r="E175" t="s">
        <v>72</v>
      </c>
      <c r="F175" t="s">
        <v>547</v>
      </c>
      <c r="G175" s="27" t="s">
        <v>1109</v>
      </c>
      <c r="H175" s="30">
        <v>9</v>
      </c>
      <c r="I175">
        <v>1263.1600000000001</v>
      </c>
      <c r="J175">
        <v>11368.44</v>
      </c>
      <c r="K175" t="s">
        <v>45</v>
      </c>
      <c r="L175">
        <v>20220729</v>
      </c>
      <c r="M175" t="s">
        <v>73</v>
      </c>
    </row>
    <row r="176" spans="1:13">
      <c r="A176">
        <v>175</v>
      </c>
      <c r="B176" t="s">
        <v>966</v>
      </c>
      <c r="C176" t="s">
        <v>967</v>
      </c>
      <c r="D176" t="s">
        <v>967</v>
      </c>
      <c r="E176" t="s">
        <v>72</v>
      </c>
      <c r="F176" t="s">
        <v>968</v>
      </c>
      <c r="G176" s="27" t="s">
        <v>1109</v>
      </c>
      <c r="H176" s="30">
        <v>80</v>
      </c>
      <c r="I176">
        <v>651.58000000000004</v>
      </c>
      <c r="J176">
        <v>52126.400000000001</v>
      </c>
      <c r="K176" t="s">
        <v>45</v>
      </c>
      <c r="L176">
        <v>20220729</v>
      </c>
      <c r="M176" t="s">
        <v>73</v>
      </c>
    </row>
    <row r="177" spans="1:13">
      <c r="A177">
        <v>176</v>
      </c>
      <c r="B177" t="s">
        <v>677</v>
      </c>
      <c r="C177" t="s">
        <v>678</v>
      </c>
      <c r="D177" t="s">
        <v>678</v>
      </c>
      <c r="E177" t="s">
        <v>72</v>
      </c>
      <c r="F177" t="s">
        <v>679</v>
      </c>
      <c r="G177" s="27" t="s">
        <v>1072</v>
      </c>
      <c r="H177" s="30">
        <v>76</v>
      </c>
      <c r="I177">
        <v>353.47</v>
      </c>
      <c r="J177">
        <v>26863.72</v>
      </c>
      <c r="K177" t="s">
        <v>45</v>
      </c>
      <c r="L177">
        <v>20220601</v>
      </c>
      <c r="M177" t="s">
        <v>73</v>
      </c>
    </row>
    <row r="178" spans="1:13">
      <c r="A178">
        <v>177</v>
      </c>
      <c r="B178" t="s">
        <v>668</v>
      </c>
      <c r="C178" t="s">
        <v>669</v>
      </c>
      <c r="D178" t="s">
        <v>669</v>
      </c>
      <c r="E178" t="s">
        <v>72</v>
      </c>
      <c r="F178" t="s">
        <v>670</v>
      </c>
      <c r="G178" s="27" t="s">
        <v>1058</v>
      </c>
      <c r="H178" s="30">
        <v>7</v>
      </c>
      <c r="I178">
        <v>3697.99</v>
      </c>
      <c r="J178">
        <v>25885.93</v>
      </c>
      <c r="K178" t="s">
        <v>45</v>
      </c>
      <c r="L178">
        <v>20220524</v>
      </c>
      <c r="M178" t="s">
        <v>73</v>
      </c>
    </row>
    <row r="179" spans="1:13">
      <c r="A179">
        <v>178</v>
      </c>
      <c r="B179" t="s">
        <v>530</v>
      </c>
      <c r="C179" t="s">
        <v>531</v>
      </c>
      <c r="D179" t="s">
        <v>531</v>
      </c>
      <c r="E179" t="s">
        <v>72</v>
      </c>
      <c r="F179" t="s">
        <v>532</v>
      </c>
      <c r="G179" s="27" t="s">
        <v>1058</v>
      </c>
      <c r="H179" s="30">
        <v>15</v>
      </c>
      <c r="I179">
        <v>533.23</v>
      </c>
      <c r="J179">
        <v>7998.4500000000007</v>
      </c>
      <c r="K179" t="s">
        <v>45</v>
      </c>
      <c r="L179">
        <v>20220524</v>
      </c>
      <c r="M179" t="s">
        <v>73</v>
      </c>
    </row>
    <row r="180" spans="1:13">
      <c r="A180">
        <v>179</v>
      </c>
      <c r="B180" t="s">
        <v>18</v>
      </c>
      <c r="C180">
        <v>532281</v>
      </c>
      <c r="D180" t="s">
        <v>88</v>
      </c>
      <c r="E180" t="s">
        <v>72</v>
      </c>
      <c r="F180" t="s">
        <v>89</v>
      </c>
      <c r="G180" s="27" t="s">
        <v>1058</v>
      </c>
      <c r="H180" s="30">
        <v>14</v>
      </c>
      <c r="I180">
        <v>1004.6</v>
      </c>
      <c r="J180">
        <v>14064.4</v>
      </c>
      <c r="K180" t="s">
        <v>45</v>
      </c>
      <c r="L180">
        <v>20220524</v>
      </c>
      <c r="M180" t="s">
        <v>73</v>
      </c>
    </row>
    <row r="181" spans="1:13">
      <c r="A181">
        <v>180</v>
      </c>
      <c r="B181" t="s">
        <v>936</v>
      </c>
      <c r="C181" t="s">
        <v>937</v>
      </c>
      <c r="D181" t="s">
        <v>937</v>
      </c>
      <c r="E181" t="s">
        <v>76</v>
      </c>
      <c r="F181" t="s">
        <v>938</v>
      </c>
      <c r="G181" s="27" t="s">
        <v>1058</v>
      </c>
      <c r="H181" s="30">
        <v>1</v>
      </c>
      <c r="I181">
        <v>9115</v>
      </c>
      <c r="J181">
        <v>9115</v>
      </c>
      <c r="K181" t="s">
        <v>45</v>
      </c>
      <c r="L181">
        <v>20220524</v>
      </c>
      <c r="M181" t="s">
        <v>73</v>
      </c>
    </row>
    <row r="182" spans="1:13">
      <c r="A182">
        <v>181</v>
      </c>
      <c r="B182" t="s">
        <v>894</v>
      </c>
      <c r="C182" t="s">
        <v>898</v>
      </c>
      <c r="D182" t="s">
        <v>898</v>
      </c>
      <c r="E182" t="s">
        <v>72</v>
      </c>
      <c r="F182" t="s">
        <v>899</v>
      </c>
      <c r="G182" s="27" t="s">
        <v>1058</v>
      </c>
      <c r="H182" s="30">
        <v>1</v>
      </c>
      <c r="I182">
        <v>3448.5</v>
      </c>
      <c r="J182">
        <v>3448.5</v>
      </c>
      <c r="K182" t="s">
        <v>45</v>
      </c>
      <c r="L182">
        <v>20220524</v>
      </c>
      <c r="M182" t="s">
        <v>73</v>
      </c>
    </row>
    <row r="183" spans="1:13">
      <c r="A183">
        <v>182</v>
      </c>
      <c r="B183" t="s">
        <v>668</v>
      </c>
      <c r="C183" t="s">
        <v>669</v>
      </c>
      <c r="D183" t="s">
        <v>669</v>
      </c>
      <c r="E183" t="s">
        <v>72</v>
      </c>
      <c r="F183" t="s">
        <v>670</v>
      </c>
      <c r="G183" s="27" t="s">
        <v>1060</v>
      </c>
      <c r="H183" s="30">
        <v>7</v>
      </c>
      <c r="I183">
        <v>3897.14</v>
      </c>
      <c r="J183">
        <v>27279.98</v>
      </c>
      <c r="K183" t="s">
        <v>45</v>
      </c>
      <c r="L183">
        <v>20220523</v>
      </c>
      <c r="M183" t="s">
        <v>73</v>
      </c>
    </row>
    <row r="184" spans="1:13">
      <c r="A184">
        <v>183</v>
      </c>
      <c r="B184" t="s">
        <v>931</v>
      </c>
      <c r="C184" t="s">
        <v>931</v>
      </c>
      <c r="D184" t="s">
        <v>931</v>
      </c>
      <c r="E184" t="s">
        <v>72</v>
      </c>
      <c r="F184" t="s">
        <v>932</v>
      </c>
      <c r="G184" s="27" t="s">
        <v>1060</v>
      </c>
      <c r="H184" s="30">
        <v>10</v>
      </c>
      <c r="I184">
        <v>130.30000000000001</v>
      </c>
      <c r="J184">
        <v>1303</v>
      </c>
      <c r="K184" t="s">
        <v>45</v>
      </c>
      <c r="L184">
        <v>20220523</v>
      </c>
      <c r="M184" t="s">
        <v>73</v>
      </c>
    </row>
    <row r="185" spans="1:13">
      <c r="A185">
        <v>184</v>
      </c>
      <c r="B185" t="s">
        <v>936</v>
      </c>
      <c r="C185" t="s">
        <v>937</v>
      </c>
      <c r="D185" t="s">
        <v>937</v>
      </c>
      <c r="E185" t="s">
        <v>76</v>
      </c>
      <c r="F185" s="133" t="s">
        <v>938</v>
      </c>
      <c r="G185" s="27" t="s">
        <v>1063</v>
      </c>
      <c r="H185" s="30">
        <v>1</v>
      </c>
      <c r="I185">
        <v>9113</v>
      </c>
      <c r="J185">
        <v>9113</v>
      </c>
      <c r="K185" t="s">
        <v>45</v>
      </c>
      <c r="L185">
        <v>20220519</v>
      </c>
      <c r="M185" t="s">
        <v>73</v>
      </c>
    </row>
    <row r="186" spans="1:13">
      <c r="A186">
        <v>185</v>
      </c>
      <c r="B186" t="s">
        <v>812</v>
      </c>
      <c r="C186" t="s">
        <v>813</v>
      </c>
      <c r="D186" t="s">
        <v>815</v>
      </c>
      <c r="E186" t="s">
        <v>72</v>
      </c>
      <c r="F186" t="s">
        <v>814</v>
      </c>
      <c r="G186" s="27" t="s">
        <v>1063</v>
      </c>
      <c r="H186" s="30">
        <v>28</v>
      </c>
      <c r="I186">
        <v>303.66000000000003</v>
      </c>
      <c r="J186">
        <v>8502.4800000000014</v>
      </c>
      <c r="K186" t="s">
        <v>45</v>
      </c>
      <c r="L186">
        <v>20220519</v>
      </c>
      <c r="M186" t="s">
        <v>73</v>
      </c>
    </row>
    <row r="187" spans="1:13">
      <c r="A187">
        <v>186</v>
      </c>
      <c r="B187" t="s">
        <v>743</v>
      </c>
      <c r="C187" t="s">
        <v>744</v>
      </c>
      <c r="D187" t="s">
        <v>744</v>
      </c>
      <c r="E187" t="s">
        <v>72</v>
      </c>
      <c r="F187" t="s">
        <v>745</v>
      </c>
      <c r="G187" s="27" t="s">
        <v>1063</v>
      </c>
      <c r="H187" s="30">
        <v>45</v>
      </c>
      <c r="I187">
        <v>348.21</v>
      </c>
      <c r="J187">
        <v>15669.449999999999</v>
      </c>
      <c r="K187" t="s">
        <v>45</v>
      </c>
      <c r="L187">
        <v>20220519</v>
      </c>
      <c r="M187" t="s">
        <v>73</v>
      </c>
    </row>
    <row r="188" spans="1:13">
      <c r="A188">
        <v>187</v>
      </c>
      <c r="B188" t="s">
        <v>530</v>
      </c>
      <c r="C188" t="s">
        <v>531</v>
      </c>
      <c r="D188" t="s">
        <v>531</v>
      </c>
      <c r="E188" t="s">
        <v>72</v>
      </c>
      <c r="F188" t="s">
        <v>532</v>
      </c>
      <c r="G188" s="27" t="s">
        <v>1063</v>
      </c>
      <c r="H188" s="30">
        <v>42</v>
      </c>
      <c r="I188">
        <v>612.87</v>
      </c>
      <c r="J188">
        <v>25740.54</v>
      </c>
      <c r="K188" t="s">
        <v>45</v>
      </c>
      <c r="L188">
        <v>20220519</v>
      </c>
      <c r="M188" t="s">
        <v>73</v>
      </c>
    </row>
    <row r="189" spans="1:13">
      <c r="A189">
        <v>188</v>
      </c>
      <c r="B189" t="s">
        <v>651</v>
      </c>
      <c r="C189" t="s">
        <v>653</v>
      </c>
      <c r="D189" t="s">
        <v>653</v>
      </c>
      <c r="E189" t="s">
        <v>72</v>
      </c>
      <c r="F189" t="s">
        <v>654</v>
      </c>
      <c r="G189" s="27" t="s">
        <v>1064</v>
      </c>
      <c r="H189" s="30">
        <v>41</v>
      </c>
      <c r="I189">
        <v>704.5</v>
      </c>
      <c r="J189">
        <v>28884.5</v>
      </c>
      <c r="K189" t="s">
        <v>45</v>
      </c>
      <c r="L189">
        <v>20220518</v>
      </c>
      <c r="M189" t="s">
        <v>73</v>
      </c>
    </row>
    <row r="190" spans="1:13">
      <c r="A190">
        <v>189</v>
      </c>
      <c r="B190" t="s">
        <v>751</v>
      </c>
      <c r="C190" t="s">
        <v>763</v>
      </c>
      <c r="D190" t="s">
        <v>752</v>
      </c>
      <c r="E190" t="s">
        <v>72</v>
      </c>
      <c r="F190" t="s">
        <v>754</v>
      </c>
      <c r="G190" s="27" t="s">
        <v>1064</v>
      </c>
      <c r="H190" s="30">
        <v>38</v>
      </c>
      <c r="I190">
        <v>1586.75</v>
      </c>
      <c r="J190">
        <v>60296.5</v>
      </c>
      <c r="K190" t="s">
        <v>45</v>
      </c>
      <c r="L190">
        <v>20220518</v>
      </c>
      <c r="M190" t="s">
        <v>73</v>
      </c>
    </row>
    <row r="191" spans="1:13">
      <c r="A191">
        <v>190</v>
      </c>
      <c r="B191" t="s">
        <v>530</v>
      </c>
      <c r="C191" t="s">
        <v>531</v>
      </c>
      <c r="D191" t="s">
        <v>531</v>
      </c>
      <c r="E191" t="s">
        <v>72</v>
      </c>
      <c r="F191" t="s">
        <v>532</v>
      </c>
      <c r="G191" s="27" t="s">
        <v>1064</v>
      </c>
      <c r="H191" s="30">
        <v>12</v>
      </c>
      <c r="I191">
        <v>648</v>
      </c>
      <c r="J191">
        <v>7776</v>
      </c>
      <c r="K191" t="s">
        <v>45</v>
      </c>
      <c r="L191">
        <v>20220518</v>
      </c>
      <c r="M191" t="s">
        <v>73</v>
      </c>
    </row>
    <row r="192" spans="1:13">
      <c r="A192">
        <v>191</v>
      </c>
      <c r="B192" t="s">
        <v>539</v>
      </c>
      <c r="C192" t="s">
        <v>540</v>
      </c>
      <c r="D192" t="s">
        <v>540</v>
      </c>
      <c r="E192" t="s">
        <v>72</v>
      </c>
      <c r="F192" t="s">
        <v>541</v>
      </c>
      <c r="G192" s="27" t="s">
        <v>1064</v>
      </c>
      <c r="H192" s="30">
        <v>17</v>
      </c>
      <c r="I192">
        <v>1024.05</v>
      </c>
      <c r="J192">
        <v>17408.849999999999</v>
      </c>
      <c r="K192" t="s">
        <v>45</v>
      </c>
      <c r="L192">
        <v>20220518</v>
      </c>
      <c r="M192" t="s">
        <v>73</v>
      </c>
    </row>
    <row r="193" spans="1:13">
      <c r="A193">
        <v>192</v>
      </c>
      <c r="B193" t="s">
        <v>649</v>
      </c>
      <c r="C193" t="s">
        <v>648</v>
      </c>
      <c r="D193" t="s">
        <v>648</v>
      </c>
      <c r="E193" t="s">
        <v>72</v>
      </c>
      <c r="F193" s="133" t="s">
        <v>975</v>
      </c>
      <c r="G193" s="27" t="s">
        <v>1062</v>
      </c>
      <c r="H193" s="30">
        <v>15</v>
      </c>
      <c r="I193">
        <v>136.08000000000001</v>
      </c>
      <c r="J193">
        <v>2041.2000000000003</v>
      </c>
      <c r="K193" t="s">
        <v>45</v>
      </c>
      <c r="L193">
        <v>20220517</v>
      </c>
      <c r="M193" t="s">
        <v>73</v>
      </c>
    </row>
    <row r="194" spans="1:13">
      <c r="A194">
        <v>193</v>
      </c>
      <c r="B194" t="s">
        <v>894</v>
      </c>
      <c r="C194" t="s">
        <v>898</v>
      </c>
      <c r="D194" t="s">
        <v>898</v>
      </c>
      <c r="E194" t="s">
        <v>72</v>
      </c>
      <c r="F194" t="s">
        <v>899</v>
      </c>
      <c r="G194" s="27" t="s">
        <v>1056</v>
      </c>
      <c r="H194" s="30">
        <v>3</v>
      </c>
      <c r="I194">
        <v>3428</v>
      </c>
      <c r="J194">
        <v>10284</v>
      </c>
      <c r="K194" t="s">
        <v>45</v>
      </c>
      <c r="L194">
        <v>20220516</v>
      </c>
      <c r="M194" t="s">
        <v>73</v>
      </c>
    </row>
    <row r="195" spans="1:13">
      <c r="A195">
        <v>194</v>
      </c>
      <c r="B195" t="s">
        <v>1028</v>
      </c>
      <c r="C195" t="s">
        <v>1029</v>
      </c>
      <c r="D195" t="s">
        <v>1029</v>
      </c>
      <c r="E195" t="s">
        <v>72</v>
      </c>
      <c r="F195" t="s">
        <v>1030</v>
      </c>
      <c r="G195" s="27" t="s">
        <v>1056</v>
      </c>
      <c r="H195" s="30">
        <v>34</v>
      </c>
      <c r="I195">
        <v>558.86</v>
      </c>
      <c r="J195">
        <v>19001.240000000002</v>
      </c>
      <c r="K195" t="s">
        <v>45</v>
      </c>
      <c r="L195">
        <v>20220516</v>
      </c>
      <c r="M195" t="s">
        <v>73</v>
      </c>
    </row>
    <row r="196" spans="1:13">
      <c r="A196">
        <v>195</v>
      </c>
      <c r="B196" t="s">
        <v>677</v>
      </c>
      <c r="C196" t="s">
        <v>678</v>
      </c>
      <c r="D196" t="s">
        <v>678</v>
      </c>
      <c r="E196" t="s">
        <v>72</v>
      </c>
      <c r="F196" t="s">
        <v>679</v>
      </c>
      <c r="G196" s="27" t="s">
        <v>1056</v>
      </c>
      <c r="H196" s="30">
        <v>40</v>
      </c>
      <c r="I196">
        <v>378.97</v>
      </c>
      <c r="J196">
        <v>15158.800000000001</v>
      </c>
      <c r="K196" t="s">
        <v>45</v>
      </c>
      <c r="L196">
        <v>20220516</v>
      </c>
      <c r="M196" t="s">
        <v>73</v>
      </c>
    </row>
    <row r="197" spans="1:13">
      <c r="A197">
        <v>196</v>
      </c>
      <c r="B197" t="s">
        <v>512</v>
      </c>
      <c r="C197" t="s">
        <v>511</v>
      </c>
      <c r="D197" t="s">
        <v>511</v>
      </c>
      <c r="E197" t="s">
        <v>72</v>
      </c>
      <c r="F197" t="s">
        <v>513</v>
      </c>
      <c r="G197" s="27" t="s">
        <v>1069</v>
      </c>
      <c r="H197" s="30">
        <v>5</v>
      </c>
      <c r="I197">
        <v>2859.25</v>
      </c>
      <c r="J197">
        <v>14296.25</v>
      </c>
      <c r="K197" t="s">
        <v>45</v>
      </c>
      <c r="L197">
        <v>20220514</v>
      </c>
      <c r="M197" t="s">
        <v>73</v>
      </c>
    </row>
    <row r="198" spans="1:13">
      <c r="A198">
        <v>197</v>
      </c>
      <c r="B198" t="s">
        <v>530</v>
      </c>
      <c r="C198" t="s">
        <v>531</v>
      </c>
      <c r="D198" t="s">
        <v>531</v>
      </c>
      <c r="E198" t="s">
        <v>72</v>
      </c>
      <c r="F198" t="s">
        <v>532</v>
      </c>
      <c r="G198" s="27" t="s">
        <v>1059</v>
      </c>
      <c r="H198" s="30">
        <v>50</v>
      </c>
      <c r="I198">
        <v>625.29999999999995</v>
      </c>
      <c r="J198">
        <v>31264.999999999996</v>
      </c>
      <c r="K198" t="s">
        <v>45</v>
      </c>
      <c r="L198">
        <v>20220512</v>
      </c>
      <c r="M198" t="s">
        <v>73</v>
      </c>
    </row>
    <row r="199" spans="1:13">
      <c r="A199">
        <v>198</v>
      </c>
      <c r="B199" t="s">
        <v>936</v>
      </c>
      <c r="C199" t="s">
        <v>937</v>
      </c>
      <c r="D199" t="s">
        <v>937</v>
      </c>
      <c r="E199" t="s">
        <v>76</v>
      </c>
      <c r="F199" t="s">
        <v>938</v>
      </c>
      <c r="G199" s="27" t="s">
        <v>1059</v>
      </c>
      <c r="H199" s="30">
        <v>2</v>
      </c>
      <c r="I199">
        <v>9377.5</v>
      </c>
      <c r="J199">
        <v>18755</v>
      </c>
      <c r="K199" t="s">
        <v>45</v>
      </c>
      <c r="L199">
        <v>20220512</v>
      </c>
      <c r="M199" t="s">
        <v>73</v>
      </c>
    </row>
    <row r="200" spans="1:13">
      <c r="A200">
        <v>199</v>
      </c>
      <c r="B200" t="s">
        <v>712</v>
      </c>
      <c r="C200" t="s">
        <v>713</v>
      </c>
      <c r="D200" t="s">
        <v>716</v>
      </c>
      <c r="E200" t="s">
        <v>72</v>
      </c>
      <c r="F200" t="s">
        <v>971</v>
      </c>
      <c r="G200" s="27" t="s">
        <v>1045</v>
      </c>
      <c r="H200" s="30">
        <v>8</v>
      </c>
      <c r="I200">
        <v>905.16</v>
      </c>
      <c r="J200">
        <v>7241.28</v>
      </c>
      <c r="K200" t="s">
        <v>45</v>
      </c>
      <c r="L200">
        <v>20220511</v>
      </c>
      <c r="M200" t="s">
        <v>73</v>
      </c>
    </row>
    <row r="201" spans="1:13">
      <c r="A201">
        <v>200</v>
      </c>
      <c r="B201" t="s">
        <v>414</v>
      </c>
      <c r="C201" t="s">
        <v>414</v>
      </c>
      <c r="D201" t="s">
        <v>414</v>
      </c>
      <c r="E201" t="s">
        <v>72</v>
      </c>
      <c r="F201" t="s">
        <v>415</v>
      </c>
      <c r="G201" s="27" t="s">
        <v>1045</v>
      </c>
      <c r="H201" s="30">
        <v>5</v>
      </c>
      <c r="I201">
        <v>669.85</v>
      </c>
      <c r="J201" s="463">
        <v>3349.25</v>
      </c>
      <c r="K201" t="s">
        <v>45</v>
      </c>
      <c r="L201">
        <v>20220511</v>
      </c>
      <c r="M201" t="s">
        <v>73</v>
      </c>
    </row>
    <row r="202" spans="1:13">
      <c r="A202">
        <v>201</v>
      </c>
      <c r="B202" t="s">
        <v>463</v>
      </c>
      <c r="C202" t="s">
        <v>463</v>
      </c>
      <c r="D202" t="s">
        <v>463</v>
      </c>
      <c r="E202" t="s">
        <v>72</v>
      </c>
      <c r="F202" s="133" t="s">
        <v>466</v>
      </c>
      <c r="G202" s="27" t="s">
        <v>1045</v>
      </c>
      <c r="H202" s="30">
        <v>120</v>
      </c>
      <c r="I202">
        <v>191.78</v>
      </c>
      <c r="J202">
        <v>23013.599999999999</v>
      </c>
      <c r="K202" t="s">
        <v>45</v>
      </c>
      <c r="L202">
        <v>20220511</v>
      </c>
      <c r="M202" t="s">
        <v>73</v>
      </c>
    </row>
    <row r="203" spans="1:13">
      <c r="A203">
        <v>202</v>
      </c>
      <c r="B203" t="s">
        <v>723</v>
      </c>
      <c r="C203" t="s">
        <v>840</v>
      </c>
      <c r="D203" t="s">
        <v>724</v>
      </c>
      <c r="E203" t="s">
        <v>72</v>
      </c>
      <c r="F203" t="s">
        <v>726</v>
      </c>
      <c r="G203" s="27" t="s">
        <v>1045</v>
      </c>
      <c r="H203" s="30">
        <v>32</v>
      </c>
      <c r="I203">
        <v>409.3</v>
      </c>
      <c r="J203">
        <v>13097.6</v>
      </c>
      <c r="K203" t="s">
        <v>45</v>
      </c>
      <c r="L203">
        <v>20220511</v>
      </c>
      <c r="M203" t="s">
        <v>73</v>
      </c>
    </row>
    <row r="204" spans="1:13">
      <c r="A204">
        <v>203</v>
      </c>
      <c r="B204" t="s">
        <v>936</v>
      </c>
      <c r="C204" t="s">
        <v>937</v>
      </c>
      <c r="D204" t="s">
        <v>937</v>
      </c>
      <c r="E204" t="s">
        <v>76</v>
      </c>
      <c r="F204" t="s">
        <v>938</v>
      </c>
      <c r="G204" s="27" t="s">
        <v>1045</v>
      </c>
      <c r="H204" s="30">
        <v>1</v>
      </c>
      <c r="I204">
        <v>9519.2999999999993</v>
      </c>
      <c r="J204">
        <v>9519.2999999999993</v>
      </c>
      <c r="K204" t="s">
        <v>45</v>
      </c>
      <c r="L204">
        <v>20220511</v>
      </c>
      <c r="M204" t="s">
        <v>73</v>
      </c>
    </row>
    <row r="205" spans="1:13">
      <c r="A205">
        <v>204</v>
      </c>
      <c r="B205" t="s">
        <v>894</v>
      </c>
      <c r="C205" t="s">
        <v>898</v>
      </c>
      <c r="D205" t="s">
        <v>898</v>
      </c>
      <c r="E205" t="s">
        <v>72</v>
      </c>
      <c r="F205" t="s">
        <v>899</v>
      </c>
      <c r="G205" s="27" t="s">
        <v>1045</v>
      </c>
      <c r="H205" s="30">
        <v>5</v>
      </c>
      <c r="I205">
        <v>3826.5</v>
      </c>
      <c r="J205">
        <v>19132.5</v>
      </c>
      <c r="K205" t="s">
        <v>45</v>
      </c>
      <c r="L205">
        <v>20220511</v>
      </c>
      <c r="M205" t="s">
        <v>73</v>
      </c>
    </row>
    <row r="206" spans="1:13">
      <c r="A206">
        <v>205</v>
      </c>
      <c r="B206" t="s">
        <v>545</v>
      </c>
      <c r="C206" t="s">
        <v>546</v>
      </c>
      <c r="D206" t="s">
        <v>546</v>
      </c>
      <c r="E206" t="s">
        <v>72</v>
      </c>
      <c r="F206" t="s">
        <v>547</v>
      </c>
      <c r="G206" s="27" t="s">
        <v>1045</v>
      </c>
      <c r="H206" s="30">
        <v>10</v>
      </c>
      <c r="I206">
        <v>1344.88</v>
      </c>
      <c r="J206">
        <v>13448.800000000001</v>
      </c>
      <c r="K206" t="s">
        <v>45</v>
      </c>
      <c r="L206">
        <v>20220511</v>
      </c>
      <c r="M206" t="s">
        <v>73</v>
      </c>
    </row>
    <row r="207" spans="1:13">
      <c r="A207">
        <v>206</v>
      </c>
      <c r="B207" t="s">
        <v>925</v>
      </c>
      <c r="C207" t="s">
        <v>926</v>
      </c>
      <c r="D207" t="s">
        <v>926</v>
      </c>
      <c r="E207" t="s">
        <v>72</v>
      </c>
      <c r="F207" s="133" t="s">
        <v>927</v>
      </c>
      <c r="G207" s="27" t="s">
        <v>1046</v>
      </c>
      <c r="H207" s="30">
        <v>18</v>
      </c>
      <c r="I207">
        <v>644.29999999999995</v>
      </c>
      <c r="J207">
        <v>11597.4</v>
      </c>
      <c r="K207" t="s">
        <v>45</v>
      </c>
      <c r="L207">
        <v>20220510</v>
      </c>
      <c r="M207" t="s">
        <v>73</v>
      </c>
    </row>
    <row r="208" spans="1:13">
      <c r="A208">
        <v>207</v>
      </c>
      <c r="B208" t="s">
        <v>689</v>
      </c>
      <c r="C208" t="s">
        <v>690</v>
      </c>
      <c r="D208" t="s">
        <v>690</v>
      </c>
      <c r="E208" t="s">
        <v>72</v>
      </c>
      <c r="F208" s="133" t="s">
        <v>691</v>
      </c>
      <c r="G208" s="27" t="s">
        <v>1046</v>
      </c>
      <c r="H208" s="30">
        <v>7</v>
      </c>
      <c r="I208">
        <v>2786.36</v>
      </c>
      <c r="J208">
        <v>19504.52</v>
      </c>
      <c r="K208" t="s">
        <v>45</v>
      </c>
      <c r="L208">
        <v>20220510</v>
      </c>
      <c r="M208" t="s">
        <v>73</v>
      </c>
    </row>
    <row r="209" spans="1:13">
      <c r="A209">
        <v>208</v>
      </c>
      <c r="B209" t="s">
        <v>969</v>
      </c>
      <c r="C209" t="s">
        <v>970</v>
      </c>
      <c r="D209" t="s">
        <v>970</v>
      </c>
      <c r="E209" t="s">
        <v>72</v>
      </c>
      <c r="F209" t="s">
        <v>919</v>
      </c>
      <c r="G209" s="27" t="s">
        <v>1046</v>
      </c>
      <c r="H209" s="30">
        <v>30</v>
      </c>
      <c r="I209">
        <v>1319.21</v>
      </c>
      <c r="J209">
        <v>39576.300000000003</v>
      </c>
      <c r="K209" t="s">
        <v>45</v>
      </c>
      <c r="L209">
        <v>20220510</v>
      </c>
      <c r="M209" t="s">
        <v>73</v>
      </c>
    </row>
    <row r="210" spans="1:13">
      <c r="A210">
        <v>209</v>
      </c>
      <c r="B210" t="s">
        <v>931</v>
      </c>
      <c r="C210" t="s">
        <v>931</v>
      </c>
      <c r="D210" t="s">
        <v>931</v>
      </c>
      <c r="E210" t="s">
        <v>72</v>
      </c>
      <c r="F210" t="s">
        <v>932</v>
      </c>
      <c r="G210" s="27" t="s">
        <v>1046</v>
      </c>
      <c r="H210" s="30">
        <v>200</v>
      </c>
      <c r="I210">
        <v>143.54</v>
      </c>
      <c r="J210">
        <v>28708</v>
      </c>
      <c r="K210" t="s">
        <v>45</v>
      </c>
      <c r="L210">
        <v>20220510</v>
      </c>
      <c r="M210" t="s">
        <v>73</v>
      </c>
    </row>
    <row r="211" spans="1:13">
      <c r="A211">
        <v>210</v>
      </c>
      <c r="B211" t="s">
        <v>13</v>
      </c>
      <c r="C211" t="s">
        <v>83</v>
      </c>
      <c r="D211" t="s">
        <v>246</v>
      </c>
      <c r="E211" t="s">
        <v>76</v>
      </c>
      <c r="F211" t="s">
        <v>84</v>
      </c>
      <c r="G211" s="27" t="s">
        <v>1046</v>
      </c>
      <c r="H211" s="30">
        <v>12</v>
      </c>
      <c r="I211">
        <v>1151.6300000000001</v>
      </c>
      <c r="J211">
        <v>13819.560000000001</v>
      </c>
      <c r="K211" t="s">
        <v>45</v>
      </c>
      <c r="L211">
        <v>20220510</v>
      </c>
      <c r="M211" t="s">
        <v>73</v>
      </c>
    </row>
    <row r="212" spans="1:13">
      <c r="A212">
        <v>211</v>
      </c>
      <c r="B212" t="s">
        <v>893</v>
      </c>
      <c r="C212" t="s">
        <v>904</v>
      </c>
      <c r="D212" t="s">
        <v>904</v>
      </c>
      <c r="E212" t="s">
        <v>72</v>
      </c>
      <c r="F212" s="133" t="s">
        <v>905</v>
      </c>
      <c r="G212" s="27" t="s">
        <v>1046</v>
      </c>
      <c r="H212" s="30">
        <v>26</v>
      </c>
      <c r="I212">
        <v>835.33</v>
      </c>
      <c r="J212">
        <v>21718.58</v>
      </c>
      <c r="K212" t="s">
        <v>45</v>
      </c>
      <c r="L212">
        <v>20220510</v>
      </c>
      <c r="M212" t="s">
        <v>73</v>
      </c>
    </row>
    <row r="213" spans="1:13">
      <c r="A213">
        <v>212</v>
      </c>
      <c r="B213" t="s">
        <v>723</v>
      </c>
      <c r="C213" t="s">
        <v>840</v>
      </c>
      <c r="D213" t="s">
        <v>724</v>
      </c>
      <c r="E213" t="s">
        <v>72</v>
      </c>
      <c r="F213" s="133" t="s">
        <v>726</v>
      </c>
      <c r="G213" s="27" t="s">
        <v>1046</v>
      </c>
      <c r="H213" s="30">
        <v>60</v>
      </c>
      <c r="I213">
        <v>362.25</v>
      </c>
      <c r="J213">
        <v>21735</v>
      </c>
      <c r="K213" t="s">
        <v>45</v>
      </c>
      <c r="L213">
        <v>20220510</v>
      </c>
      <c r="M213" t="s">
        <v>73</v>
      </c>
    </row>
    <row r="214" spans="1:13">
      <c r="A214">
        <v>213</v>
      </c>
      <c r="B214" t="s">
        <v>966</v>
      </c>
      <c r="C214" t="s">
        <v>967</v>
      </c>
      <c r="D214" t="s">
        <v>967</v>
      </c>
      <c r="E214" t="s">
        <v>72</v>
      </c>
      <c r="F214" t="s">
        <v>968</v>
      </c>
      <c r="G214" s="27" t="s">
        <v>1046</v>
      </c>
      <c r="H214" s="30">
        <v>6</v>
      </c>
      <c r="I214">
        <v>1296.5</v>
      </c>
      <c r="J214">
        <v>7779</v>
      </c>
      <c r="K214" t="s">
        <v>45</v>
      </c>
      <c r="L214">
        <v>20220510</v>
      </c>
      <c r="M214" t="s">
        <v>73</v>
      </c>
    </row>
    <row r="215" spans="1:13">
      <c r="A215">
        <v>214</v>
      </c>
      <c r="B215" t="s">
        <v>751</v>
      </c>
      <c r="C215" t="s">
        <v>763</v>
      </c>
      <c r="D215" t="s">
        <v>752</v>
      </c>
      <c r="E215" t="s">
        <v>72</v>
      </c>
      <c r="F215" t="s">
        <v>754</v>
      </c>
      <c r="G215" s="27" t="s">
        <v>1046</v>
      </c>
      <c r="H215" s="30">
        <v>20</v>
      </c>
      <c r="I215">
        <v>1649.65</v>
      </c>
      <c r="J215">
        <v>32993</v>
      </c>
      <c r="K215" t="s">
        <v>45</v>
      </c>
      <c r="L215">
        <v>20220510</v>
      </c>
      <c r="M215" t="s">
        <v>73</v>
      </c>
    </row>
    <row r="216" spans="1:13">
      <c r="A216">
        <v>215</v>
      </c>
      <c r="B216" t="s">
        <v>743</v>
      </c>
      <c r="C216" t="s">
        <v>744</v>
      </c>
      <c r="D216" t="s">
        <v>744</v>
      </c>
      <c r="E216" t="s">
        <v>72</v>
      </c>
      <c r="F216" t="s">
        <v>745</v>
      </c>
      <c r="G216" s="27" t="s">
        <v>1047</v>
      </c>
      <c r="H216" s="30">
        <v>38</v>
      </c>
      <c r="I216">
        <v>388.39</v>
      </c>
      <c r="J216">
        <v>14758.82</v>
      </c>
      <c r="K216" t="s">
        <v>45</v>
      </c>
      <c r="L216">
        <v>20220509</v>
      </c>
      <c r="M216" t="s">
        <v>73</v>
      </c>
    </row>
    <row r="217" spans="1:13">
      <c r="A217">
        <v>216</v>
      </c>
      <c r="B217" t="s">
        <v>746</v>
      </c>
      <c r="C217" t="s">
        <v>747</v>
      </c>
      <c r="D217" t="s">
        <v>747</v>
      </c>
      <c r="E217" t="s">
        <v>72</v>
      </c>
      <c r="F217" t="s">
        <v>748</v>
      </c>
      <c r="G217" s="27" t="s">
        <v>1047</v>
      </c>
      <c r="H217" s="30">
        <v>54</v>
      </c>
      <c r="I217">
        <v>553.23</v>
      </c>
      <c r="J217">
        <v>29874.420000000002</v>
      </c>
      <c r="K217" t="s">
        <v>45</v>
      </c>
      <c r="L217">
        <v>20220509</v>
      </c>
      <c r="M217" t="s">
        <v>73</v>
      </c>
    </row>
    <row r="218" spans="1:13">
      <c r="A218">
        <v>217</v>
      </c>
      <c r="B218" t="s">
        <v>610</v>
      </c>
      <c r="C218" t="s">
        <v>611</v>
      </c>
      <c r="D218" t="s">
        <v>695</v>
      </c>
      <c r="E218" t="s">
        <v>72</v>
      </c>
      <c r="F218" t="s">
        <v>612</v>
      </c>
      <c r="G218" s="27" t="s">
        <v>1047</v>
      </c>
      <c r="H218" s="30">
        <v>28</v>
      </c>
      <c r="I218">
        <v>382.88</v>
      </c>
      <c r="J218">
        <v>10720.64</v>
      </c>
      <c r="K218" t="s">
        <v>45</v>
      </c>
      <c r="L218">
        <v>20220509</v>
      </c>
      <c r="M218" t="s">
        <v>73</v>
      </c>
    </row>
    <row r="219" spans="1:13">
      <c r="A219">
        <v>218</v>
      </c>
      <c r="B219" t="s">
        <v>530</v>
      </c>
      <c r="C219" t="s">
        <v>531</v>
      </c>
      <c r="D219" t="s">
        <v>531</v>
      </c>
      <c r="E219" t="s">
        <v>72</v>
      </c>
      <c r="F219" t="s">
        <v>532</v>
      </c>
      <c r="G219" s="27" t="s">
        <v>1047</v>
      </c>
      <c r="H219" s="30">
        <v>40</v>
      </c>
      <c r="I219">
        <v>691.48</v>
      </c>
      <c r="J219">
        <v>27659.200000000001</v>
      </c>
      <c r="K219" t="s">
        <v>45</v>
      </c>
      <c r="L219">
        <v>20220509</v>
      </c>
      <c r="M219" t="s">
        <v>73</v>
      </c>
    </row>
    <row r="220" spans="1:13">
      <c r="A220">
        <v>219</v>
      </c>
      <c r="B220" t="s">
        <v>936</v>
      </c>
      <c r="C220" t="s">
        <v>937</v>
      </c>
      <c r="D220" t="s">
        <v>937</v>
      </c>
      <c r="E220" t="s">
        <v>76</v>
      </c>
      <c r="F220" t="s">
        <v>938</v>
      </c>
      <c r="G220" s="27" t="s">
        <v>1047</v>
      </c>
      <c r="H220" s="30">
        <v>1</v>
      </c>
      <c r="I220">
        <v>10228</v>
      </c>
      <c r="J220">
        <v>10228</v>
      </c>
      <c r="K220" t="s">
        <v>45</v>
      </c>
      <c r="L220">
        <v>20220509</v>
      </c>
      <c r="M220" t="s">
        <v>73</v>
      </c>
    </row>
    <row r="221" spans="1:13">
      <c r="A221">
        <v>220</v>
      </c>
      <c r="B221" t="s">
        <v>749</v>
      </c>
      <c r="C221" t="s">
        <v>742</v>
      </c>
      <c r="D221" t="s">
        <v>742</v>
      </c>
      <c r="E221" t="s">
        <v>72</v>
      </c>
      <c r="F221" t="s">
        <v>750</v>
      </c>
      <c r="G221" s="27" t="s">
        <v>1045</v>
      </c>
      <c r="H221" s="30">
        <v>191</v>
      </c>
      <c r="I221">
        <v>82.34</v>
      </c>
      <c r="J221">
        <v>15726.94</v>
      </c>
      <c r="K221" t="s">
        <v>45</v>
      </c>
      <c r="L221">
        <v>20220511</v>
      </c>
      <c r="M221" t="s">
        <v>73</v>
      </c>
    </row>
    <row r="222" spans="1:13">
      <c r="A222">
        <v>221</v>
      </c>
      <c r="B222" t="s">
        <v>723</v>
      </c>
      <c r="C222" t="s">
        <v>840</v>
      </c>
      <c r="D222" t="s">
        <v>724</v>
      </c>
      <c r="E222" t="s">
        <v>72</v>
      </c>
      <c r="F222" t="s">
        <v>726</v>
      </c>
      <c r="G222" s="27" t="s">
        <v>1046</v>
      </c>
      <c r="H222" s="30">
        <v>60</v>
      </c>
      <c r="I222">
        <v>457.25</v>
      </c>
      <c r="J222">
        <v>27435</v>
      </c>
      <c r="K222" t="s">
        <v>45</v>
      </c>
      <c r="L222">
        <v>20220510</v>
      </c>
      <c r="M222" t="s">
        <v>73</v>
      </c>
    </row>
    <row r="223" spans="1:13">
      <c r="A223">
        <v>222</v>
      </c>
      <c r="B223" t="s">
        <v>743</v>
      </c>
      <c r="C223" t="s">
        <v>744</v>
      </c>
      <c r="D223" t="s">
        <v>744</v>
      </c>
      <c r="E223" t="s">
        <v>72</v>
      </c>
      <c r="F223" t="s">
        <v>745</v>
      </c>
      <c r="G223" s="27" t="s">
        <v>1042</v>
      </c>
      <c r="H223" s="30">
        <v>12</v>
      </c>
      <c r="I223">
        <v>399.9</v>
      </c>
      <c r="J223">
        <v>4798.7999999999993</v>
      </c>
      <c r="K223" t="s">
        <v>45</v>
      </c>
      <c r="L223">
        <v>20220506</v>
      </c>
      <c r="M223" t="s">
        <v>73</v>
      </c>
    </row>
    <row r="224" spans="1:13">
      <c r="A224">
        <v>223</v>
      </c>
      <c r="B224" t="s">
        <v>746</v>
      </c>
      <c r="C224" t="s">
        <v>747</v>
      </c>
      <c r="D224" t="s">
        <v>747</v>
      </c>
      <c r="E224" t="s">
        <v>72</v>
      </c>
      <c r="F224" t="s">
        <v>748</v>
      </c>
      <c r="G224" s="27" t="s">
        <v>1042</v>
      </c>
      <c r="H224" s="30">
        <v>8</v>
      </c>
      <c r="I224">
        <v>570.63</v>
      </c>
      <c r="J224">
        <v>4565.04</v>
      </c>
      <c r="K224" t="s">
        <v>45</v>
      </c>
      <c r="L224">
        <v>20220506</v>
      </c>
      <c r="M224" t="s">
        <v>73</v>
      </c>
    </row>
    <row r="225" spans="1:13">
      <c r="A225">
        <v>224</v>
      </c>
      <c r="B225" t="s">
        <v>668</v>
      </c>
      <c r="C225" t="s">
        <v>669</v>
      </c>
      <c r="D225" t="s">
        <v>669</v>
      </c>
      <c r="E225" t="s">
        <v>72</v>
      </c>
      <c r="F225" t="s">
        <v>670</v>
      </c>
      <c r="G225" s="27" t="s">
        <v>1042</v>
      </c>
      <c r="H225" s="30">
        <v>1</v>
      </c>
      <c r="I225">
        <v>4246</v>
      </c>
      <c r="J225">
        <v>4246</v>
      </c>
      <c r="K225" t="s">
        <v>45</v>
      </c>
      <c r="L225">
        <v>20220506</v>
      </c>
      <c r="M225" t="s">
        <v>73</v>
      </c>
    </row>
    <row r="226" spans="1:13">
      <c r="A226">
        <v>225</v>
      </c>
      <c r="B226" t="s">
        <v>966</v>
      </c>
      <c r="C226" t="s">
        <v>967</v>
      </c>
      <c r="D226" t="s">
        <v>967</v>
      </c>
      <c r="E226" t="s">
        <v>72</v>
      </c>
      <c r="F226" t="s">
        <v>968</v>
      </c>
      <c r="G226" s="27" t="s">
        <v>1042</v>
      </c>
      <c r="H226" s="30">
        <v>12</v>
      </c>
      <c r="I226">
        <v>1393.35</v>
      </c>
      <c r="J226">
        <v>16720.199999999997</v>
      </c>
      <c r="K226" t="s">
        <v>45</v>
      </c>
      <c r="L226">
        <v>20220506</v>
      </c>
      <c r="M226" t="s">
        <v>73</v>
      </c>
    </row>
    <row r="227" spans="1:13">
      <c r="A227">
        <v>226</v>
      </c>
      <c r="B227" t="s">
        <v>545</v>
      </c>
      <c r="C227" t="s">
        <v>546</v>
      </c>
      <c r="D227" t="s">
        <v>546</v>
      </c>
      <c r="E227" t="s">
        <v>72</v>
      </c>
      <c r="F227" t="s">
        <v>547</v>
      </c>
      <c r="G227" s="27" t="s">
        <v>1042</v>
      </c>
      <c r="H227" s="30">
        <v>15</v>
      </c>
      <c r="I227">
        <v>1504.55</v>
      </c>
      <c r="J227">
        <v>22568.25</v>
      </c>
      <c r="K227" t="s">
        <v>45</v>
      </c>
      <c r="L227">
        <v>20220506</v>
      </c>
      <c r="M227" t="s">
        <v>73</v>
      </c>
    </row>
    <row r="228" spans="1:13">
      <c r="A228">
        <v>227</v>
      </c>
      <c r="B228" t="s">
        <v>230</v>
      </c>
      <c r="C228" t="s">
        <v>117</v>
      </c>
      <c r="D228" t="s">
        <v>117</v>
      </c>
      <c r="E228" t="s">
        <v>72</v>
      </c>
      <c r="F228" t="s">
        <v>118</v>
      </c>
      <c r="G228" s="27" t="s">
        <v>1042</v>
      </c>
      <c r="H228" s="30">
        <v>118</v>
      </c>
      <c r="I228">
        <v>205.06</v>
      </c>
      <c r="J228">
        <v>24197.08</v>
      </c>
      <c r="K228" t="s">
        <v>45</v>
      </c>
      <c r="L228">
        <v>20220506</v>
      </c>
      <c r="M228" t="s">
        <v>73</v>
      </c>
    </row>
    <row r="229" spans="1:13">
      <c r="A229">
        <v>228</v>
      </c>
      <c r="B229" t="s">
        <v>881</v>
      </c>
      <c r="C229" t="s">
        <v>880</v>
      </c>
      <c r="D229" t="s">
        <v>880</v>
      </c>
      <c r="E229" t="s">
        <v>72</v>
      </c>
      <c r="F229" t="s">
        <v>882</v>
      </c>
      <c r="G229" s="27" t="s">
        <v>1042</v>
      </c>
      <c r="H229" s="30">
        <v>80</v>
      </c>
      <c r="I229">
        <v>605.35</v>
      </c>
      <c r="J229">
        <v>48428</v>
      </c>
      <c r="K229" t="s">
        <v>45</v>
      </c>
      <c r="L229">
        <v>20220506</v>
      </c>
      <c r="M229" t="s">
        <v>73</v>
      </c>
    </row>
    <row r="230" spans="1:13">
      <c r="A230">
        <v>229</v>
      </c>
      <c r="B230" t="s">
        <v>27</v>
      </c>
      <c r="C230">
        <v>500288</v>
      </c>
      <c r="D230" t="s">
        <v>104</v>
      </c>
      <c r="E230" t="s">
        <v>72</v>
      </c>
      <c r="F230" t="s">
        <v>105</v>
      </c>
      <c r="G230" s="27" t="s">
        <v>1042</v>
      </c>
      <c r="H230" s="30">
        <v>550</v>
      </c>
      <c r="I230">
        <v>40.880000000000003</v>
      </c>
      <c r="J230">
        <v>22484</v>
      </c>
      <c r="K230" t="s">
        <v>45</v>
      </c>
      <c r="L230">
        <v>20220506</v>
      </c>
      <c r="M230" t="s">
        <v>73</v>
      </c>
    </row>
    <row r="231" spans="1:13">
      <c r="A231">
        <v>230</v>
      </c>
      <c r="B231" t="s">
        <v>1028</v>
      </c>
      <c r="C231" t="s">
        <v>1029</v>
      </c>
      <c r="D231" t="s">
        <v>1029</v>
      </c>
      <c r="E231" t="s">
        <v>72</v>
      </c>
      <c r="F231" t="s">
        <v>1030</v>
      </c>
      <c r="G231" s="27" t="s">
        <v>1042</v>
      </c>
      <c r="H231" s="30">
        <v>20</v>
      </c>
      <c r="I231">
        <v>562.75</v>
      </c>
      <c r="J231">
        <v>11255</v>
      </c>
      <c r="K231" t="s">
        <v>45</v>
      </c>
      <c r="L231">
        <v>20220506</v>
      </c>
      <c r="M231" t="s">
        <v>73</v>
      </c>
    </row>
    <row r="232" spans="1:13">
      <c r="A232">
        <v>231</v>
      </c>
      <c r="B232" t="s">
        <v>610</v>
      </c>
      <c r="C232" t="s">
        <v>611</v>
      </c>
      <c r="D232" t="s">
        <v>695</v>
      </c>
      <c r="E232" t="s">
        <v>72</v>
      </c>
      <c r="F232" t="s">
        <v>612</v>
      </c>
      <c r="G232" s="27" t="s">
        <v>1042</v>
      </c>
      <c r="H232" s="30">
        <v>45</v>
      </c>
      <c r="I232">
        <v>398.65</v>
      </c>
      <c r="J232">
        <v>17939.25</v>
      </c>
      <c r="K232" t="s">
        <v>45</v>
      </c>
      <c r="L232">
        <v>20220506</v>
      </c>
      <c r="M232" t="s">
        <v>73</v>
      </c>
    </row>
    <row r="233" spans="1:13">
      <c r="A233">
        <v>232</v>
      </c>
      <c r="B233" t="s">
        <v>37</v>
      </c>
      <c r="C233" t="s">
        <v>119</v>
      </c>
      <c r="D233" t="s">
        <v>216</v>
      </c>
      <c r="E233" t="s">
        <v>76</v>
      </c>
      <c r="F233" t="s">
        <v>120</v>
      </c>
      <c r="G233" s="27" t="s">
        <v>1042</v>
      </c>
      <c r="H233" s="30">
        <v>110</v>
      </c>
      <c r="I233">
        <v>139.24</v>
      </c>
      <c r="J233">
        <v>15316.400000000001</v>
      </c>
      <c r="K233" t="s">
        <v>45</v>
      </c>
      <c r="L233">
        <v>20220506</v>
      </c>
      <c r="M233" t="s">
        <v>73</v>
      </c>
    </row>
    <row r="234" spans="1:13">
      <c r="A234">
        <v>233</v>
      </c>
      <c r="B234" t="s">
        <v>29</v>
      </c>
      <c r="C234" t="s">
        <v>107</v>
      </c>
      <c r="D234" t="s">
        <v>107</v>
      </c>
      <c r="E234" t="s">
        <v>72</v>
      </c>
      <c r="F234" t="s">
        <v>108</v>
      </c>
      <c r="G234" s="27" t="s">
        <v>1042</v>
      </c>
      <c r="H234" s="30">
        <v>3</v>
      </c>
      <c r="I234">
        <v>2277.6</v>
      </c>
      <c r="J234">
        <v>6832.7999999999993</v>
      </c>
      <c r="K234" t="s">
        <v>45</v>
      </c>
      <c r="L234">
        <v>20220506</v>
      </c>
      <c r="M234" t="s">
        <v>73</v>
      </c>
    </row>
    <row r="235" spans="1:13">
      <c r="A235">
        <v>234</v>
      </c>
      <c r="B235" t="s">
        <v>29</v>
      </c>
      <c r="C235" t="s">
        <v>107</v>
      </c>
      <c r="D235" t="s">
        <v>107</v>
      </c>
      <c r="E235" t="s">
        <v>72</v>
      </c>
      <c r="F235" t="s">
        <v>108</v>
      </c>
      <c r="G235" s="27" t="s">
        <v>1049</v>
      </c>
      <c r="H235" s="30">
        <v>2</v>
      </c>
      <c r="I235">
        <v>2315.25</v>
      </c>
      <c r="J235">
        <v>4630.5</v>
      </c>
      <c r="K235" t="s">
        <v>45</v>
      </c>
      <c r="L235">
        <v>20220505</v>
      </c>
      <c r="M235" t="s">
        <v>73</v>
      </c>
    </row>
    <row r="236" spans="1:13">
      <c r="A236">
        <v>235</v>
      </c>
      <c r="B236" t="s">
        <v>463</v>
      </c>
      <c r="C236" t="s">
        <v>463</v>
      </c>
      <c r="D236" t="s">
        <v>463</v>
      </c>
      <c r="E236" t="s">
        <v>72</v>
      </c>
      <c r="F236" t="s">
        <v>466</v>
      </c>
      <c r="G236" s="27" t="s">
        <v>1049</v>
      </c>
      <c r="H236" s="30">
        <v>20</v>
      </c>
      <c r="I236">
        <v>200.5</v>
      </c>
      <c r="J236">
        <v>4010</v>
      </c>
      <c r="K236" t="s">
        <v>45</v>
      </c>
      <c r="L236">
        <v>20220505</v>
      </c>
      <c r="M236" t="s">
        <v>73</v>
      </c>
    </row>
    <row r="237" spans="1:13">
      <c r="A237">
        <v>236</v>
      </c>
      <c r="B237" t="s">
        <v>712</v>
      </c>
      <c r="C237" t="s">
        <v>713</v>
      </c>
      <c r="D237" t="s">
        <v>716</v>
      </c>
      <c r="E237" t="s">
        <v>72</v>
      </c>
      <c r="F237" t="s">
        <v>971</v>
      </c>
      <c r="G237" s="27" t="s">
        <v>1049</v>
      </c>
      <c r="H237" s="30">
        <v>27</v>
      </c>
      <c r="I237">
        <v>1151.56</v>
      </c>
      <c r="J237">
        <v>31092.12</v>
      </c>
      <c r="K237" t="s">
        <v>45</v>
      </c>
      <c r="L237">
        <v>20220505</v>
      </c>
      <c r="M237" t="s">
        <v>73</v>
      </c>
    </row>
    <row r="238" spans="1:13">
      <c r="A238">
        <v>237</v>
      </c>
      <c r="B238" t="s">
        <v>650</v>
      </c>
      <c r="C238" t="s">
        <v>655</v>
      </c>
      <c r="D238" t="s">
        <v>655</v>
      </c>
      <c r="E238" t="s">
        <v>72</v>
      </c>
      <c r="F238" t="s">
        <v>656</v>
      </c>
      <c r="G238" s="27" t="s">
        <v>1049</v>
      </c>
      <c r="H238" s="30">
        <v>6</v>
      </c>
      <c r="I238">
        <v>4580.49</v>
      </c>
      <c r="J238">
        <v>27482.94</v>
      </c>
      <c r="K238" t="s">
        <v>45</v>
      </c>
      <c r="L238">
        <v>20220505</v>
      </c>
      <c r="M238" t="s">
        <v>73</v>
      </c>
    </row>
    <row r="239" spans="1:13">
      <c r="A239">
        <v>238</v>
      </c>
      <c r="B239" t="s">
        <v>545</v>
      </c>
      <c r="C239" t="s">
        <v>546</v>
      </c>
      <c r="D239" t="s">
        <v>546</v>
      </c>
      <c r="E239" t="s">
        <v>72</v>
      </c>
      <c r="F239" t="s">
        <v>547</v>
      </c>
      <c r="G239" s="27" t="s">
        <v>1049</v>
      </c>
      <c r="H239" s="30">
        <v>3</v>
      </c>
      <c r="I239">
        <v>1575.6</v>
      </c>
      <c r="J239">
        <v>4726.7999999999993</v>
      </c>
      <c r="K239" t="s">
        <v>45</v>
      </c>
      <c r="L239">
        <v>20220505</v>
      </c>
      <c r="M239" t="s">
        <v>73</v>
      </c>
    </row>
    <row r="240" spans="1:13">
      <c r="A240">
        <v>239</v>
      </c>
      <c r="B240" t="s">
        <v>677</v>
      </c>
      <c r="C240" t="s">
        <v>678</v>
      </c>
      <c r="D240" t="s">
        <v>678</v>
      </c>
      <c r="E240" t="s">
        <v>72</v>
      </c>
      <c r="F240" t="s">
        <v>679</v>
      </c>
      <c r="G240" s="27" t="s">
        <v>1043</v>
      </c>
      <c r="H240" s="30">
        <v>43</v>
      </c>
      <c r="I240">
        <v>430.35</v>
      </c>
      <c r="J240">
        <v>18505.05</v>
      </c>
      <c r="K240" t="s">
        <v>45</v>
      </c>
      <c r="L240">
        <v>20220504</v>
      </c>
      <c r="M240" t="s">
        <v>73</v>
      </c>
    </row>
    <row r="241" spans="1:13">
      <c r="A241">
        <v>240</v>
      </c>
      <c r="B241" t="s">
        <v>527</v>
      </c>
      <c r="C241" t="s">
        <v>528</v>
      </c>
      <c r="D241" t="s">
        <v>528</v>
      </c>
      <c r="E241" t="s">
        <v>72</v>
      </c>
      <c r="F241" t="s">
        <v>529</v>
      </c>
      <c r="G241" s="27" t="s">
        <v>1043</v>
      </c>
      <c r="H241" s="30">
        <v>29</v>
      </c>
      <c r="I241">
        <v>603.5</v>
      </c>
      <c r="J241">
        <v>17501.5</v>
      </c>
      <c r="K241" t="s">
        <v>45</v>
      </c>
      <c r="L241">
        <v>20220504</v>
      </c>
      <c r="M241" t="s">
        <v>73</v>
      </c>
    </row>
    <row r="242" spans="1:13">
      <c r="A242">
        <v>241</v>
      </c>
      <c r="B242" t="s">
        <v>723</v>
      </c>
      <c r="C242" t="s">
        <v>840</v>
      </c>
      <c r="D242" t="s">
        <v>724</v>
      </c>
      <c r="E242" t="s">
        <v>72</v>
      </c>
      <c r="F242" t="s">
        <v>726</v>
      </c>
      <c r="G242" s="27" t="s">
        <v>1043</v>
      </c>
      <c r="H242" s="30">
        <v>20</v>
      </c>
      <c r="I242">
        <v>470</v>
      </c>
      <c r="J242">
        <v>9400</v>
      </c>
      <c r="K242" t="s">
        <v>45</v>
      </c>
      <c r="L242">
        <v>20220504</v>
      </c>
      <c r="M242" t="s">
        <v>73</v>
      </c>
    </row>
    <row r="243" spans="1:13">
      <c r="A243">
        <v>242</v>
      </c>
      <c r="B243" t="s">
        <v>463</v>
      </c>
      <c r="C243" t="s">
        <v>463</v>
      </c>
      <c r="D243" t="s">
        <v>463</v>
      </c>
      <c r="E243" t="s">
        <v>72</v>
      </c>
      <c r="F243" t="s">
        <v>466</v>
      </c>
      <c r="G243" s="27" t="s">
        <v>1043</v>
      </c>
      <c r="H243" s="30">
        <v>20</v>
      </c>
      <c r="I243">
        <v>207</v>
      </c>
      <c r="J243">
        <v>4140</v>
      </c>
      <c r="K243" t="s">
        <v>45</v>
      </c>
      <c r="L243">
        <v>20220504</v>
      </c>
      <c r="M243" t="s">
        <v>73</v>
      </c>
    </row>
    <row r="244" spans="1:13">
      <c r="A244">
        <v>243</v>
      </c>
      <c r="B244" t="s">
        <v>545</v>
      </c>
      <c r="C244" t="s">
        <v>546</v>
      </c>
      <c r="D244" t="s">
        <v>546</v>
      </c>
      <c r="E244" t="s">
        <v>72</v>
      </c>
      <c r="F244" t="s">
        <v>547</v>
      </c>
      <c r="G244" s="27" t="s">
        <v>1043</v>
      </c>
      <c r="H244" s="30">
        <v>4</v>
      </c>
      <c r="I244">
        <v>1608.65</v>
      </c>
      <c r="J244">
        <v>6434.6</v>
      </c>
      <c r="K244" t="s">
        <v>45</v>
      </c>
      <c r="L244">
        <v>20220504</v>
      </c>
      <c r="M244" t="s">
        <v>73</v>
      </c>
    </row>
    <row r="245" spans="1:13">
      <c r="A245">
        <v>244</v>
      </c>
      <c r="B245" t="s">
        <v>677</v>
      </c>
      <c r="C245" t="s">
        <v>678</v>
      </c>
      <c r="D245" t="s">
        <v>678</v>
      </c>
      <c r="E245" t="s">
        <v>72</v>
      </c>
      <c r="F245" t="s">
        <v>679</v>
      </c>
      <c r="G245" s="27" t="s">
        <v>1044</v>
      </c>
      <c r="H245" s="30">
        <v>7</v>
      </c>
      <c r="I245">
        <v>452.64</v>
      </c>
      <c r="J245">
        <v>3168.48</v>
      </c>
      <c r="K245" t="s">
        <v>45</v>
      </c>
      <c r="L245">
        <v>20220502</v>
      </c>
      <c r="M245" t="s">
        <v>73</v>
      </c>
    </row>
    <row r="246" spans="1:13">
      <c r="A246">
        <v>245</v>
      </c>
      <c r="B246" t="s">
        <v>20</v>
      </c>
      <c r="C246" t="s">
        <v>93</v>
      </c>
      <c r="D246" t="s">
        <v>210</v>
      </c>
      <c r="E246" t="s">
        <v>76</v>
      </c>
      <c r="F246" t="s">
        <v>95</v>
      </c>
      <c r="G246" s="27" t="s">
        <v>1044</v>
      </c>
      <c r="H246" s="30">
        <v>10</v>
      </c>
      <c r="I246">
        <v>174</v>
      </c>
      <c r="J246">
        <v>1740</v>
      </c>
      <c r="K246" t="s">
        <v>45</v>
      </c>
      <c r="L246">
        <v>20220502</v>
      </c>
      <c r="M246" t="s">
        <v>73</v>
      </c>
    </row>
    <row r="247" spans="1:13">
      <c r="A247">
        <v>246</v>
      </c>
      <c r="B247" t="s">
        <v>610</v>
      </c>
      <c r="C247" t="s">
        <v>611</v>
      </c>
      <c r="D247" t="s">
        <v>695</v>
      </c>
      <c r="E247" t="s">
        <v>72</v>
      </c>
      <c r="F247" t="s">
        <v>612</v>
      </c>
      <c r="G247" s="27" t="s">
        <v>1044</v>
      </c>
      <c r="H247" s="30">
        <v>12</v>
      </c>
      <c r="I247">
        <v>422.6</v>
      </c>
      <c r="J247">
        <v>5071.2000000000007</v>
      </c>
      <c r="K247" t="s">
        <v>45</v>
      </c>
      <c r="L247">
        <v>20220502</v>
      </c>
      <c r="M247" t="s">
        <v>73</v>
      </c>
    </row>
    <row r="248" spans="1:13">
      <c r="A248">
        <v>247</v>
      </c>
      <c r="B248" t="s">
        <v>27</v>
      </c>
      <c r="C248">
        <v>500288</v>
      </c>
      <c r="D248" t="s">
        <v>104</v>
      </c>
      <c r="E248" t="s">
        <v>72</v>
      </c>
      <c r="F248" t="s">
        <v>105</v>
      </c>
      <c r="G248" s="27" t="s">
        <v>1044</v>
      </c>
      <c r="H248" s="30">
        <v>425</v>
      </c>
      <c r="I248">
        <v>47.94</v>
      </c>
      <c r="J248">
        <v>20374.5</v>
      </c>
      <c r="K248" t="s">
        <v>45</v>
      </c>
      <c r="L248">
        <v>20220502</v>
      </c>
      <c r="M248" t="s">
        <v>73</v>
      </c>
    </row>
    <row r="249" spans="1:13">
      <c r="A249">
        <v>248</v>
      </c>
      <c r="B249" t="s">
        <v>649</v>
      </c>
      <c r="C249" t="s">
        <v>648</v>
      </c>
      <c r="D249" t="s">
        <v>648</v>
      </c>
      <c r="E249" t="s">
        <v>72</v>
      </c>
      <c r="F249" t="s">
        <v>975</v>
      </c>
      <c r="G249" s="27" t="s">
        <v>1044</v>
      </c>
      <c r="H249" s="30">
        <v>78</v>
      </c>
      <c r="I249">
        <v>146.75</v>
      </c>
      <c r="J249">
        <v>11446.5</v>
      </c>
      <c r="K249" t="s">
        <v>45</v>
      </c>
      <c r="L249">
        <v>20220502</v>
      </c>
      <c r="M249" t="s">
        <v>73</v>
      </c>
    </row>
    <row r="250" spans="1:13">
      <c r="A250">
        <v>249</v>
      </c>
      <c r="B250" t="s">
        <v>530</v>
      </c>
      <c r="C250" t="s">
        <v>531</v>
      </c>
      <c r="D250" t="s">
        <v>531</v>
      </c>
      <c r="E250" t="s">
        <v>72</v>
      </c>
      <c r="F250" t="s">
        <v>532</v>
      </c>
      <c r="G250" s="27" t="s">
        <v>1044</v>
      </c>
      <c r="H250" s="30">
        <v>6</v>
      </c>
      <c r="I250">
        <v>740.05</v>
      </c>
      <c r="J250">
        <v>4440.2999999999993</v>
      </c>
      <c r="K250" t="s">
        <v>45</v>
      </c>
      <c r="L250">
        <v>20220502</v>
      </c>
      <c r="M250" t="s">
        <v>73</v>
      </c>
    </row>
    <row r="251" spans="1:13">
      <c r="A251">
        <v>250</v>
      </c>
      <c r="B251" t="s">
        <v>533</v>
      </c>
      <c r="C251" t="s">
        <v>534</v>
      </c>
      <c r="D251" t="s">
        <v>534</v>
      </c>
      <c r="E251" t="s">
        <v>72</v>
      </c>
      <c r="F251" t="s">
        <v>535</v>
      </c>
      <c r="G251" s="27" t="s">
        <v>1044</v>
      </c>
      <c r="H251" s="30">
        <v>1</v>
      </c>
      <c r="I251">
        <v>3155.8</v>
      </c>
      <c r="J251">
        <v>3155.8</v>
      </c>
      <c r="K251" t="s">
        <v>45</v>
      </c>
      <c r="L251">
        <v>20220502</v>
      </c>
      <c r="M251" t="s">
        <v>73</v>
      </c>
    </row>
    <row r="252" spans="1:13">
      <c r="A252">
        <v>251</v>
      </c>
      <c r="B252" t="s">
        <v>894</v>
      </c>
      <c r="C252" t="s">
        <v>898</v>
      </c>
      <c r="D252" t="s">
        <v>898</v>
      </c>
      <c r="E252" t="s">
        <v>72</v>
      </c>
      <c r="F252" t="s">
        <v>899</v>
      </c>
      <c r="G252" s="27" t="s">
        <v>1044</v>
      </c>
      <c r="H252" s="30">
        <v>1</v>
      </c>
      <c r="I252">
        <v>3975</v>
      </c>
      <c r="J252">
        <v>3975</v>
      </c>
      <c r="K252" t="s">
        <v>45</v>
      </c>
      <c r="L252">
        <v>20220502</v>
      </c>
      <c r="M252" t="s">
        <v>73</v>
      </c>
    </row>
    <row r="253" spans="1:13">
      <c r="A253">
        <v>252</v>
      </c>
      <c r="B253" t="s">
        <v>712</v>
      </c>
      <c r="C253" t="s">
        <v>713</v>
      </c>
      <c r="D253" t="s">
        <v>716</v>
      </c>
      <c r="E253" t="s">
        <v>72</v>
      </c>
      <c r="F253" t="s">
        <v>971</v>
      </c>
      <c r="G253" s="27" t="s">
        <v>1044</v>
      </c>
      <c r="H253" s="30">
        <v>3</v>
      </c>
      <c r="I253">
        <v>1217.5</v>
      </c>
      <c r="J253">
        <v>3652.5</v>
      </c>
      <c r="K253" t="s">
        <v>45</v>
      </c>
      <c r="L253">
        <v>20220502</v>
      </c>
      <c r="M253" t="s">
        <v>73</v>
      </c>
    </row>
    <row r="254" spans="1:13">
      <c r="A254">
        <v>253</v>
      </c>
      <c r="B254" t="s">
        <v>651</v>
      </c>
      <c r="C254" t="s">
        <v>653</v>
      </c>
      <c r="D254" t="s">
        <v>653</v>
      </c>
      <c r="E254" t="s">
        <v>72</v>
      </c>
      <c r="F254" t="s">
        <v>654</v>
      </c>
      <c r="G254" s="27" t="s">
        <v>1044</v>
      </c>
      <c r="H254" s="30">
        <v>36</v>
      </c>
      <c r="I254">
        <v>829.72</v>
      </c>
      <c r="J254">
        <v>29869.920000000002</v>
      </c>
      <c r="K254" t="s">
        <v>45</v>
      </c>
      <c r="L254">
        <v>20220502</v>
      </c>
      <c r="M254" t="s">
        <v>73</v>
      </c>
    </row>
    <row r="255" spans="1:13">
      <c r="A255">
        <v>254</v>
      </c>
      <c r="B255" t="s">
        <v>13</v>
      </c>
      <c r="C255" t="s">
        <v>83</v>
      </c>
      <c r="D255" t="s">
        <v>246</v>
      </c>
      <c r="E255" t="s">
        <v>76</v>
      </c>
      <c r="F255" t="s">
        <v>84</v>
      </c>
      <c r="G255" s="27" t="s">
        <v>1044</v>
      </c>
      <c r="H255" s="30">
        <v>4</v>
      </c>
      <c r="I255">
        <v>1204.75</v>
      </c>
      <c r="J255">
        <v>4819</v>
      </c>
      <c r="K255" t="s">
        <v>45</v>
      </c>
      <c r="L255">
        <v>20220502</v>
      </c>
      <c r="M255" t="s">
        <v>73</v>
      </c>
    </row>
    <row r="256" spans="1:13">
      <c r="A256">
        <v>255</v>
      </c>
      <c r="B256" t="s">
        <v>539</v>
      </c>
      <c r="C256" t="s">
        <v>540</v>
      </c>
      <c r="D256" t="s">
        <v>540</v>
      </c>
      <c r="E256" t="s">
        <v>72</v>
      </c>
      <c r="F256" t="s">
        <v>541</v>
      </c>
      <c r="G256" s="27" t="s">
        <v>1044</v>
      </c>
      <c r="H256" s="30">
        <v>3</v>
      </c>
      <c r="I256">
        <v>1083.1500000000001</v>
      </c>
      <c r="J256">
        <v>3249.4500000000003</v>
      </c>
      <c r="K256" t="s">
        <v>45</v>
      </c>
      <c r="L256">
        <v>20220502</v>
      </c>
      <c r="M256" t="s">
        <v>73</v>
      </c>
    </row>
    <row r="257" spans="1:13">
      <c r="A257">
        <v>256</v>
      </c>
      <c r="B257" t="s">
        <v>230</v>
      </c>
      <c r="C257" t="s">
        <v>117</v>
      </c>
      <c r="D257" t="s">
        <v>117</v>
      </c>
      <c r="E257" t="s">
        <v>72</v>
      </c>
      <c r="F257" t="s">
        <v>118</v>
      </c>
      <c r="G257" s="27" t="s">
        <v>1044</v>
      </c>
      <c r="H257" s="30">
        <v>84</v>
      </c>
      <c r="I257">
        <v>216.97</v>
      </c>
      <c r="J257">
        <v>18225.48</v>
      </c>
      <c r="K257" t="s">
        <v>45</v>
      </c>
      <c r="L257">
        <v>20220502</v>
      </c>
      <c r="M257" t="s">
        <v>73</v>
      </c>
    </row>
    <row r="258" spans="1:13">
      <c r="A258">
        <v>257</v>
      </c>
      <c r="B258" t="s">
        <v>12</v>
      </c>
      <c r="C258" t="s">
        <v>410</v>
      </c>
      <c r="D258" t="s">
        <v>81</v>
      </c>
      <c r="E258" t="s">
        <v>72</v>
      </c>
      <c r="F258" t="s">
        <v>82</v>
      </c>
      <c r="G258" s="27" t="s">
        <v>1031</v>
      </c>
      <c r="H258" s="30">
        <v>41</v>
      </c>
      <c r="I258">
        <v>715.6</v>
      </c>
      <c r="J258">
        <v>29339.600000000002</v>
      </c>
      <c r="K258" t="s">
        <v>45</v>
      </c>
      <c r="L258">
        <v>20220428</v>
      </c>
      <c r="M258" t="s">
        <v>73</v>
      </c>
    </row>
    <row r="259" spans="1:13">
      <c r="A259">
        <v>258</v>
      </c>
      <c r="B259" t="s">
        <v>566</v>
      </c>
      <c r="C259" t="s">
        <v>567</v>
      </c>
      <c r="D259" t="s">
        <v>567</v>
      </c>
      <c r="E259" t="s">
        <v>72</v>
      </c>
      <c r="F259" t="s">
        <v>585</v>
      </c>
      <c r="G259" s="27" t="s">
        <v>1031</v>
      </c>
      <c r="H259" s="30">
        <v>7</v>
      </c>
      <c r="I259">
        <v>491.64</v>
      </c>
      <c r="J259">
        <v>3441.48</v>
      </c>
      <c r="K259" t="s">
        <v>45</v>
      </c>
      <c r="L259">
        <v>20220428</v>
      </c>
      <c r="M259" t="s">
        <v>73</v>
      </c>
    </row>
    <row r="260" spans="1:13">
      <c r="A260">
        <v>259</v>
      </c>
      <c r="B260" t="s">
        <v>749</v>
      </c>
      <c r="C260" t="s">
        <v>742</v>
      </c>
      <c r="D260" t="s">
        <v>742</v>
      </c>
      <c r="E260" t="s">
        <v>72</v>
      </c>
      <c r="F260" t="s">
        <v>750</v>
      </c>
      <c r="G260" s="27" t="s">
        <v>1031</v>
      </c>
      <c r="H260" s="30">
        <v>100</v>
      </c>
      <c r="I260">
        <v>85.05</v>
      </c>
      <c r="J260" s="54">
        <v>8505</v>
      </c>
      <c r="K260" t="s">
        <v>45</v>
      </c>
      <c r="L260">
        <v>20220428</v>
      </c>
      <c r="M260" t="s">
        <v>73</v>
      </c>
    </row>
    <row r="261" spans="1:13">
      <c r="A261">
        <v>260</v>
      </c>
      <c r="B261" t="s">
        <v>671</v>
      </c>
      <c r="C261" t="s">
        <v>672</v>
      </c>
      <c r="D261" t="s">
        <v>672</v>
      </c>
      <c r="E261" t="s">
        <v>72</v>
      </c>
      <c r="F261" t="s">
        <v>673</v>
      </c>
      <c r="G261" s="27" t="s">
        <v>1032</v>
      </c>
      <c r="H261" s="30">
        <v>9</v>
      </c>
      <c r="I261">
        <v>6710.9</v>
      </c>
      <c r="J261">
        <v>60398.1</v>
      </c>
      <c r="K261" t="s">
        <v>45</v>
      </c>
      <c r="L261">
        <v>20220427</v>
      </c>
      <c r="M261" t="s">
        <v>73</v>
      </c>
    </row>
    <row r="262" spans="1:13">
      <c r="A262">
        <v>261</v>
      </c>
      <c r="B262" t="s">
        <v>969</v>
      </c>
      <c r="C262" t="s">
        <v>970</v>
      </c>
      <c r="D262" t="s">
        <v>970</v>
      </c>
      <c r="E262" t="s">
        <v>72</v>
      </c>
      <c r="F262" t="s">
        <v>919</v>
      </c>
      <c r="G262" s="27" t="s">
        <v>1032</v>
      </c>
      <c r="H262" s="30">
        <v>20</v>
      </c>
      <c r="I262">
        <v>1500.65</v>
      </c>
      <c r="J262">
        <v>30013</v>
      </c>
      <c r="K262" t="s">
        <v>45</v>
      </c>
      <c r="L262">
        <v>20220427</v>
      </c>
      <c r="M262" t="s">
        <v>73</v>
      </c>
    </row>
    <row r="263" spans="1:13">
      <c r="A263">
        <v>262</v>
      </c>
      <c r="B263" t="s">
        <v>1028</v>
      </c>
      <c r="C263" t="s">
        <v>1029</v>
      </c>
      <c r="D263" t="s">
        <v>1029</v>
      </c>
      <c r="E263" t="s">
        <v>72</v>
      </c>
      <c r="F263" t="s">
        <v>1030</v>
      </c>
      <c r="G263" s="27" t="s">
        <v>1032</v>
      </c>
      <c r="H263" s="30">
        <v>20</v>
      </c>
      <c r="I263">
        <v>514.04999999999995</v>
      </c>
      <c r="J263">
        <v>10281</v>
      </c>
      <c r="K263" t="s">
        <v>45</v>
      </c>
      <c r="L263">
        <v>20220427</v>
      </c>
      <c r="M263" t="s">
        <v>73</v>
      </c>
    </row>
    <row r="264" spans="1:13">
      <c r="A264">
        <v>263</v>
      </c>
      <c r="B264" t="s">
        <v>966</v>
      </c>
      <c r="C264" t="s">
        <v>967</v>
      </c>
      <c r="D264" t="s">
        <v>967</v>
      </c>
      <c r="E264" t="s">
        <v>72</v>
      </c>
      <c r="F264" t="s">
        <v>968</v>
      </c>
      <c r="G264" s="27" t="s">
        <v>1032</v>
      </c>
      <c r="H264" s="30">
        <v>6</v>
      </c>
      <c r="I264">
        <v>1476.52</v>
      </c>
      <c r="J264">
        <v>8859.119999999999</v>
      </c>
      <c r="K264" t="s">
        <v>45</v>
      </c>
      <c r="L264">
        <v>20220427</v>
      </c>
      <c r="M264" t="s">
        <v>73</v>
      </c>
    </row>
    <row r="265" spans="1:13">
      <c r="A265">
        <v>264</v>
      </c>
      <c r="B265" t="s">
        <v>966</v>
      </c>
      <c r="C265" t="s">
        <v>967</v>
      </c>
      <c r="D265" t="s">
        <v>967</v>
      </c>
      <c r="E265" t="s">
        <v>72</v>
      </c>
      <c r="F265" t="s">
        <v>968</v>
      </c>
      <c r="G265" s="27" t="s">
        <v>1033</v>
      </c>
      <c r="H265" s="30">
        <v>8</v>
      </c>
      <c r="I265">
        <v>1509.23</v>
      </c>
      <c r="J265">
        <v>12073.84</v>
      </c>
      <c r="K265" t="s">
        <v>45</v>
      </c>
      <c r="L265">
        <v>20220426</v>
      </c>
      <c r="M265" t="s">
        <v>73</v>
      </c>
    </row>
    <row r="266" spans="1:13">
      <c r="A266">
        <v>265</v>
      </c>
      <c r="B266" t="s">
        <v>925</v>
      </c>
      <c r="C266" t="s">
        <v>926</v>
      </c>
      <c r="D266" t="s">
        <v>926</v>
      </c>
      <c r="E266" t="s">
        <v>72</v>
      </c>
      <c r="F266" t="s">
        <v>927</v>
      </c>
      <c r="G266" s="27" t="s">
        <v>1033</v>
      </c>
      <c r="H266" s="30">
        <v>30</v>
      </c>
      <c r="I266">
        <v>713.44</v>
      </c>
      <c r="J266">
        <v>21403.200000000001</v>
      </c>
      <c r="K266" t="s">
        <v>45</v>
      </c>
      <c r="L266">
        <v>20220426</v>
      </c>
      <c r="M266" t="s">
        <v>73</v>
      </c>
    </row>
    <row r="267" spans="1:13">
      <c r="A267">
        <v>266</v>
      </c>
      <c r="B267" t="s">
        <v>881</v>
      </c>
      <c r="C267" t="s">
        <v>880</v>
      </c>
      <c r="D267" t="s">
        <v>880</v>
      </c>
      <c r="E267" t="s">
        <v>72</v>
      </c>
      <c r="F267" t="s">
        <v>882</v>
      </c>
      <c r="G267" s="27" t="s">
        <v>1033</v>
      </c>
      <c r="H267" s="30">
        <v>40</v>
      </c>
      <c r="I267">
        <v>693.33</v>
      </c>
      <c r="J267">
        <v>27733.200000000001</v>
      </c>
      <c r="K267" t="s">
        <v>45</v>
      </c>
      <c r="L267">
        <v>20220426</v>
      </c>
      <c r="M267" t="s">
        <v>73</v>
      </c>
    </row>
    <row r="268" spans="1:13">
      <c r="A268">
        <v>267</v>
      </c>
      <c r="B268" t="s">
        <v>712</v>
      </c>
      <c r="C268" t="s">
        <v>713</v>
      </c>
      <c r="D268" t="s">
        <v>716</v>
      </c>
      <c r="E268" t="s">
        <v>72</v>
      </c>
      <c r="F268" t="s">
        <v>971</v>
      </c>
      <c r="G268" s="27" t="s">
        <v>1033</v>
      </c>
      <c r="H268" s="30">
        <v>3</v>
      </c>
      <c r="I268">
        <v>1204.9000000000001</v>
      </c>
      <c r="J268">
        <v>3614.7000000000003</v>
      </c>
      <c r="K268" t="s">
        <v>45</v>
      </c>
      <c r="L268">
        <v>20220426</v>
      </c>
      <c r="M268" t="s">
        <v>73</v>
      </c>
    </row>
    <row r="269" spans="1:13">
      <c r="A269">
        <v>268</v>
      </c>
      <c r="B269" t="s">
        <v>530</v>
      </c>
      <c r="C269" t="s">
        <v>531</v>
      </c>
      <c r="D269" t="s">
        <v>531</v>
      </c>
      <c r="E269" t="s">
        <v>72</v>
      </c>
      <c r="F269" t="s">
        <v>532</v>
      </c>
      <c r="G269" s="27" t="s">
        <v>1033</v>
      </c>
      <c r="H269" s="30">
        <v>30</v>
      </c>
      <c r="I269">
        <v>786.5</v>
      </c>
      <c r="J269">
        <v>23595</v>
      </c>
      <c r="K269" t="s">
        <v>45</v>
      </c>
      <c r="L269">
        <v>20220426</v>
      </c>
      <c r="M269" t="s">
        <v>73</v>
      </c>
    </row>
    <row r="270" spans="1:13">
      <c r="A270">
        <v>269</v>
      </c>
      <c r="B270" t="s">
        <v>1028</v>
      </c>
      <c r="C270" t="s">
        <v>1029</v>
      </c>
      <c r="D270" t="s">
        <v>1029</v>
      </c>
      <c r="E270" t="s">
        <v>72</v>
      </c>
      <c r="F270" t="s">
        <v>1030</v>
      </c>
      <c r="G270" s="27" t="s">
        <v>1033</v>
      </c>
      <c r="H270" s="30">
        <v>20</v>
      </c>
      <c r="I270">
        <v>543.79999999999995</v>
      </c>
      <c r="J270">
        <v>10876</v>
      </c>
      <c r="K270" t="s">
        <v>45</v>
      </c>
      <c r="L270">
        <v>20220426</v>
      </c>
      <c r="M270" t="s">
        <v>73</v>
      </c>
    </row>
    <row r="271" spans="1:13">
      <c r="A271">
        <v>270</v>
      </c>
      <c r="B271" t="s">
        <v>881</v>
      </c>
      <c r="C271" t="s">
        <v>880</v>
      </c>
      <c r="D271" t="s">
        <v>880</v>
      </c>
      <c r="E271" t="s">
        <v>72</v>
      </c>
      <c r="F271" t="s">
        <v>882</v>
      </c>
      <c r="G271" s="27" t="s">
        <v>1034</v>
      </c>
      <c r="H271" s="30">
        <v>19</v>
      </c>
      <c r="I271">
        <v>699.54</v>
      </c>
      <c r="J271">
        <v>13291.259999999998</v>
      </c>
      <c r="K271" t="s">
        <v>45</v>
      </c>
      <c r="L271">
        <v>20220425</v>
      </c>
      <c r="M271" t="s">
        <v>73</v>
      </c>
    </row>
    <row r="272" spans="1:13">
      <c r="A272">
        <v>271</v>
      </c>
      <c r="B272" t="s">
        <v>931</v>
      </c>
      <c r="C272" t="s">
        <v>931</v>
      </c>
      <c r="D272" t="s">
        <v>931</v>
      </c>
      <c r="E272" t="s">
        <v>72</v>
      </c>
      <c r="F272" t="s">
        <v>932</v>
      </c>
      <c r="G272" s="27" t="s">
        <v>1034</v>
      </c>
      <c r="H272" s="30">
        <v>200</v>
      </c>
      <c r="I272" s="54">
        <v>159.03</v>
      </c>
      <c r="J272" s="54">
        <v>31806</v>
      </c>
      <c r="K272" t="s">
        <v>45</v>
      </c>
      <c r="L272">
        <v>20220425</v>
      </c>
      <c r="M272" t="s">
        <v>73</v>
      </c>
    </row>
    <row r="273" spans="1:13">
      <c r="A273">
        <v>272</v>
      </c>
      <c r="B273" t="s">
        <v>530</v>
      </c>
      <c r="C273" t="s">
        <v>531</v>
      </c>
      <c r="D273" t="s">
        <v>531</v>
      </c>
      <c r="E273" t="s">
        <v>72</v>
      </c>
      <c r="F273" t="s">
        <v>532</v>
      </c>
      <c r="G273" s="27" t="s">
        <v>1034</v>
      </c>
      <c r="H273" s="30">
        <v>4</v>
      </c>
      <c r="I273">
        <v>804.6</v>
      </c>
      <c r="J273">
        <v>3218.4</v>
      </c>
      <c r="K273" t="s">
        <v>45</v>
      </c>
      <c r="L273">
        <v>20220425</v>
      </c>
      <c r="M273" t="s">
        <v>73</v>
      </c>
    </row>
    <row r="274" spans="1:13">
      <c r="A274">
        <v>273</v>
      </c>
      <c r="B274" t="s">
        <v>751</v>
      </c>
      <c r="C274" t="s">
        <v>763</v>
      </c>
      <c r="D274" t="s">
        <v>752</v>
      </c>
      <c r="E274" t="s">
        <v>72</v>
      </c>
      <c r="F274" t="s">
        <v>754</v>
      </c>
      <c r="G274" s="27" t="s">
        <v>1034</v>
      </c>
      <c r="H274" s="30">
        <v>16</v>
      </c>
      <c r="I274">
        <v>1850.94</v>
      </c>
      <c r="J274">
        <v>29615.040000000001</v>
      </c>
      <c r="K274" t="s">
        <v>45</v>
      </c>
      <c r="L274">
        <v>20220425</v>
      </c>
      <c r="M274" t="s">
        <v>73</v>
      </c>
    </row>
    <row r="275" spans="1:13">
      <c r="A275">
        <v>274</v>
      </c>
      <c r="B275" t="s">
        <v>894</v>
      </c>
      <c r="C275" t="s">
        <v>898</v>
      </c>
      <c r="D275" t="s">
        <v>898</v>
      </c>
      <c r="E275" t="s">
        <v>72</v>
      </c>
      <c r="F275" t="s">
        <v>899</v>
      </c>
      <c r="G275" s="27" t="s">
        <v>1034</v>
      </c>
      <c r="H275" s="30">
        <v>1</v>
      </c>
      <c r="I275">
        <v>4018.35</v>
      </c>
      <c r="J275">
        <v>4018.35</v>
      </c>
      <c r="K275" t="s">
        <v>45</v>
      </c>
      <c r="L275">
        <v>20220425</v>
      </c>
      <c r="M275" t="s">
        <v>73</v>
      </c>
    </row>
    <row r="276" spans="1:13">
      <c r="A276">
        <v>275</v>
      </c>
      <c r="B276" t="s">
        <v>894</v>
      </c>
      <c r="C276" t="s">
        <v>898</v>
      </c>
      <c r="D276" t="s">
        <v>898</v>
      </c>
      <c r="E276" t="s">
        <v>72</v>
      </c>
      <c r="F276" t="s">
        <v>899</v>
      </c>
      <c r="G276" s="27" t="s">
        <v>1035</v>
      </c>
      <c r="H276" s="30">
        <v>1</v>
      </c>
      <c r="I276">
        <v>4210.8500000000004</v>
      </c>
      <c r="J276">
        <v>4210.8500000000004</v>
      </c>
      <c r="K276" t="s">
        <v>45</v>
      </c>
      <c r="L276">
        <v>20220422</v>
      </c>
      <c r="M276" t="s">
        <v>73</v>
      </c>
    </row>
    <row r="277" spans="1:13">
      <c r="A277">
        <v>276</v>
      </c>
      <c r="B277" t="s">
        <v>936</v>
      </c>
      <c r="C277" t="s">
        <v>937</v>
      </c>
      <c r="D277" t="s">
        <v>937</v>
      </c>
      <c r="E277" t="s">
        <v>76</v>
      </c>
      <c r="F277" t="s">
        <v>938</v>
      </c>
      <c r="G277" s="27" t="s">
        <v>1035</v>
      </c>
      <c r="H277" s="30">
        <v>1</v>
      </c>
      <c r="I277">
        <v>10925</v>
      </c>
      <c r="J277">
        <v>10925</v>
      </c>
      <c r="K277" t="s">
        <v>45</v>
      </c>
      <c r="L277">
        <v>20220422</v>
      </c>
      <c r="M277" t="s">
        <v>73</v>
      </c>
    </row>
    <row r="278" spans="1:13">
      <c r="A278">
        <v>277</v>
      </c>
      <c r="B278" t="s">
        <v>925</v>
      </c>
      <c r="C278" t="s">
        <v>926</v>
      </c>
      <c r="D278" t="s">
        <v>926</v>
      </c>
      <c r="E278" t="s">
        <v>72</v>
      </c>
      <c r="F278" t="s">
        <v>927</v>
      </c>
      <c r="G278" s="27" t="s">
        <v>1037</v>
      </c>
      <c r="H278" s="30">
        <v>5</v>
      </c>
      <c r="I278">
        <v>748</v>
      </c>
      <c r="J278">
        <v>3740</v>
      </c>
      <c r="K278" t="s">
        <v>45</v>
      </c>
      <c r="L278">
        <v>20220420</v>
      </c>
      <c r="M278" t="s">
        <v>73</v>
      </c>
    </row>
    <row r="279" spans="1:13">
      <c r="A279">
        <v>278</v>
      </c>
      <c r="B279" t="s">
        <v>727</v>
      </c>
      <c r="C279" t="s">
        <v>728</v>
      </c>
      <c r="D279" t="s">
        <v>728</v>
      </c>
      <c r="E279" t="s">
        <v>72</v>
      </c>
      <c r="F279" t="s">
        <v>729</v>
      </c>
      <c r="G279" s="27" t="s">
        <v>1037</v>
      </c>
      <c r="H279" s="30">
        <v>12</v>
      </c>
      <c r="I279">
        <v>1354.98</v>
      </c>
      <c r="J279">
        <v>16259.76</v>
      </c>
      <c r="K279" t="s">
        <v>45</v>
      </c>
      <c r="L279">
        <v>20220420</v>
      </c>
      <c r="M279" t="s">
        <v>73</v>
      </c>
    </row>
    <row r="280" spans="1:13">
      <c r="A280">
        <v>279</v>
      </c>
      <c r="B280" t="s">
        <v>936</v>
      </c>
      <c r="C280" t="s">
        <v>937</v>
      </c>
      <c r="D280" t="s">
        <v>937</v>
      </c>
      <c r="E280" t="s">
        <v>76</v>
      </c>
      <c r="F280" t="s">
        <v>938</v>
      </c>
      <c r="G280" s="27" t="s">
        <v>1037</v>
      </c>
      <c r="H280" s="30">
        <v>2</v>
      </c>
      <c r="I280">
        <v>11357.45</v>
      </c>
      <c r="J280">
        <v>22714.9</v>
      </c>
      <c r="K280" t="s">
        <v>45</v>
      </c>
      <c r="L280">
        <v>20220420</v>
      </c>
      <c r="M280" t="s">
        <v>73</v>
      </c>
    </row>
    <row r="281" spans="1:13">
      <c r="A281">
        <v>280</v>
      </c>
      <c r="B281" t="s">
        <v>751</v>
      </c>
      <c r="C281" t="s">
        <v>763</v>
      </c>
      <c r="D281" t="s">
        <v>752</v>
      </c>
      <c r="E281" t="s">
        <v>72</v>
      </c>
      <c r="F281" t="s">
        <v>754</v>
      </c>
      <c r="G281" s="27" t="s">
        <v>1037</v>
      </c>
      <c r="H281" s="30">
        <v>2</v>
      </c>
      <c r="I281">
        <v>1993.5</v>
      </c>
      <c r="J281">
        <v>3987</v>
      </c>
      <c r="K281" t="s">
        <v>45</v>
      </c>
      <c r="L281">
        <v>20220420</v>
      </c>
      <c r="M281" t="s">
        <v>73</v>
      </c>
    </row>
    <row r="282" spans="1:13">
      <c r="A282">
        <v>281</v>
      </c>
      <c r="B282" t="s">
        <v>723</v>
      </c>
      <c r="C282" t="s">
        <v>840</v>
      </c>
      <c r="D282" t="s">
        <v>724</v>
      </c>
      <c r="E282" t="s">
        <v>72</v>
      </c>
      <c r="F282" t="s">
        <v>726</v>
      </c>
      <c r="G282" s="27" t="s">
        <v>1037</v>
      </c>
      <c r="H282" s="30">
        <v>7</v>
      </c>
      <c r="I282">
        <v>471.54</v>
      </c>
      <c r="J282">
        <v>3300.78</v>
      </c>
      <c r="K282" t="s">
        <v>45</v>
      </c>
      <c r="L282">
        <v>20220420</v>
      </c>
      <c r="M282" t="s">
        <v>73</v>
      </c>
    </row>
    <row r="283" spans="1:13">
      <c r="A283">
        <v>282</v>
      </c>
      <c r="B283" t="s">
        <v>566</v>
      </c>
      <c r="C283" t="s">
        <v>567</v>
      </c>
      <c r="D283" t="s">
        <v>567</v>
      </c>
      <c r="E283" t="s">
        <v>72</v>
      </c>
      <c r="F283" t="s">
        <v>585</v>
      </c>
      <c r="G283" s="27" t="s">
        <v>1037</v>
      </c>
      <c r="H283" s="30">
        <v>7</v>
      </c>
      <c r="I283">
        <v>499.94</v>
      </c>
      <c r="J283">
        <v>3499.58</v>
      </c>
      <c r="K283" t="s">
        <v>45</v>
      </c>
      <c r="L283">
        <v>20220420</v>
      </c>
      <c r="M283" t="s">
        <v>73</v>
      </c>
    </row>
    <row r="284" spans="1:13">
      <c r="A284">
        <v>283</v>
      </c>
      <c r="B284" t="s">
        <v>677</v>
      </c>
      <c r="C284" t="s">
        <v>678</v>
      </c>
      <c r="D284" t="s">
        <v>678</v>
      </c>
      <c r="E284" t="s">
        <v>72</v>
      </c>
      <c r="F284" t="s">
        <v>679</v>
      </c>
      <c r="G284" s="27" t="s">
        <v>1037</v>
      </c>
      <c r="H284" s="30">
        <v>35</v>
      </c>
      <c r="I284">
        <v>456.89</v>
      </c>
      <c r="J284">
        <v>15991.15</v>
      </c>
      <c r="K284" t="s">
        <v>45</v>
      </c>
      <c r="L284">
        <v>20220420</v>
      </c>
      <c r="M284" t="s">
        <v>73</v>
      </c>
    </row>
    <row r="285" spans="1:13">
      <c r="A285">
        <v>284</v>
      </c>
      <c r="B285" t="s">
        <v>530</v>
      </c>
      <c r="C285" t="s">
        <v>531</v>
      </c>
      <c r="D285" t="s">
        <v>531</v>
      </c>
      <c r="E285" t="s">
        <v>72</v>
      </c>
      <c r="F285" t="s">
        <v>532</v>
      </c>
      <c r="G285" s="27" t="s">
        <v>1037</v>
      </c>
      <c r="H285" s="30">
        <v>4</v>
      </c>
      <c r="I285">
        <v>822.05</v>
      </c>
      <c r="J285">
        <v>3288.2</v>
      </c>
      <c r="K285" t="s">
        <v>45</v>
      </c>
      <c r="L285">
        <v>20220420</v>
      </c>
      <c r="M285" t="s">
        <v>73</v>
      </c>
    </row>
    <row r="286" spans="1:13">
      <c r="A286">
        <v>285</v>
      </c>
      <c r="B286" t="s">
        <v>894</v>
      </c>
      <c r="C286" t="s">
        <v>898</v>
      </c>
      <c r="D286" t="s">
        <v>898</v>
      </c>
      <c r="E286" t="s">
        <v>72</v>
      </c>
      <c r="F286" t="s">
        <v>899</v>
      </c>
      <c r="G286" s="27" t="s">
        <v>1038</v>
      </c>
      <c r="H286" s="30">
        <v>4</v>
      </c>
      <c r="I286">
        <v>4265.6000000000004</v>
      </c>
      <c r="J286">
        <v>17062.400000000001</v>
      </c>
      <c r="K286" t="s">
        <v>45</v>
      </c>
      <c r="L286">
        <v>20220419</v>
      </c>
      <c r="M286" t="s">
        <v>73</v>
      </c>
    </row>
    <row r="287" spans="1:13">
      <c r="A287">
        <v>286</v>
      </c>
      <c r="B287" t="s">
        <v>751</v>
      </c>
      <c r="C287" t="s">
        <v>763</v>
      </c>
      <c r="D287" t="s">
        <v>752</v>
      </c>
      <c r="E287" t="s">
        <v>72</v>
      </c>
      <c r="F287" t="s">
        <v>754</v>
      </c>
      <c r="G287" s="27" t="s">
        <v>1039</v>
      </c>
      <c r="H287" s="30">
        <v>7</v>
      </c>
      <c r="I287">
        <v>2046.64</v>
      </c>
      <c r="J287">
        <v>14326.480000000001</v>
      </c>
      <c r="K287" t="s">
        <v>45</v>
      </c>
      <c r="L287">
        <v>20220418</v>
      </c>
      <c r="M287" t="s">
        <v>73</v>
      </c>
    </row>
    <row r="288" spans="1:13">
      <c r="A288">
        <v>287</v>
      </c>
      <c r="B288" t="s">
        <v>894</v>
      </c>
      <c r="C288" t="s">
        <v>898</v>
      </c>
      <c r="D288" t="s">
        <v>898</v>
      </c>
      <c r="E288" t="s">
        <v>72</v>
      </c>
      <c r="F288" t="s">
        <v>899</v>
      </c>
      <c r="G288" s="27" t="s">
        <v>1039</v>
      </c>
      <c r="H288" s="30">
        <v>2</v>
      </c>
      <c r="I288">
        <v>4365.2</v>
      </c>
      <c r="J288">
        <v>8730.4</v>
      </c>
      <c r="K288" t="s">
        <v>45</v>
      </c>
      <c r="L288">
        <v>20220418</v>
      </c>
      <c r="M288" t="s">
        <v>73</v>
      </c>
    </row>
    <row r="289" spans="1:13">
      <c r="A289">
        <v>288</v>
      </c>
      <c r="B289" t="s">
        <v>1028</v>
      </c>
      <c r="C289" t="s">
        <v>1029</v>
      </c>
      <c r="D289" t="s">
        <v>1029</v>
      </c>
      <c r="E289" t="s">
        <v>72</v>
      </c>
      <c r="F289" t="s">
        <v>1030</v>
      </c>
      <c r="G289" s="27" t="s">
        <v>1039</v>
      </c>
      <c r="H289" s="30">
        <v>200</v>
      </c>
      <c r="I289">
        <v>417.18</v>
      </c>
      <c r="J289">
        <v>83436</v>
      </c>
      <c r="K289" t="s">
        <v>45</v>
      </c>
      <c r="L289">
        <v>20220418</v>
      </c>
      <c r="M289" t="s">
        <v>73</v>
      </c>
    </row>
    <row r="290" spans="1:13">
      <c r="A290">
        <v>289</v>
      </c>
      <c r="B290" t="s">
        <v>969</v>
      </c>
      <c r="C290" t="s">
        <v>970</v>
      </c>
      <c r="D290" t="s">
        <v>970</v>
      </c>
      <c r="E290" t="s">
        <v>72</v>
      </c>
      <c r="F290" t="s">
        <v>919</v>
      </c>
      <c r="G290" s="27" t="s">
        <v>1039</v>
      </c>
      <c r="H290" s="30">
        <v>2</v>
      </c>
      <c r="I290">
        <v>1599.5</v>
      </c>
      <c r="J290">
        <v>3199</v>
      </c>
      <c r="K290" t="s">
        <v>45</v>
      </c>
      <c r="L290">
        <v>20220418</v>
      </c>
      <c r="M290" t="s">
        <v>73</v>
      </c>
    </row>
    <row r="291" spans="1:13">
      <c r="A291">
        <v>290</v>
      </c>
      <c r="B291" t="s">
        <v>743</v>
      </c>
      <c r="C291" t="s">
        <v>744</v>
      </c>
      <c r="D291" t="s">
        <v>744</v>
      </c>
      <c r="E291" t="s">
        <v>72</v>
      </c>
      <c r="F291" t="s">
        <v>745</v>
      </c>
      <c r="G291" s="27" t="s">
        <v>1039</v>
      </c>
      <c r="H291" s="30">
        <v>60</v>
      </c>
      <c r="I291">
        <v>433.74</v>
      </c>
      <c r="J291">
        <v>26024.400000000001</v>
      </c>
      <c r="K291" t="s">
        <v>45</v>
      </c>
      <c r="L291">
        <v>20220418</v>
      </c>
      <c r="M291" t="s">
        <v>73</v>
      </c>
    </row>
    <row r="292" spans="1:13">
      <c r="A292">
        <v>291</v>
      </c>
      <c r="B292" t="s">
        <v>31</v>
      </c>
      <c r="C292" t="s">
        <v>111</v>
      </c>
      <c r="D292" t="s">
        <v>111</v>
      </c>
      <c r="E292" t="s">
        <v>72</v>
      </c>
      <c r="F292" t="s">
        <v>112</v>
      </c>
      <c r="G292" s="27" t="s">
        <v>1039</v>
      </c>
      <c r="H292" s="30">
        <v>105</v>
      </c>
      <c r="I292">
        <v>117.18</v>
      </c>
      <c r="J292">
        <v>12303.900000000001</v>
      </c>
      <c r="K292" t="s">
        <v>45</v>
      </c>
      <c r="L292">
        <v>20220418</v>
      </c>
      <c r="M292" t="s">
        <v>73</v>
      </c>
    </row>
    <row r="293" spans="1:13">
      <c r="A293">
        <v>292</v>
      </c>
      <c r="B293" t="s">
        <v>30</v>
      </c>
      <c r="C293" t="s">
        <v>109</v>
      </c>
      <c r="D293" t="s">
        <v>109</v>
      </c>
      <c r="E293" t="s">
        <v>72</v>
      </c>
      <c r="F293" t="s">
        <v>110</v>
      </c>
      <c r="G293" s="27" t="s">
        <v>1039</v>
      </c>
      <c r="H293" s="30">
        <v>70</v>
      </c>
      <c r="I293">
        <v>62.55</v>
      </c>
      <c r="J293">
        <v>4378.5</v>
      </c>
      <c r="K293" t="s">
        <v>45</v>
      </c>
      <c r="L293">
        <v>20220418</v>
      </c>
      <c r="M293" t="s">
        <v>73</v>
      </c>
    </row>
    <row r="294" spans="1:13">
      <c r="A294">
        <v>293</v>
      </c>
      <c r="B294" t="s">
        <v>29</v>
      </c>
      <c r="C294" t="s">
        <v>107</v>
      </c>
      <c r="D294" t="s">
        <v>107</v>
      </c>
      <c r="E294" t="s">
        <v>72</v>
      </c>
      <c r="F294" t="s">
        <v>108</v>
      </c>
      <c r="G294" s="27" t="s">
        <v>1017</v>
      </c>
      <c r="H294" s="30">
        <v>2</v>
      </c>
      <c r="I294">
        <v>2371.5</v>
      </c>
      <c r="J294">
        <v>4743</v>
      </c>
      <c r="K294" t="s">
        <v>45</v>
      </c>
      <c r="L294">
        <v>20220413</v>
      </c>
      <c r="M294" t="s">
        <v>73</v>
      </c>
    </row>
    <row r="295" spans="1:13">
      <c r="A295">
        <v>294</v>
      </c>
      <c r="B295" t="s">
        <v>727</v>
      </c>
      <c r="C295" t="s">
        <v>728</v>
      </c>
      <c r="D295" t="s">
        <v>728</v>
      </c>
      <c r="E295" t="s">
        <v>72</v>
      </c>
      <c r="F295" t="s">
        <v>729</v>
      </c>
      <c r="G295" s="27" t="s">
        <v>1017</v>
      </c>
      <c r="H295" s="30">
        <v>3</v>
      </c>
      <c r="I295">
        <v>1390.03</v>
      </c>
      <c r="J295">
        <v>4170.09</v>
      </c>
      <c r="K295" t="s">
        <v>45</v>
      </c>
      <c r="L295">
        <v>20220413</v>
      </c>
      <c r="M295" t="s">
        <v>73</v>
      </c>
    </row>
    <row r="296" spans="1:13">
      <c r="A296">
        <v>295</v>
      </c>
      <c r="B296" t="s">
        <v>665</v>
      </c>
      <c r="C296" t="s">
        <v>666</v>
      </c>
      <c r="D296" t="s">
        <v>666</v>
      </c>
      <c r="E296" t="s">
        <v>72</v>
      </c>
      <c r="F296" t="s">
        <v>667</v>
      </c>
      <c r="G296" s="27" t="s">
        <v>1018</v>
      </c>
      <c r="H296" s="30">
        <v>1</v>
      </c>
      <c r="I296">
        <v>2648.5</v>
      </c>
      <c r="J296">
        <v>2648.5</v>
      </c>
      <c r="K296" t="s">
        <v>45</v>
      </c>
      <c r="L296">
        <v>20220412</v>
      </c>
      <c r="M296" t="s">
        <v>73</v>
      </c>
    </row>
    <row r="297" spans="1:13">
      <c r="A297">
        <v>296</v>
      </c>
      <c r="B297" t="s">
        <v>677</v>
      </c>
      <c r="C297" t="s">
        <v>678</v>
      </c>
      <c r="D297" t="s">
        <v>678</v>
      </c>
      <c r="E297" t="s">
        <v>72</v>
      </c>
      <c r="F297" t="s">
        <v>679</v>
      </c>
      <c r="G297" s="27" t="s">
        <v>1018</v>
      </c>
      <c r="H297" s="30">
        <v>7</v>
      </c>
      <c r="I297">
        <v>466.34</v>
      </c>
      <c r="J297">
        <v>3264.3799999999997</v>
      </c>
      <c r="K297" t="s">
        <v>45</v>
      </c>
      <c r="L297">
        <v>20220412</v>
      </c>
      <c r="M297" t="s">
        <v>73</v>
      </c>
    </row>
    <row r="298" spans="1:13">
      <c r="A298">
        <v>297</v>
      </c>
      <c r="B298" t="s">
        <v>743</v>
      </c>
      <c r="C298" t="s">
        <v>744</v>
      </c>
      <c r="D298" t="s">
        <v>744</v>
      </c>
      <c r="E298" t="s">
        <v>72</v>
      </c>
      <c r="F298" t="s">
        <v>745</v>
      </c>
      <c r="G298" s="27" t="s">
        <v>1018</v>
      </c>
      <c r="H298" s="30">
        <v>10</v>
      </c>
      <c r="I298">
        <v>450.5</v>
      </c>
      <c r="J298">
        <v>4505</v>
      </c>
      <c r="K298" t="s">
        <v>45</v>
      </c>
      <c r="L298">
        <v>20220412</v>
      </c>
      <c r="M298" t="s">
        <v>73</v>
      </c>
    </row>
    <row r="299" spans="1:13">
      <c r="A299">
        <v>298</v>
      </c>
      <c r="B299" t="s">
        <v>441</v>
      </c>
      <c r="C299" t="s">
        <v>445</v>
      </c>
      <c r="D299" t="s">
        <v>445</v>
      </c>
      <c r="E299" t="s">
        <v>72</v>
      </c>
      <c r="F299" t="s">
        <v>584</v>
      </c>
      <c r="G299" s="27" t="s">
        <v>1019</v>
      </c>
      <c r="H299" s="30">
        <v>2</v>
      </c>
      <c r="I299">
        <v>1502.5</v>
      </c>
      <c r="J299">
        <v>3005</v>
      </c>
      <c r="K299" t="s">
        <v>45</v>
      </c>
      <c r="L299">
        <v>20220411</v>
      </c>
      <c r="M299" t="s">
        <v>73</v>
      </c>
    </row>
    <row r="300" spans="1:13">
      <c r="A300">
        <v>299</v>
      </c>
      <c r="B300" t="s">
        <v>530</v>
      </c>
      <c r="C300" t="s">
        <v>531</v>
      </c>
      <c r="D300" t="s">
        <v>531</v>
      </c>
      <c r="E300" t="s">
        <v>72</v>
      </c>
      <c r="F300" t="s">
        <v>532</v>
      </c>
      <c r="G300" s="27" t="s">
        <v>986</v>
      </c>
      <c r="H300" s="30">
        <v>4</v>
      </c>
      <c r="I300">
        <v>831.75</v>
      </c>
      <c r="J300">
        <v>3327</v>
      </c>
      <c r="K300" t="s">
        <v>45</v>
      </c>
      <c r="L300">
        <v>20220408</v>
      </c>
      <c r="M300" t="s">
        <v>73</v>
      </c>
    </row>
    <row r="301" spans="1:13">
      <c r="A301">
        <v>300</v>
      </c>
      <c r="B301" t="s">
        <v>936</v>
      </c>
      <c r="C301" t="s">
        <v>937</v>
      </c>
      <c r="D301" t="s">
        <v>937</v>
      </c>
      <c r="E301" t="s">
        <v>76</v>
      </c>
      <c r="F301" t="s">
        <v>938</v>
      </c>
      <c r="G301" s="27" t="s">
        <v>986</v>
      </c>
      <c r="H301" s="30">
        <v>1</v>
      </c>
      <c r="I301">
        <v>11553.6</v>
      </c>
      <c r="J301">
        <v>11553.6</v>
      </c>
      <c r="K301" t="s">
        <v>45</v>
      </c>
      <c r="L301">
        <v>20220408</v>
      </c>
      <c r="M301" t="s">
        <v>73</v>
      </c>
    </row>
    <row r="302" spans="1:13">
      <c r="A302">
        <v>301</v>
      </c>
      <c r="B302" t="s">
        <v>966</v>
      </c>
      <c r="C302" t="s">
        <v>967</v>
      </c>
      <c r="D302" t="s">
        <v>967</v>
      </c>
      <c r="E302" t="s">
        <v>72</v>
      </c>
      <c r="F302" t="s">
        <v>968</v>
      </c>
      <c r="G302" s="27" t="s">
        <v>986</v>
      </c>
      <c r="H302" s="30">
        <v>3</v>
      </c>
      <c r="I302">
        <v>1500</v>
      </c>
      <c r="J302">
        <v>4500</v>
      </c>
      <c r="K302" t="s">
        <v>45</v>
      </c>
      <c r="L302">
        <v>20220408</v>
      </c>
      <c r="M302" t="s">
        <v>73</v>
      </c>
    </row>
    <row r="303" spans="1:13">
      <c r="A303">
        <v>302</v>
      </c>
      <c r="B303" t="s">
        <v>751</v>
      </c>
      <c r="C303" t="s">
        <v>763</v>
      </c>
      <c r="D303" t="s">
        <v>752</v>
      </c>
      <c r="E303" t="s">
        <v>72</v>
      </c>
      <c r="F303" t="s">
        <v>754</v>
      </c>
      <c r="G303" s="27" t="s">
        <v>987</v>
      </c>
      <c r="H303" s="30">
        <v>2</v>
      </c>
      <c r="I303">
        <v>2182.14</v>
      </c>
      <c r="J303">
        <v>4364.28</v>
      </c>
      <c r="K303" t="s">
        <v>45</v>
      </c>
      <c r="L303">
        <v>20220407</v>
      </c>
      <c r="M303" t="s">
        <v>73</v>
      </c>
    </row>
    <row r="304" spans="1:13">
      <c r="A304">
        <v>303</v>
      </c>
      <c r="B304" t="s">
        <v>925</v>
      </c>
      <c r="C304" t="s">
        <v>926</v>
      </c>
      <c r="D304" t="s">
        <v>926</v>
      </c>
      <c r="E304" t="s">
        <v>72</v>
      </c>
      <c r="F304" t="s">
        <v>927</v>
      </c>
      <c r="G304" s="27" t="s">
        <v>987</v>
      </c>
      <c r="H304" s="30">
        <v>10</v>
      </c>
      <c r="I304">
        <v>725.1</v>
      </c>
      <c r="J304">
        <v>7251</v>
      </c>
      <c r="K304" t="s">
        <v>45</v>
      </c>
      <c r="L304">
        <v>20220407</v>
      </c>
      <c r="M304" t="s">
        <v>73</v>
      </c>
    </row>
    <row r="305" spans="1:13">
      <c r="A305">
        <v>304</v>
      </c>
      <c r="B305" t="s">
        <v>936</v>
      </c>
      <c r="C305" t="s">
        <v>937</v>
      </c>
      <c r="D305" t="s">
        <v>937</v>
      </c>
      <c r="E305" t="s">
        <v>76</v>
      </c>
      <c r="F305" t="s">
        <v>938</v>
      </c>
      <c r="G305" s="27" t="s">
        <v>990</v>
      </c>
      <c r="H305" s="30">
        <v>3</v>
      </c>
      <c r="I305">
        <v>11888.13</v>
      </c>
      <c r="J305">
        <v>35664.39</v>
      </c>
      <c r="K305" t="s">
        <v>45</v>
      </c>
      <c r="L305">
        <v>20220404</v>
      </c>
      <c r="M305" t="s">
        <v>73</v>
      </c>
    </row>
    <row r="306" spans="1:13">
      <c r="A306">
        <v>305</v>
      </c>
      <c r="B306" t="s">
        <v>925</v>
      </c>
      <c r="C306" t="s">
        <v>926</v>
      </c>
      <c r="D306" t="s">
        <v>926</v>
      </c>
      <c r="E306" t="s">
        <v>72</v>
      </c>
      <c r="F306" t="s">
        <v>927</v>
      </c>
      <c r="G306" s="27" t="s">
        <v>990</v>
      </c>
      <c r="H306" s="30">
        <v>12</v>
      </c>
      <c r="I306">
        <v>708.99</v>
      </c>
      <c r="J306">
        <v>8507.880000000001</v>
      </c>
      <c r="K306" t="s">
        <v>45</v>
      </c>
      <c r="L306">
        <v>20220404</v>
      </c>
      <c r="M306" t="s">
        <v>73</v>
      </c>
    </row>
    <row r="307" spans="1:13">
      <c r="A307">
        <v>306</v>
      </c>
      <c r="B307" t="s">
        <v>230</v>
      </c>
      <c r="C307" t="s">
        <v>117</v>
      </c>
      <c r="D307" t="s">
        <v>117</v>
      </c>
      <c r="E307" t="s">
        <v>72</v>
      </c>
      <c r="F307" t="s">
        <v>118</v>
      </c>
      <c r="G307" s="27" t="s">
        <v>928</v>
      </c>
      <c r="H307" s="30">
        <v>69</v>
      </c>
      <c r="I307">
        <v>236</v>
      </c>
      <c r="J307">
        <v>16284</v>
      </c>
      <c r="K307" t="s">
        <v>45</v>
      </c>
      <c r="L307">
        <v>20220401</v>
      </c>
      <c r="M307" t="s">
        <v>73</v>
      </c>
    </row>
    <row r="308" spans="1:13">
      <c r="A308">
        <v>307</v>
      </c>
      <c r="B308" t="s">
        <v>566</v>
      </c>
      <c r="C308" t="s">
        <v>567</v>
      </c>
      <c r="D308" t="s">
        <v>567</v>
      </c>
      <c r="E308" t="s">
        <v>72</v>
      </c>
      <c r="F308" t="s">
        <v>585</v>
      </c>
      <c r="G308" s="27" t="s">
        <v>928</v>
      </c>
      <c r="H308" s="30">
        <v>44</v>
      </c>
      <c r="I308">
        <v>443</v>
      </c>
      <c r="J308">
        <v>19492</v>
      </c>
      <c r="K308" t="s">
        <v>45</v>
      </c>
      <c r="L308">
        <v>20220401</v>
      </c>
      <c r="M308" t="s">
        <v>73</v>
      </c>
    </row>
    <row r="309" spans="1:13">
      <c r="A309">
        <v>308</v>
      </c>
      <c r="B309" t="s">
        <v>697</v>
      </c>
      <c r="C309" t="s">
        <v>698</v>
      </c>
      <c r="D309" t="s">
        <v>698</v>
      </c>
      <c r="E309" t="s">
        <v>72</v>
      </c>
      <c r="F309" t="s">
        <v>699</v>
      </c>
      <c r="G309" s="27" t="s">
        <v>928</v>
      </c>
      <c r="H309" s="30">
        <v>30</v>
      </c>
      <c r="I309">
        <v>618</v>
      </c>
      <c r="J309">
        <v>18540</v>
      </c>
      <c r="K309" t="s">
        <v>45</v>
      </c>
      <c r="L309">
        <v>20220401</v>
      </c>
      <c r="M309" t="s">
        <v>73</v>
      </c>
    </row>
    <row r="310" spans="1:13">
      <c r="A310">
        <v>309</v>
      </c>
      <c r="B310" t="s">
        <v>746</v>
      </c>
      <c r="C310" t="s">
        <v>747</v>
      </c>
      <c r="D310" t="s">
        <v>747</v>
      </c>
      <c r="E310" t="s">
        <v>72</v>
      </c>
      <c r="F310" t="s">
        <v>748</v>
      </c>
      <c r="G310" s="27" t="s">
        <v>928</v>
      </c>
      <c r="H310" s="30">
        <v>41</v>
      </c>
      <c r="I310">
        <v>468</v>
      </c>
      <c r="J310">
        <v>19188</v>
      </c>
      <c r="K310" t="s">
        <v>45</v>
      </c>
      <c r="L310">
        <v>20220401</v>
      </c>
      <c r="M310" t="s">
        <v>73</v>
      </c>
    </row>
    <row r="311" spans="1:13">
      <c r="A311">
        <v>310</v>
      </c>
      <c r="B311" t="s">
        <v>527</v>
      </c>
      <c r="C311" t="s">
        <v>528</v>
      </c>
      <c r="D311" t="s">
        <v>528</v>
      </c>
      <c r="E311" t="s">
        <v>72</v>
      </c>
      <c r="F311" t="s">
        <v>529</v>
      </c>
      <c r="G311" s="27" t="s">
        <v>928</v>
      </c>
      <c r="H311" s="30">
        <v>70</v>
      </c>
      <c r="I311">
        <v>606</v>
      </c>
      <c r="J311">
        <v>42420</v>
      </c>
      <c r="K311" t="s">
        <v>45</v>
      </c>
      <c r="L311">
        <v>20220401</v>
      </c>
      <c r="M311" t="s">
        <v>73</v>
      </c>
    </row>
    <row r="312" spans="1:13">
      <c r="A312">
        <v>311</v>
      </c>
      <c r="B312" t="s">
        <v>649</v>
      </c>
      <c r="C312" t="s">
        <v>648</v>
      </c>
      <c r="D312" t="s">
        <v>648</v>
      </c>
      <c r="E312" t="s">
        <v>72</v>
      </c>
      <c r="F312" t="s">
        <v>652</v>
      </c>
      <c r="G312" s="27" t="s">
        <v>928</v>
      </c>
      <c r="H312" s="30">
        <v>350</v>
      </c>
      <c r="I312">
        <v>178</v>
      </c>
      <c r="J312">
        <v>62300</v>
      </c>
      <c r="K312" t="s">
        <v>45</v>
      </c>
      <c r="L312">
        <v>20220401</v>
      </c>
      <c r="M312" t="s">
        <v>73</v>
      </c>
    </row>
    <row r="313" spans="1:13">
      <c r="A313">
        <v>312</v>
      </c>
      <c r="B313" t="s">
        <v>689</v>
      </c>
      <c r="C313" t="s">
        <v>690</v>
      </c>
      <c r="D313" t="s">
        <v>690</v>
      </c>
      <c r="E313" t="s">
        <v>72</v>
      </c>
      <c r="F313" t="s">
        <v>691</v>
      </c>
      <c r="G313" s="27" t="s">
        <v>928</v>
      </c>
      <c r="H313" s="30">
        <v>8</v>
      </c>
      <c r="I313">
        <v>2733</v>
      </c>
      <c r="J313">
        <v>21864</v>
      </c>
      <c r="K313" t="s">
        <v>45</v>
      </c>
      <c r="L313">
        <v>20220401</v>
      </c>
      <c r="M313" t="s">
        <v>73</v>
      </c>
    </row>
    <row r="314" spans="1:13">
      <c r="A314">
        <v>313</v>
      </c>
      <c r="B314" t="s">
        <v>743</v>
      </c>
      <c r="C314" t="s">
        <v>744</v>
      </c>
      <c r="D314" t="s">
        <v>744</v>
      </c>
      <c r="E314" t="s">
        <v>72</v>
      </c>
      <c r="F314" t="s">
        <v>745</v>
      </c>
      <c r="G314" s="27" t="s">
        <v>928</v>
      </c>
      <c r="H314" s="30">
        <v>50</v>
      </c>
      <c r="I314">
        <v>450</v>
      </c>
      <c r="J314">
        <v>22500</v>
      </c>
      <c r="K314" t="s">
        <v>45</v>
      </c>
      <c r="L314">
        <v>20220401</v>
      </c>
      <c r="M314" t="s">
        <v>73</v>
      </c>
    </row>
    <row r="315" spans="1:13">
      <c r="A315">
        <v>314</v>
      </c>
      <c r="B315" t="s">
        <v>712</v>
      </c>
      <c r="C315" t="s">
        <v>713</v>
      </c>
      <c r="D315" t="s">
        <v>716</v>
      </c>
      <c r="E315" t="s">
        <v>72</v>
      </c>
      <c r="F315" t="s">
        <v>715</v>
      </c>
      <c r="G315" s="27" t="s">
        <v>928</v>
      </c>
      <c r="H315" s="30">
        <v>25</v>
      </c>
      <c r="I315">
        <v>1275</v>
      </c>
      <c r="J315">
        <v>31875</v>
      </c>
      <c r="K315" t="s">
        <v>45</v>
      </c>
      <c r="L315">
        <v>20220401</v>
      </c>
      <c r="M315" t="s">
        <v>73</v>
      </c>
    </row>
    <row r="316" spans="1:13">
      <c r="A316">
        <v>315</v>
      </c>
      <c r="B316" t="s">
        <v>530</v>
      </c>
      <c r="C316" t="s">
        <v>531</v>
      </c>
      <c r="D316" t="s">
        <v>531</v>
      </c>
      <c r="E316" t="s">
        <v>72</v>
      </c>
      <c r="F316" t="s">
        <v>532</v>
      </c>
      <c r="G316" s="27" t="s">
        <v>928</v>
      </c>
      <c r="H316" s="30">
        <v>35</v>
      </c>
      <c r="I316">
        <v>778</v>
      </c>
      <c r="J316">
        <v>27230</v>
      </c>
      <c r="K316" t="s">
        <v>45</v>
      </c>
      <c r="L316">
        <v>20220401</v>
      </c>
      <c r="M316" t="s">
        <v>73</v>
      </c>
    </row>
    <row r="317" spans="1:13">
      <c r="A317">
        <v>316</v>
      </c>
      <c r="B317" t="s">
        <v>969</v>
      </c>
      <c r="C317" t="s">
        <v>970</v>
      </c>
      <c r="D317" t="s">
        <v>970</v>
      </c>
      <c r="E317" t="s">
        <v>72</v>
      </c>
      <c r="F317" t="s">
        <v>919</v>
      </c>
      <c r="G317" s="27" t="s">
        <v>928</v>
      </c>
      <c r="H317" s="30">
        <v>44</v>
      </c>
      <c r="I317">
        <v>1500</v>
      </c>
      <c r="J317">
        <v>66000</v>
      </c>
      <c r="K317" t="s">
        <v>45</v>
      </c>
      <c r="L317">
        <v>20220401</v>
      </c>
      <c r="M317" t="s">
        <v>73</v>
      </c>
    </row>
    <row r="318" spans="1:13">
      <c r="A318">
        <v>317</v>
      </c>
      <c r="B318" t="s">
        <v>966</v>
      </c>
      <c r="C318" t="s">
        <v>967</v>
      </c>
      <c r="D318" t="s">
        <v>967</v>
      </c>
      <c r="E318" t="s">
        <v>72</v>
      </c>
      <c r="F318" t="s">
        <v>968</v>
      </c>
      <c r="G318" s="27" t="s">
        <v>981</v>
      </c>
      <c r="H318" s="30">
        <v>80</v>
      </c>
      <c r="I318">
        <v>1450</v>
      </c>
      <c r="J318">
        <v>116000</v>
      </c>
      <c r="K318" t="s">
        <v>45</v>
      </c>
      <c r="L318">
        <v>20220401</v>
      </c>
      <c r="M318" t="s">
        <v>73</v>
      </c>
    </row>
    <row r="319" spans="1:13">
      <c r="A319">
        <v>318</v>
      </c>
      <c r="B319" t="s">
        <v>925</v>
      </c>
      <c r="C319" t="s">
        <v>926</v>
      </c>
      <c r="D319" t="s">
        <v>926</v>
      </c>
      <c r="E319" t="s">
        <v>72</v>
      </c>
      <c r="F319" t="s">
        <v>927</v>
      </c>
      <c r="G319" s="27" t="s">
        <v>928</v>
      </c>
      <c r="H319" s="30">
        <v>10</v>
      </c>
      <c r="I319">
        <v>716.45</v>
      </c>
      <c r="J319">
        <v>7164.5</v>
      </c>
      <c r="K319" t="s">
        <v>45</v>
      </c>
      <c r="L319">
        <v>20220401</v>
      </c>
      <c r="M319" t="s">
        <v>73</v>
      </c>
    </row>
    <row r="320" spans="1:13">
      <c r="A320">
        <v>319</v>
      </c>
      <c r="B320" t="s">
        <v>723</v>
      </c>
      <c r="C320" t="s">
        <v>840</v>
      </c>
      <c r="D320" t="s">
        <v>724</v>
      </c>
      <c r="E320" t="s">
        <v>72</v>
      </c>
      <c r="F320" t="s">
        <v>726</v>
      </c>
      <c r="G320" s="27" t="s">
        <v>929</v>
      </c>
      <c r="H320" s="30">
        <v>45</v>
      </c>
      <c r="I320">
        <v>475.23</v>
      </c>
      <c r="J320">
        <v>21385.350000000002</v>
      </c>
      <c r="K320" t="s">
        <v>45</v>
      </c>
      <c r="L320">
        <v>20220331</v>
      </c>
      <c r="M320" t="s">
        <v>73</v>
      </c>
    </row>
    <row r="321" spans="1:13">
      <c r="A321">
        <v>320</v>
      </c>
      <c r="B321" t="s">
        <v>931</v>
      </c>
      <c r="C321" t="s">
        <v>931</v>
      </c>
      <c r="D321" t="s">
        <v>931</v>
      </c>
      <c r="E321" t="s">
        <v>72</v>
      </c>
      <c r="F321" t="s">
        <v>932</v>
      </c>
      <c r="G321" s="27" t="s">
        <v>933</v>
      </c>
      <c r="H321" s="30">
        <v>430</v>
      </c>
      <c r="I321">
        <v>156.28</v>
      </c>
      <c r="J321" s="54">
        <v>67200.399999999994</v>
      </c>
      <c r="K321" t="s">
        <v>45</v>
      </c>
      <c r="L321">
        <v>20220324</v>
      </c>
      <c r="M321" t="s">
        <v>73</v>
      </c>
    </row>
    <row r="322" spans="1:13">
      <c r="A322">
        <v>321</v>
      </c>
      <c r="B322" t="s">
        <v>539</v>
      </c>
      <c r="C322" t="s">
        <v>540</v>
      </c>
      <c r="D322" t="s">
        <v>540</v>
      </c>
      <c r="E322" t="s">
        <v>72</v>
      </c>
      <c r="F322" t="s">
        <v>541</v>
      </c>
      <c r="G322" s="27" t="s">
        <v>934</v>
      </c>
      <c r="H322" s="30">
        <v>7</v>
      </c>
      <c r="I322">
        <v>1051.07</v>
      </c>
      <c r="J322">
        <v>7357.49</v>
      </c>
      <c r="K322" t="s">
        <v>45</v>
      </c>
      <c r="L322">
        <v>20220323</v>
      </c>
      <c r="M322" t="s">
        <v>73</v>
      </c>
    </row>
    <row r="323" spans="1:13">
      <c r="A323">
        <v>322</v>
      </c>
      <c r="B323" t="s">
        <v>936</v>
      </c>
      <c r="C323" t="s">
        <v>937</v>
      </c>
      <c r="D323" t="s">
        <v>937</v>
      </c>
      <c r="E323" t="s">
        <v>76</v>
      </c>
      <c r="F323" t="s">
        <v>938</v>
      </c>
      <c r="G323" s="27" t="s">
        <v>939</v>
      </c>
      <c r="H323" s="30">
        <v>6</v>
      </c>
      <c r="I323">
        <v>9992.5</v>
      </c>
      <c r="J323">
        <v>59955</v>
      </c>
      <c r="K323" t="s">
        <v>45</v>
      </c>
      <c r="L323">
        <v>20220316</v>
      </c>
      <c r="M323" t="s">
        <v>73</v>
      </c>
    </row>
    <row r="324" spans="1:13">
      <c r="A324">
        <v>323</v>
      </c>
      <c r="B324" t="s">
        <v>925</v>
      </c>
      <c r="C324" t="s">
        <v>926</v>
      </c>
      <c r="D324" t="s">
        <v>926</v>
      </c>
      <c r="E324" t="s">
        <v>72</v>
      </c>
      <c r="F324" t="s">
        <v>927</v>
      </c>
      <c r="G324" s="27" t="s">
        <v>939</v>
      </c>
      <c r="H324" s="30">
        <v>80</v>
      </c>
      <c r="I324">
        <v>684.59</v>
      </c>
      <c r="J324">
        <v>54767.200000000004</v>
      </c>
      <c r="K324" t="s">
        <v>45</v>
      </c>
      <c r="L324">
        <v>20220316</v>
      </c>
      <c r="M324" t="s">
        <v>73</v>
      </c>
    </row>
    <row r="325" spans="1:13">
      <c r="A325">
        <v>324</v>
      </c>
      <c r="B325" t="s">
        <v>630</v>
      </c>
      <c r="C325" t="s">
        <v>631</v>
      </c>
      <c r="D325" t="s">
        <v>631</v>
      </c>
      <c r="E325" t="s">
        <v>72</v>
      </c>
      <c r="F325" t="s">
        <v>632</v>
      </c>
      <c r="G325" s="27" t="s">
        <v>939</v>
      </c>
      <c r="H325" s="30">
        <v>7</v>
      </c>
      <c r="I325">
        <v>2716.36</v>
      </c>
      <c r="J325">
        <v>19014.52</v>
      </c>
      <c r="K325" t="s">
        <v>45</v>
      </c>
      <c r="L325">
        <v>20220316</v>
      </c>
      <c r="M325" t="s">
        <v>73</v>
      </c>
    </row>
    <row r="326" spans="1:13">
      <c r="A326">
        <v>325</v>
      </c>
      <c r="B326" t="s">
        <v>893</v>
      </c>
      <c r="C326" t="s">
        <v>904</v>
      </c>
      <c r="D326" t="s">
        <v>904</v>
      </c>
      <c r="E326" t="s">
        <v>72</v>
      </c>
      <c r="F326" t="s">
        <v>905</v>
      </c>
      <c r="G326" s="27" t="s">
        <v>941</v>
      </c>
      <c r="H326" s="30">
        <v>8</v>
      </c>
      <c r="I326">
        <v>940.02</v>
      </c>
      <c r="J326">
        <v>7520.16</v>
      </c>
      <c r="K326" t="s">
        <v>45</v>
      </c>
      <c r="L326">
        <v>20220307</v>
      </c>
      <c r="M326" t="s">
        <v>73</v>
      </c>
    </row>
    <row r="327" spans="1:13">
      <c r="A327">
        <v>326</v>
      </c>
      <c r="B327" t="s">
        <v>674</v>
      </c>
      <c r="C327" t="s">
        <v>675</v>
      </c>
      <c r="D327" t="s">
        <v>675</v>
      </c>
      <c r="E327" t="s">
        <v>72</v>
      </c>
      <c r="F327" t="s">
        <v>676</v>
      </c>
      <c r="G327" s="27" t="s">
        <v>941</v>
      </c>
      <c r="H327" s="30">
        <v>6</v>
      </c>
      <c r="I327">
        <v>508.95</v>
      </c>
      <c r="J327">
        <v>3053.7</v>
      </c>
      <c r="K327" t="s">
        <v>45</v>
      </c>
      <c r="L327">
        <v>20220307</v>
      </c>
      <c r="M327" t="s">
        <v>73</v>
      </c>
    </row>
    <row r="328" spans="1:13">
      <c r="A328">
        <v>327</v>
      </c>
      <c r="B328" t="s">
        <v>533</v>
      </c>
      <c r="C328" t="s">
        <v>534</v>
      </c>
      <c r="D328" t="s">
        <v>534</v>
      </c>
      <c r="E328" t="s">
        <v>72</v>
      </c>
      <c r="F328" t="s">
        <v>535</v>
      </c>
      <c r="G328" s="27" t="s">
        <v>941</v>
      </c>
      <c r="H328" s="30">
        <v>1</v>
      </c>
      <c r="I328">
        <v>2775.46</v>
      </c>
      <c r="J328">
        <v>2775.46</v>
      </c>
      <c r="K328" t="s">
        <v>45</v>
      </c>
      <c r="L328">
        <v>20220307</v>
      </c>
      <c r="M328" t="s">
        <v>73</v>
      </c>
    </row>
    <row r="329" spans="1:13">
      <c r="A329">
        <v>328</v>
      </c>
      <c r="B329" t="s">
        <v>29</v>
      </c>
      <c r="C329" t="s">
        <v>107</v>
      </c>
      <c r="D329" t="s">
        <v>107</v>
      </c>
      <c r="E329" t="s">
        <v>72</v>
      </c>
      <c r="F329" t="s">
        <v>108</v>
      </c>
      <c r="G329" s="27" t="s">
        <v>941</v>
      </c>
      <c r="H329" s="30">
        <v>8</v>
      </c>
      <c r="I329">
        <v>2166.6999999999998</v>
      </c>
      <c r="J329">
        <v>17333.599999999999</v>
      </c>
      <c r="K329" t="s">
        <v>45</v>
      </c>
      <c r="L329">
        <v>20220307</v>
      </c>
      <c r="M329" t="s">
        <v>73</v>
      </c>
    </row>
    <row r="330" spans="1:13">
      <c r="A330">
        <v>329</v>
      </c>
      <c r="B330" t="s">
        <v>512</v>
      </c>
      <c r="C330" t="s">
        <v>511</v>
      </c>
      <c r="D330" t="s">
        <v>511</v>
      </c>
      <c r="E330" t="s">
        <v>72</v>
      </c>
      <c r="F330" t="s">
        <v>513</v>
      </c>
      <c r="G330" s="27" t="s">
        <v>941</v>
      </c>
      <c r="H330" s="30">
        <v>3</v>
      </c>
      <c r="I330">
        <v>2644.16</v>
      </c>
      <c r="J330">
        <v>7932.48</v>
      </c>
      <c r="K330" t="s">
        <v>45</v>
      </c>
      <c r="L330">
        <v>20220307</v>
      </c>
      <c r="M330" t="s">
        <v>73</v>
      </c>
    </row>
    <row r="331" spans="1:13">
      <c r="A331">
        <v>330</v>
      </c>
      <c r="B331" t="s">
        <v>665</v>
      </c>
      <c r="C331" t="s">
        <v>666</v>
      </c>
      <c r="D331" t="s">
        <v>666</v>
      </c>
      <c r="E331" t="s">
        <v>72</v>
      </c>
      <c r="F331" t="s">
        <v>667</v>
      </c>
      <c r="G331" s="27" t="s">
        <v>942</v>
      </c>
      <c r="H331" s="30">
        <v>3</v>
      </c>
      <c r="I331">
        <v>2360.2800000000002</v>
      </c>
      <c r="J331">
        <v>7080.84</v>
      </c>
      <c r="K331" t="s">
        <v>45</v>
      </c>
      <c r="L331">
        <v>20220304</v>
      </c>
      <c r="M331" t="s">
        <v>73</v>
      </c>
    </row>
    <row r="332" spans="1:13">
      <c r="A332">
        <v>331</v>
      </c>
      <c r="B332" t="s">
        <v>230</v>
      </c>
      <c r="C332" t="s">
        <v>117</v>
      </c>
      <c r="D332" t="s">
        <v>117</v>
      </c>
      <c r="E332" t="s">
        <v>72</v>
      </c>
      <c r="F332" t="s">
        <v>118</v>
      </c>
      <c r="G332" s="27" t="s">
        <v>942</v>
      </c>
      <c r="H332" s="30">
        <v>95</v>
      </c>
      <c r="I332">
        <v>205.85</v>
      </c>
      <c r="J332">
        <v>19555.75</v>
      </c>
      <c r="K332" t="s">
        <v>45</v>
      </c>
      <c r="L332">
        <v>20220304</v>
      </c>
      <c r="M332" t="s">
        <v>73</v>
      </c>
    </row>
    <row r="333" spans="1:13">
      <c r="A333">
        <v>332</v>
      </c>
      <c r="B333" t="s">
        <v>539</v>
      </c>
      <c r="C333" t="s">
        <v>540</v>
      </c>
      <c r="D333" t="s">
        <v>540</v>
      </c>
      <c r="E333" t="s">
        <v>72</v>
      </c>
      <c r="F333" t="s">
        <v>541</v>
      </c>
      <c r="G333" s="27" t="s">
        <v>942</v>
      </c>
      <c r="H333" s="30">
        <v>26</v>
      </c>
      <c r="I333">
        <v>1160.53</v>
      </c>
      <c r="J333">
        <v>30173.78</v>
      </c>
      <c r="K333" t="s">
        <v>45</v>
      </c>
      <c r="L333">
        <v>20220304</v>
      </c>
      <c r="M333" t="s">
        <v>73</v>
      </c>
    </row>
    <row r="334" spans="1:13">
      <c r="A334">
        <v>333</v>
      </c>
      <c r="B334" t="s">
        <v>512</v>
      </c>
      <c r="C334" t="s">
        <v>511</v>
      </c>
      <c r="D334" t="s">
        <v>511</v>
      </c>
      <c r="E334" t="s">
        <v>72</v>
      </c>
      <c r="F334" t="s">
        <v>513</v>
      </c>
      <c r="G334" s="27" t="s">
        <v>942</v>
      </c>
      <c r="H334" s="30">
        <v>2</v>
      </c>
      <c r="I334">
        <v>2714.5</v>
      </c>
      <c r="J334">
        <v>5429</v>
      </c>
      <c r="K334" t="s">
        <v>45</v>
      </c>
      <c r="L334">
        <v>20220304</v>
      </c>
      <c r="M334" t="s">
        <v>73</v>
      </c>
    </row>
    <row r="335" spans="1:13">
      <c r="A335">
        <v>334</v>
      </c>
      <c r="B335" t="s">
        <v>893</v>
      </c>
      <c r="C335" t="s">
        <v>904</v>
      </c>
      <c r="D335" t="s">
        <v>904</v>
      </c>
      <c r="E335" t="s">
        <v>72</v>
      </c>
      <c r="F335" t="s">
        <v>905</v>
      </c>
      <c r="G335" s="27" t="s">
        <v>942</v>
      </c>
      <c r="H335" s="30">
        <v>3</v>
      </c>
      <c r="I335">
        <v>1010</v>
      </c>
      <c r="J335">
        <v>3030</v>
      </c>
      <c r="K335" t="s">
        <v>45</v>
      </c>
      <c r="L335">
        <v>20220304</v>
      </c>
      <c r="M335" t="s">
        <v>73</v>
      </c>
    </row>
    <row r="336" spans="1:13">
      <c r="A336">
        <v>335</v>
      </c>
      <c r="B336" t="s">
        <v>512</v>
      </c>
      <c r="C336" t="s">
        <v>511</v>
      </c>
      <c r="D336" t="s">
        <v>511</v>
      </c>
      <c r="E336" t="s">
        <v>72</v>
      </c>
      <c r="F336" t="s">
        <v>513</v>
      </c>
      <c r="G336" s="27" t="s">
        <v>945</v>
      </c>
      <c r="H336" s="30">
        <v>10</v>
      </c>
      <c r="I336">
        <v>2952.4</v>
      </c>
      <c r="J336">
        <v>29524</v>
      </c>
      <c r="K336" t="s">
        <v>45</v>
      </c>
      <c r="L336">
        <v>20220303</v>
      </c>
      <c r="M336" t="s">
        <v>73</v>
      </c>
    </row>
    <row r="337" spans="1:13">
      <c r="A337">
        <v>336</v>
      </c>
      <c r="B337" t="s">
        <v>441</v>
      </c>
      <c r="C337" t="s">
        <v>445</v>
      </c>
      <c r="D337" t="s">
        <v>445</v>
      </c>
      <c r="E337" t="s">
        <v>72</v>
      </c>
      <c r="F337" t="s">
        <v>584</v>
      </c>
      <c r="G337" s="27" t="s">
        <v>945</v>
      </c>
      <c r="H337" s="30">
        <v>4</v>
      </c>
      <c r="I337">
        <v>1385.15</v>
      </c>
      <c r="J337">
        <v>5540.6</v>
      </c>
      <c r="K337" t="s">
        <v>45</v>
      </c>
      <c r="L337">
        <v>20220303</v>
      </c>
      <c r="M337" t="s">
        <v>73</v>
      </c>
    </row>
    <row r="338" spans="1:13">
      <c r="A338">
        <v>337</v>
      </c>
      <c r="B338" t="s">
        <v>463</v>
      </c>
      <c r="C338" t="s">
        <v>463</v>
      </c>
      <c r="D338" t="s">
        <v>463</v>
      </c>
      <c r="E338" t="s">
        <v>72</v>
      </c>
      <c r="F338" t="s">
        <v>466</v>
      </c>
      <c r="G338" s="27" t="s">
        <v>946</v>
      </c>
      <c r="H338" s="30">
        <v>25</v>
      </c>
      <c r="I338">
        <v>204</v>
      </c>
      <c r="J338">
        <v>5100</v>
      </c>
      <c r="K338" t="s">
        <v>45</v>
      </c>
      <c r="L338">
        <v>20220225</v>
      </c>
      <c r="M338" t="s">
        <v>73</v>
      </c>
    </row>
    <row r="339" spans="1:13">
      <c r="A339">
        <v>338</v>
      </c>
      <c r="B339" t="s">
        <v>13</v>
      </c>
      <c r="C339" t="s">
        <v>83</v>
      </c>
      <c r="D339" t="s">
        <v>246</v>
      </c>
      <c r="E339" t="s">
        <v>76</v>
      </c>
      <c r="F339" t="s">
        <v>84</v>
      </c>
      <c r="G339" s="27" t="s">
        <v>946</v>
      </c>
      <c r="H339" s="30">
        <v>22</v>
      </c>
      <c r="I339">
        <v>1116.97</v>
      </c>
      <c r="J339">
        <v>24573.34</v>
      </c>
      <c r="K339" t="s">
        <v>45</v>
      </c>
      <c r="L339">
        <v>20220225</v>
      </c>
      <c r="M339" t="s">
        <v>73</v>
      </c>
    </row>
    <row r="340" spans="1:13">
      <c r="A340">
        <v>339</v>
      </c>
      <c r="B340" t="s">
        <v>982</v>
      </c>
      <c r="C340" t="s">
        <v>943</v>
      </c>
      <c r="D340" t="s">
        <v>943</v>
      </c>
      <c r="E340" t="s">
        <v>72</v>
      </c>
      <c r="F340" t="s">
        <v>944</v>
      </c>
      <c r="G340" s="27" t="s">
        <v>946</v>
      </c>
      <c r="H340" s="30">
        <v>5</v>
      </c>
      <c r="I340">
        <v>565.82000000000005</v>
      </c>
      <c r="J340">
        <v>2829.1000000000004</v>
      </c>
      <c r="K340" t="s">
        <v>45</v>
      </c>
      <c r="L340">
        <v>20220225</v>
      </c>
      <c r="M340" t="s">
        <v>73</v>
      </c>
    </row>
    <row r="341" spans="1:13">
      <c r="A341">
        <v>340</v>
      </c>
      <c r="B341" t="s">
        <v>37</v>
      </c>
      <c r="C341" t="s">
        <v>119</v>
      </c>
      <c r="D341" t="s">
        <v>216</v>
      </c>
      <c r="E341" t="s">
        <v>76</v>
      </c>
      <c r="F341" t="s">
        <v>120</v>
      </c>
      <c r="G341" s="27" t="s">
        <v>946</v>
      </c>
      <c r="H341" s="30">
        <v>94</v>
      </c>
      <c r="I341">
        <v>133.12</v>
      </c>
      <c r="J341">
        <v>12513.28</v>
      </c>
      <c r="K341" t="s">
        <v>45</v>
      </c>
      <c r="L341">
        <v>20220225</v>
      </c>
      <c r="M341" t="s">
        <v>73</v>
      </c>
    </row>
    <row r="342" spans="1:13">
      <c r="A342">
        <v>341</v>
      </c>
      <c r="B342" t="s">
        <v>545</v>
      </c>
      <c r="C342" t="s">
        <v>546</v>
      </c>
      <c r="D342" t="s">
        <v>546</v>
      </c>
      <c r="E342" t="s">
        <v>72</v>
      </c>
      <c r="F342" t="s">
        <v>547</v>
      </c>
      <c r="G342" s="27" t="s">
        <v>947</v>
      </c>
      <c r="H342" s="30">
        <v>5</v>
      </c>
      <c r="I342">
        <v>1739.8</v>
      </c>
      <c r="J342">
        <v>8699</v>
      </c>
      <c r="K342" t="s">
        <v>45</v>
      </c>
      <c r="L342">
        <v>20220224</v>
      </c>
      <c r="M342" t="s">
        <v>73</v>
      </c>
    </row>
    <row r="343" spans="1:13">
      <c r="A343">
        <v>342</v>
      </c>
      <c r="B343" t="s">
        <v>727</v>
      </c>
      <c r="C343" t="s">
        <v>728</v>
      </c>
      <c r="D343" t="s">
        <v>728</v>
      </c>
      <c r="E343" t="s">
        <v>72</v>
      </c>
      <c r="F343" t="s">
        <v>729</v>
      </c>
      <c r="G343" s="27" t="s">
        <v>947</v>
      </c>
      <c r="H343" s="30">
        <v>18</v>
      </c>
      <c r="I343">
        <v>1202.1099999999999</v>
      </c>
      <c r="J343">
        <v>21637.98</v>
      </c>
      <c r="K343" t="s">
        <v>45</v>
      </c>
      <c r="L343">
        <v>20220224</v>
      </c>
      <c r="M343" t="s">
        <v>73</v>
      </c>
    </row>
    <row r="344" spans="1:13">
      <c r="A344">
        <v>343</v>
      </c>
      <c r="B344" t="s">
        <v>230</v>
      </c>
      <c r="C344" t="s">
        <v>117</v>
      </c>
      <c r="D344" t="s">
        <v>117</v>
      </c>
      <c r="E344" t="s">
        <v>72</v>
      </c>
      <c r="F344" t="s">
        <v>118</v>
      </c>
      <c r="G344" s="27" t="s">
        <v>947</v>
      </c>
      <c r="H344" s="30">
        <v>20</v>
      </c>
      <c r="I344">
        <v>214.4</v>
      </c>
      <c r="J344">
        <v>4288</v>
      </c>
      <c r="K344" t="s">
        <v>45</v>
      </c>
      <c r="L344">
        <v>20220224</v>
      </c>
      <c r="M344" t="s">
        <v>73</v>
      </c>
    </row>
    <row r="345" spans="1:13">
      <c r="A345">
        <v>344</v>
      </c>
      <c r="B345" t="s">
        <v>812</v>
      </c>
      <c r="C345" t="s">
        <v>813</v>
      </c>
      <c r="D345" t="s">
        <v>815</v>
      </c>
      <c r="E345" t="s">
        <v>72</v>
      </c>
      <c r="F345" t="s">
        <v>814</v>
      </c>
      <c r="G345" s="27" t="s">
        <v>947</v>
      </c>
      <c r="H345" s="30">
        <v>25</v>
      </c>
      <c r="I345">
        <v>293.64</v>
      </c>
      <c r="J345">
        <v>7341</v>
      </c>
      <c r="K345" t="s">
        <v>45</v>
      </c>
      <c r="L345">
        <v>20220224</v>
      </c>
      <c r="M345" t="s">
        <v>73</v>
      </c>
    </row>
    <row r="346" spans="1:13">
      <c r="A346">
        <v>345</v>
      </c>
      <c r="B346" t="s">
        <v>668</v>
      </c>
      <c r="C346" t="s">
        <v>669</v>
      </c>
      <c r="D346" t="s">
        <v>669</v>
      </c>
      <c r="E346" t="s">
        <v>72</v>
      </c>
      <c r="F346" t="s">
        <v>670</v>
      </c>
      <c r="G346" s="27" t="s">
        <v>947</v>
      </c>
      <c r="H346" s="30">
        <v>1</v>
      </c>
      <c r="I346">
        <v>4026.34</v>
      </c>
      <c r="J346">
        <v>4026.34</v>
      </c>
      <c r="K346" t="s">
        <v>45</v>
      </c>
      <c r="L346">
        <v>20220224</v>
      </c>
      <c r="M346" t="s">
        <v>73</v>
      </c>
    </row>
    <row r="347" spans="1:13">
      <c r="A347">
        <v>346</v>
      </c>
      <c r="B347" t="s">
        <v>712</v>
      </c>
      <c r="C347" t="s">
        <v>713</v>
      </c>
      <c r="D347" t="s">
        <v>716</v>
      </c>
      <c r="E347" t="s">
        <v>72</v>
      </c>
      <c r="F347" t="s">
        <v>715</v>
      </c>
      <c r="G347" s="27" t="s">
        <v>947</v>
      </c>
      <c r="H347" s="30">
        <v>13</v>
      </c>
      <c r="I347">
        <v>1117.1300000000001</v>
      </c>
      <c r="J347">
        <v>14522.690000000002</v>
      </c>
      <c r="K347" t="s">
        <v>45</v>
      </c>
      <c r="L347">
        <v>20220224</v>
      </c>
      <c r="M347" t="s">
        <v>73</v>
      </c>
    </row>
    <row r="348" spans="1:13">
      <c r="A348">
        <v>347</v>
      </c>
      <c r="B348" t="s">
        <v>783</v>
      </c>
      <c r="C348" t="s">
        <v>784</v>
      </c>
      <c r="D348" t="s">
        <v>784</v>
      </c>
      <c r="E348" t="s">
        <v>72</v>
      </c>
      <c r="F348" t="s">
        <v>785</v>
      </c>
      <c r="G348" s="27" t="s">
        <v>947</v>
      </c>
      <c r="H348" s="30">
        <v>9</v>
      </c>
      <c r="I348">
        <v>494.14</v>
      </c>
      <c r="J348">
        <v>4447.26</v>
      </c>
      <c r="K348" t="s">
        <v>45</v>
      </c>
      <c r="L348">
        <v>20220224</v>
      </c>
      <c r="M348" t="s">
        <v>73</v>
      </c>
    </row>
    <row r="349" spans="1:13">
      <c r="A349">
        <v>348</v>
      </c>
      <c r="B349" t="s">
        <v>649</v>
      </c>
      <c r="C349" t="s">
        <v>648</v>
      </c>
      <c r="D349" t="s">
        <v>648</v>
      </c>
      <c r="E349" t="s">
        <v>72</v>
      </c>
      <c r="F349" t="s">
        <v>652</v>
      </c>
      <c r="G349" s="27" t="s">
        <v>947</v>
      </c>
      <c r="H349" s="30">
        <v>130</v>
      </c>
      <c r="I349">
        <v>141.5</v>
      </c>
      <c r="J349">
        <v>18395</v>
      </c>
      <c r="K349" t="s">
        <v>45</v>
      </c>
      <c r="L349">
        <v>20220224</v>
      </c>
      <c r="M349" t="s">
        <v>73</v>
      </c>
    </row>
    <row r="350" spans="1:13">
      <c r="A350">
        <v>349</v>
      </c>
      <c r="B350" t="s">
        <v>18</v>
      </c>
      <c r="C350">
        <v>532281</v>
      </c>
      <c r="D350" t="s">
        <v>88</v>
      </c>
      <c r="E350" t="s">
        <v>72</v>
      </c>
      <c r="F350" t="s">
        <v>89</v>
      </c>
      <c r="G350" s="27" t="s">
        <v>947</v>
      </c>
      <c r="H350" s="30">
        <v>5</v>
      </c>
      <c r="I350">
        <v>1097.95</v>
      </c>
      <c r="J350">
        <v>5489.75</v>
      </c>
      <c r="K350" t="s">
        <v>45</v>
      </c>
      <c r="L350">
        <v>20220224</v>
      </c>
      <c r="M350" t="s">
        <v>73</v>
      </c>
    </row>
    <row r="351" spans="1:13">
      <c r="A351">
        <v>350</v>
      </c>
      <c r="B351" t="s">
        <v>12</v>
      </c>
      <c r="C351" t="s">
        <v>410</v>
      </c>
      <c r="D351" t="s">
        <v>81</v>
      </c>
      <c r="E351" t="s">
        <v>72</v>
      </c>
      <c r="F351" t="s">
        <v>82</v>
      </c>
      <c r="G351" s="27" t="s">
        <v>947</v>
      </c>
      <c r="H351" s="30">
        <v>29</v>
      </c>
      <c r="I351">
        <v>686.2</v>
      </c>
      <c r="J351">
        <v>19899.800000000003</v>
      </c>
      <c r="K351" t="s">
        <v>45</v>
      </c>
      <c r="L351">
        <v>20220224</v>
      </c>
      <c r="M351" t="s">
        <v>73</v>
      </c>
    </row>
    <row r="352" spans="1:13">
      <c r="A352">
        <v>351</v>
      </c>
      <c r="B352" t="s">
        <v>894</v>
      </c>
      <c r="C352" t="s">
        <v>898</v>
      </c>
      <c r="D352" t="s">
        <v>898</v>
      </c>
      <c r="E352" t="s">
        <v>72</v>
      </c>
      <c r="F352" t="s">
        <v>899</v>
      </c>
      <c r="G352" s="27" t="s">
        <v>947</v>
      </c>
      <c r="H352" s="30">
        <v>8</v>
      </c>
      <c r="I352">
        <v>4246.5</v>
      </c>
      <c r="J352">
        <v>33972</v>
      </c>
      <c r="K352" t="s">
        <v>45</v>
      </c>
      <c r="L352">
        <v>20220224</v>
      </c>
      <c r="M352" t="s">
        <v>73</v>
      </c>
    </row>
    <row r="353" spans="1:13">
      <c r="A353">
        <v>352</v>
      </c>
      <c r="B353" t="s">
        <v>674</v>
      </c>
      <c r="C353" t="s">
        <v>675</v>
      </c>
      <c r="D353" t="s">
        <v>675</v>
      </c>
      <c r="E353" t="s">
        <v>72</v>
      </c>
      <c r="F353" t="s">
        <v>676</v>
      </c>
      <c r="G353" s="27" t="s">
        <v>948</v>
      </c>
      <c r="H353" s="30">
        <v>27</v>
      </c>
      <c r="I353">
        <v>573.76</v>
      </c>
      <c r="J353">
        <v>15491.52</v>
      </c>
      <c r="K353" t="s">
        <v>45</v>
      </c>
      <c r="L353">
        <v>20220222</v>
      </c>
      <c r="M353" t="s">
        <v>73</v>
      </c>
    </row>
    <row r="354" spans="1:13">
      <c r="A354">
        <v>353</v>
      </c>
      <c r="B354" t="s">
        <v>650</v>
      </c>
      <c r="C354" t="s">
        <v>655</v>
      </c>
      <c r="D354" t="s">
        <v>655</v>
      </c>
      <c r="E354" t="s">
        <v>72</v>
      </c>
      <c r="F354" t="s">
        <v>656</v>
      </c>
      <c r="G354" s="27" t="s">
        <v>948</v>
      </c>
      <c r="H354" s="30">
        <v>6</v>
      </c>
      <c r="I354">
        <v>4802.5</v>
      </c>
      <c r="J354">
        <v>28815</v>
      </c>
      <c r="K354" t="s">
        <v>45</v>
      </c>
      <c r="L354">
        <v>20220222</v>
      </c>
      <c r="M354" t="s">
        <v>73</v>
      </c>
    </row>
    <row r="355" spans="1:13">
      <c r="A355">
        <v>354</v>
      </c>
      <c r="B355" t="s">
        <v>712</v>
      </c>
      <c r="C355" t="s">
        <v>713</v>
      </c>
      <c r="D355" t="s">
        <v>716</v>
      </c>
      <c r="E355" t="s">
        <v>72</v>
      </c>
      <c r="F355" t="s">
        <v>715</v>
      </c>
      <c r="G355" s="27" t="s">
        <v>948</v>
      </c>
      <c r="H355" s="30">
        <v>24</v>
      </c>
      <c r="I355">
        <v>1201.3599999999999</v>
      </c>
      <c r="J355">
        <v>28832.639999999999</v>
      </c>
      <c r="K355" t="s">
        <v>45</v>
      </c>
      <c r="L355">
        <v>20220222</v>
      </c>
      <c r="M355" t="s">
        <v>73</v>
      </c>
    </row>
    <row r="356" spans="1:13">
      <c r="A356">
        <v>355</v>
      </c>
      <c r="B356" t="s">
        <v>982</v>
      </c>
      <c r="C356" t="s">
        <v>943</v>
      </c>
      <c r="D356" t="s">
        <v>943</v>
      </c>
      <c r="E356" t="s">
        <v>72</v>
      </c>
      <c r="F356" t="s">
        <v>944</v>
      </c>
      <c r="G356" s="27" t="s">
        <v>948</v>
      </c>
      <c r="H356" s="30">
        <v>20</v>
      </c>
      <c r="I356">
        <v>524.1</v>
      </c>
      <c r="J356">
        <v>10482</v>
      </c>
      <c r="K356" t="s">
        <v>45</v>
      </c>
      <c r="L356">
        <v>20220222</v>
      </c>
      <c r="M356" t="s">
        <v>73</v>
      </c>
    </row>
    <row r="357" spans="1:13">
      <c r="A357">
        <v>356</v>
      </c>
      <c r="B357" t="s">
        <v>893</v>
      </c>
      <c r="C357" t="s">
        <v>904</v>
      </c>
      <c r="D357" t="s">
        <v>904</v>
      </c>
      <c r="E357" t="s">
        <v>72</v>
      </c>
      <c r="F357" t="s">
        <v>905</v>
      </c>
      <c r="G357" s="27" t="s">
        <v>948</v>
      </c>
      <c r="H357" s="30">
        <v>15</v>
      </c>
      <c r="I357">
        <v>950.45</v>
      </c>
      <c r="J357">
        <v>14256.75</v>
      </c>
      <c r="K357" t="s">
        <v>45</v>
      </c>
      <c r="L357">
        <v>20220222</v>
      </c>
      <c r="M357" t="s">
        <v>73</v>
      </c>
    </row>
    <row r="358" spans="1:13">
      <c r="A358">
        <v>357</v>
      </c>
      <c r="B358" t="s">
        <v>749</v>
      </c>
      <c r="C358" t="s">
        <v>742</v>
      </c>
      <c r="D358" t="s">
        <v>742</v>
      </c>
      <c r="E358" t="s">
        <v>72</v>
      </c>
      <c r="F358" t="s">
        <v>750</v>
      </c>
      <c r="G358" s="27" t="s">
        <v>948</v>
      </c>
      <c r="H358" s="30">
        <v>300</v>
      </c>
      <c r="I358">
        <v>87.79</v>
      </c>
      <c r="J358">
        <v>26337.000000000004</v>
      </c>
      <c r="K358" t="s">
        <v>45</v>
      </c>
      <c r="L358">
        <v>20220222</v>
      </c>
      <c r="M358" t="s">
        <v>73</v>
      </c>
    </row>
    <row r="359" spans="1:13">
      <c r="A359">
        <v>358</v>
      </c>
      <c r="B359" t="s">
        <v>230</v>
      </c>
      <c r="C359" t="s">
        <v>117</v>
      </c>
      <c r="D359" t="s">
        <v>117</v>
      </c>
      <c r="E359" t="s">
        <v>72</v>
      </c>
      <c r="F359" t="s">
        <v>118</v>
      </c>
      <c r="G359" s="27" t="s">
        <v>948</v>
      </c>
      <c r="H359" s="30">
        <v>135</v>
      </c>
      <c r="I359">
        <v>228.31</v>
      </c>
      <c r="J359">
        <v>30821.85</v>
      </c>
      <c r="K359" t="s">
        <v>45</v>
      </c>
      <c r="L359">
        <v>20220222</v>
      </c>
      <c r="M359" t="s">
        <v>73</v>
      </c>
    </row>
    <row r="360" spans="1:13">
      <c r="A360">
        <v>359</v>
      </c>
      <c r="B360" t="s">
        <v>545</v>
      </c>
      <c r="C360" t="s">
        <v>546</v>
      </c>
      <c r="D360" t="s">
        <v>546</v>
      </c>
      <c r="E360" t="s">
        <v>72</v>
      </c>
      <c r="F360" t="s">
        <v>547</v>
      </c>
      <c r="G360" s="27" t="s">
        <v>948</v>
      </c>
      <c r="H360" s="30">
        <v>10</v>
      </c>
      <c r="I360">
        <v>1793.44</v>
      </c>
      <c r="J360">
        <v>17934.400000000001</v>
      </c>
      <c r="K360" t="s">
        <v>45</v>
      </c>
      <c r="L360">
        <v>20220222</v>
      </c>
      <c r="M360" t="s">
        <v>73</v>
      </c>
    </row>
    <row r="361" spans="1:13">
      <c r="A361">
        <v>360</v>
      </c>
      <c r="B361" t="s">
        <v>982</v>
      </c>
      <c r="C361" t="s">
        <v>943</v>
      </c>
      <c r="D361" t="s">
        <v>943</v>
      </c>
      <c r="E361" t="s">
        <v>72</v>
      </c>
      <c r="F361" t="s">
        <v>944</v>
      </c>
      <c r="G361" s="27" t="s">
        <v>949</v>
      </c>
      <c r="H361" s="30">
        <v>20</v>
      </c>
      <c r="I361">
        <v>584.04999999999995</v>
      </c>
      <c r="J361">
        <v>11681</v>
      </c>
      <c r="K361" t="s">
        <v>45</v>
      </c>
      <c r="L361">
        <v>20220217</v>
      </c>
      <c r="M361" t="s">
        <v>73</v>
      </c>
    </row>
    <row r="362" spans="1:13">
      <c r="A362">
        <v>361</v>
      </c>
      <c r="B362" t="s">
        <v>893</v>
      </c>
      <c r="C362" t="s">
        <v>904</v>
      </c>
      <c r="D362" t="s">
        <v>904</v>
      </c>
      <c r="E362" t="s">
        <v>72</v>
      </c>
      <c r="F362" t="s">
        <v>905</v>
      </c>
      <c r="G362" s="27" t="s">
        <v>949</v>
      </c>
      <c r="H362" s="30">
        <v>10</v>
      </c>
      <c r="I362">
        <v>1070.6199999999999</v>
      </c>
      <c r="J362">
        <v>10706.199999999999</v>
      </c>
      <c r="K362" t="s">
        <v>45</v>
      </c>
      <c r="L362">
        <v>20220217</v>
      </c>
      <c r="M362" t="s">
        <v>73</v>
      </c>
    </row>
    <row r="363" spans="1:13">
      <c r="A363">
        <v>362</v>
      </c>
      <c r="B363" t="s">
        <v>649</v>
      </c>
      <c r="C363" t="s">
        <v>648</v>
      </c>
      <c r="D363" t="s">
        <v>648</v>
      </c>
      <c r="E363" t="s">
        <v>72</v>
      </c>
      <c r="F363" t="s">
        <v>652</v>
      </c>
      <c r="G363" s="27" t="s">
        <v>950</v>
      </c>
      <c r="H363" s="30">
        <v>185</v>
      </c>
      <c r="I363">
        <v>160.19999999999999</v>
      </c>
      <c r="J363">
        <v>29636.999999999996</v>
      </c>
      <c r="K363" t="s">
        <v>45</v>
      </c>
      <c r="L363">
        <v>20220215</v>
      </c>
      <c r="M363" t="s">
        <v>73</v>
      </c>
    </row>
    <row r="364" spans="1:13">
      <c r="A364">
        <v>363</v>
      </c>
      <c r="B364" t="s">
        <v>723</v>
      </c>
      <c r="C364" t="s">
        <v>840</v>
      </c>
      <c r="D364" t="s">
        <v>724</v>
      </c>
      <c r="E364" t="s">
        <v>72</v>
      </c>
      <c r="F364" t="s">
        <v>726</v>
      </c>
      <c r="G364" s="27" t="s">
        <v>950</v>
      </c>
      <c r="H364" s="30">
        <v>60</v>
      </c>
      <c r="I364">
        <v>525.94000000000005</v>
      </c>
      <c r="J364">
        <v>31556.400000000001</v>
      </c>
      <c r="K364" t="s">
        <v>45</v>
      </c>
      <c r="L364">
        <v>20220215</v>
      </c>
      <c r="M364" t="s">
        <v>73</v>
      </c>
    </row>
    <row r="365" spans="1:13">
      <c r="A365">
        <v>364</v>
      </c>
      <c r="B365" t="s">
        <v>665</v>
      </c>
      <c r="C365" t="s">
        <v>666</v>
      </c>
      <c r="D365" t="s">
        <v>666</v>
      </c>
      <c r="E365" t="s">
        <v>72</v>
      </c>
      <c r="F365" t="s">
        <v>667</v>
      </c>
      <c r="G365" s="27" t="s">
        <v>950</v>
      </c>
      <c r="H365" s="30">
        <v>16</v>
      </c>
      <c r="I365">
        <v>2627.23</v>
      </c>
      <c r="J365">
        <v>42035.68</v>
      </c>
      <c r="K365" t="s">
        <v>45</v>
      </c>
      <c r="L365">
        <v>20220215</v>
      </c>
      <c r="M365" t="s">
        <v>73</v>
      </c>
    </row>
    <row r="366" spans="1:13">
      <c r="A366">
        <v>365</v>
      </c>
      <c r="B366" t="s">
        <v>751</v>
      </c>
      <c r="C366" t="s">
        <v>763</v>
      </c>
      <c r="D366" t="s">
        <v>752</v>
      </c>
      <c r="E366" t="s">
        <v>72</v>
      </c>
      <c r="F366" t="s">
        <v>754</v>
      </c>
      <c r="G366" s="27" t="s">
        <v>950</v>
      </c>
      <c r="H366" s="30">
        <v>8</v>
      </c>
      <c r="I366">
        <v>1838.05</v>
      </c>
      <c r="J366">
        <v>14704.4</v>
      </c>
      <c r="K366" t="s">
        <v>45</v>
      </c>
      <c r="L366">
        <v>20220215</v>
      </c>
      <c r="M366" t="s">
        <v>73</v>
      </c>
    </row>
    <row r="367" spans="1:13">
      <c r="A367">
        <v>366</v>
      </c>
      <c r="B367" t="s">
        <v>530</v>
      </c>
      <c r="C367" t="s">
        <v>531</v>
      </c>
      <c r="D367" t="s">
        <v>531</v>
      </c>
      <c r="E367" t="s">
        <v>72</v>
      </c>
      <c r="F367" t="s">
        <v>532</v>
      </c>
      <c r="G367" s="27" t="s">
        <v>950</v>
      </c>
      <c r="H367" s="30">
        <v>6</v>
      </c>
      <c r="I367">
        <v>701.36</v>
      </c>
      <c r="J367">
        <v>4208.16</v>
      </c>
      <c r="K367" t="s">
        <v>45</v>
      </c>
      <c r="L367">
        <v>20220215</v>
      </c>
      <c r="M367" t="s">
        <v>73</v>
      </c>
    </row>
    <row r="368" spans="1:13">
      <c r="A368">
        <v>367</v>
      </c>
      <c r="B368" t="s">
        <v>12</v>
      </c>
      <c r="C368" t="s">
        <v>410</v>
      </c>
      <c r="D368" t="s">
        <v>81</v>
      </c>
      <c r="E368" t="s">
        <v>72</v>
      </c>
      <c r="F368" t="s">
        <v>82</v>
      </c>
      <c r="G368" s="27" t="s">
        <v>950</v>
      </c>
      <c r="H368" s="30">
        <v>38</v>
      </c>
      <c r="I368">
        <v>760.64</v>
      </c>
      <c r="J368">
        <v>28904.32</v>
      </c>
      <c r="K368" t="s">
        <v>45</v>
      </c>
      <c r="L368">
        <v>20220215</v>
      </c>
      <c r="M368" t="s">
        <v>73</v>
      </c>
    </row>
    <row r="369" spans="1:13">
      <c r="A369">
        <v>368</v>
      </c>
      <c r="B369" t="s">
        <v>677</v>
      </c>
      <c r="C369" t="s">
        <v>678</v>
      </c>
      <c r="D369" t="s">
        <v>678</v>
      </c>
      <c r="E369" t="s">
        <v>72</v>
      </c>
      <c r="F369" t="s">
        <v>679</v>
      </c>
      <c r="G369" s="27" t="s">
        <v>952</v>
      </c>
      <c r="H369" s="30">
        <v>3</v>
      </c>
      <c r="I369">
        <v>420.11</v>
      </c>
      <c r="J369">
        <v>1260.33</v>
      </c>
      <c r="K369" t="s">
        <v>45</v>
      </c>
      <c r="L369">
        <v>20220210</v>
      </c>
      <c r="M369" t="s">
        <v>73</v>
      </c>
    </row>
    <row r="370" spans="1:13">
      <c r="A370">
        <v>369</v>
      </c>
      <c r="B370" t="s">
        <v>610</v>
      </c>
      <c r="C370" t="s">
        <v>611</v>
      </c>
      <c r="D370" t="s">
        <v>695</v>
      </c>
      <c r="E370" t="s">
        <v>72</v>
      </c>
      <c r="F370" t="s">
        <v>612</v>
      </c>
      <c r="G370" s="27" t="s">
        <v>953</v>
      </c>
      <c r="H370" s="30">
        <v>20</v>
      </c>
      <c r="I370">
        <v>391.5</v>
      </c>
      <c r="J370">
        <v>7830</v>
      </c>
      <c r="K370" t="s">
        <v>45</v>
      </c>
      <c r="L370">
        <v>20220209</v>
      </c>
      <c r="M370" t="s">
        <v>73</v>
      </c>
    </row>
    <row r="371" spans="1:13">
      <c r="A371">
        <v>370</v>
      </c>
      <c r="B371" t="s">
        <v>530</v>
      </c>
      <c r="C371" t="s">
        <v>531</v>
      </c>
      <c r="D371" t="s">
        <v>531</v>
      </c>
      <c r="E371" t="s">
        <v>72</v>
      </c>
      <c r="F371" t="s">
        <v>532</v>
      </c>
      <c r="G371" s="27" t="s">
        <v>953</v>
      </c>
      <c r="H371" s="30">
        <v>5</v>
      </c>
      <c r="I371">
        <v>731.5</v>
      </c>
      <c r="J371">
        <v>3657.5</v>
      </c>
      <c r="K371" t="s">
        <v>45</v>
      </c>
      <c r="L371">
        <v>20220209</v>
      </c>
      <c r="M371" t="s">
        <v>73</v>
      </c>
    </row>
    <row r="372" spans="1:13">
      <c r="A372">
        <v>371</v>
      </c>
      <c r="B372" t="s">
        <v>894</v>
      </c>
      <c r="C372" t="s">
        <v>898</v>
      </c>
      <c r="D372" t="s">
        <v>898</v>
      </c>
      <c r="E372" t="s">
        <v>72</v>
      </c>
      <c r="F372" t="s">
        <v>899</v>
      </c>
      <c r="G372" s="27" t="s">
        <v>953</v>
      </c>
      <c r="H372" s="30">
        <v>1</v>
      </c>
      <c r="I372">
        <v>4607</v>
      </c>
      <c r="J372">
        <v>4607</v>
      </c>
      <c r="K372" t="s">
        <v>45</v>
      </c>
      <c r="L372">
        <v>20220209</v>
      </c>
      <c r="M372" t="s">
        <v>73</v>
      </c>
    </row>
    <row r="373" spans="1:13">
      <c r="A373">
        <v>372</v>
      </c>
      <c r="B373" t="s">
        <v>723</v>
      </c>
      <c r="C373" t="s">
        <v>840</v>
      </c>
      <c r="D373" t="s">
        <v>724</v>
      </c>
      <c r="E373" t="s">
        <v>72</v>
      </c>
      <c r="F373" t="s">
        <v>726</v>
      </c>
      <c r="G373" s="27" t="s">
        <v>953</v>
      </c>
      <c r="H373" s="30">
        <v>20</v>
      </c>
      <c r="I373">
        <v>566.5</v>
      </c>
      <c r="J373">
        <v>11330</v>
      </c>
      <c r="K373" t="s">
        <v>45</v>
      </c>
      <c r="L373">
        <v>20220209</v>
      </c>
      <c r="M373" t="s">
        <v>73</v>
      </c>
    </row>
    <row r="374" spans="1:13">
      <c r="A374">
        <v>373</v>
      </c>
      <c r="B374" t="s">
        <v>630</v>
      </c>
      <c r="C374" t="s">
        <v>631</v>
      </c>
      <c r="D374" t="s">
        <v>631</v>
      </c>
      <c r="E374" t="s">
        <v>72</v>
      </c>
      <c r="F374" t="s">
        <v>632</v>
      </c>
      <c r="G374" s="27" t="s">
        <v>954</v>
      </c>
      <c r="H374" s="30">
        <v>6</v>
      </c>
      <c r="I374">
        <v>3032.45</v>
      </c>
      <c r="J374">
        <v>18194.699999999997</v>
      </c>
      <c r="K374" t="s">
        <v>45</v>
      </c>
      <c r="L374">
        <v>20220208</v>
      </c>
      <c r="M374" t="s">
        <v>73</v>
      </c>
    </row>
    <row r="375" spans="1:13">
      <c r="A375">
        <v>374</v>
      </c>
      <c r="B375" t="s">
        <v>674</v>
      </c>
      <c r="C375" t="s">
        <v>675</v>
      </c>
      <c r="D375" t="s">
        <v>675</v>
      </c>
      <c r="E375" t="s">
        <v>72</v>
      </c>
      <c r="F375" t="s">
        <v>676</v>
      </c>
      <c r="G375" s="27" t="s">
        <v>954</v>
      </c>
      <c r="H375" s="30">
        <v>10</v>
      </c>
      <c r="I375">
        <v>603</v>
      </c>
      <c r="J375">
        <v>6030</v>
      </c>
      <c r="K375" t="s">
        <v>45</v>
      </c>
      <c r="L375">
        <v>20220208</v>
      </c>
      <c r="M375" t="s">
        <v>73</v>
      </c>
    </row>
    <row r="376" spans="1:13">
      <c r="A376">
        <v>375</v>
      </c>
      <c r="B376" t="s">
        <v>29</v>
      </c>
      <c r="C376" t="s">
        <v>107</v>
      </c>
      <c r="D376" t="s">
        <v>107</v>
      </c>
      <c r="E376" t="s">
        <v>72</v>
      </c>
      <c r="F376" t="s">
        <v>108</v>
      </c>
      <c r="G376" s="27" t="s">
        <v>954</v>
      </c>
      <c r="H376" s="30">
        <v>25</v>
      </c>
      <c r="I376">
        <v>2419.5700000000002</v>
      </c>
      <c r="J376">
        <v>60489.250000000007</v>
      </c>
      <c r="K376" t="s">
        <v>45</v>
      </c>
      <c r="L376">
        <v>20220208</v>
      </c>
      <c r="M376" t="s">
        <v>73</v>
      </c>
    </row>
    <row r="377" spans="1:13">
      <c r="A377">
        <v>376</v>
      </c>
      <c r="B377" t="s">
        <v>533</v>
      </c>
      <c r="C377" t="s">
        <v>534</v>
      </c>
      <c r="D377" t="s">
        <v>534</v>
      </c>
      <c r="E377" t="s">
        <v>72</v>
      </c>
      <c r="F377" t="s">
        <v>535</v>
      </c>
      <c r="G377" s="27" t="s">
        <v>954</v>
      </c>
      <c r="H377" s="30">
        <v>14</v>
      </c>
      <c r="I377">
        <v>3116.45</v>
      </c>
      <c r="J377">
        <v>43630.299999999996</v>
      </c>
      <c r="K377" t="s">
        <v>45</v>
      </c>
      <c r="L377">
        <v>20220208</v>
      </c>
      <c r="M377" t="s">
        <v>73</v>
      </c>
    </row>
    <row r="378" spans="1:13">
      <c r="A378">
        <v>377</v>
      </c>
      <c r="B378" t="s">
        <v>27</v>
      </c>
      <c r="C378">
        <v>500288</v>
      </c>
      <c r="D378" t="s">
        <v>104</v>
      </c>
      <c r="E378" t="s">
        <v>72</v>
      </c>
      <c r="F378" t="s">
        <v>105</v>
      </c>
      <c r="G378" s="27" t="s">
        <v>954</v>
      </c>
      <c r="H378" s="30">
        <v>95</v>
      </c>
      <c r="I378">
        <v>50.72</v>
      </c>
      <c r="J378">
        <v>4818.3999999999996</v>
      </c>
      <c r="K378" t="s">
        <v>45</v>
      </c>
      <c r="L378">
        <v>20220208</v>
      </c>
      <c r="M378" t="s">
        <v>73</v>
      </c>
    </row>
    <row r="379" spans="1:13">
      <c r="A379">
        <v>378</v>
      </c>
      <c r="B379" t="s">
        <v>727</v>
      </c>
      <c r="C379" t="s">
        <v>728</v>
      </c>
      <c r="D379" t="s">
        <v>728</v>
      </c>
      <c r="E379" t="s">
        <v>72</v>
      </c>
      <c r="F379" t="s">
        <v>729</v>
      </c>
      <c r="G379" s="27" t="s">
        <v>955</v>
      </c>
      <c r="H379" s="30">
        <v>21</v>
      </c>
      <c r="I379">
        <v>1406.41</v>
      </c>
      <c r="J379">
        <v>29534.61</v>
      </c>
      <c r="K379" t="s">
        <v>45</v>
      </c>
      <c r="L379">
        <v>20220207</v>
      </c>
      <c r="M379" t="s">
        <v>73</v>
      </c>
    </row>
    <row r="380" spans="1:13">
      <c r="A380">
        <v>379</v>
      </c>
      <c r="B380" t="s">
        <v>894</v>
      </c>
      <c r="C380" t="s">
        <v>898</v>
      </c>
      <c r="D380" t="s">
        <v>898</v>
      </c>
      <c r="E380" t="s">
        <v>72</v>
      </c>
      <c r="F380" t="s">
        <v>899</v>
      </c>
      <c r="G380" s="27" t="s">
        <v>955</v>
      </c>
      <c r="H380" s="30">
        <v>1</v>
      </c>
      <c r="I380">
        <v>4519</v>
      </c>
      <c r="J380">
        <v>4519</v>
      </c>
      <c r="K380" t="s">
        <v>45</v>
      </c>
      <c r="L380">
        <v>20220207</v>
      </c>
      <c r="M380" t="s">
        <v>73</v>
      </c>
    </row>
    <row r="381" spans="1:13">
      <c r="A381">
        <v>380</v>
      </c>
      <c r="B381" t="s">
        <v>545</v>
      </c>
      <c r="C381" t="s">
        <v>546</v>
      </c>
      <c r="D381" t="s">
        <v>546</v>
      </c>
      <c r="E381" t="s">
        <v>72</v>
      </c>
      <c r="F381" t="s">
        <v>547</v>
      </c>
      <c r="G381" s="27" t="s">
        <v>955</v>
      </c>
      <c r="H381" s="30">
        <v>1</v>
      </c>
      <c r="I381">
        <v>2197.4499999999998</v>
      </c>
      <c r="J381">
        <v>2197.4499999999998</v>
      </c>
      <c r="K381" t="s">
        <v>45</v>
      </c>
      <c r="L381">
        <v>20220207</v>
      </c>
      <c r="M381" t="s">
        <v>73</v>
      </c>
    </row>
    <row r="382" spans="1:13">
      <c r="A382">
        <v>381</v>
      </c>
      <c r="B382" t="s">
        <v>610</v>
      </c>
      <c r="C382" t="s">
        <v>611</v>
      </c>
      <c r="D382" t="s">
        <v>695</v>
      </c>
      <c r="E382" t="s">
        <v>72</v>
      </c>
      <c r="F382" t="s">
        <v>612</v>
      </c>
      <c r="G382" s="27" t="s">
        <v>955</v>
      </c>
      <c r="H382" s="30">
        <v>60</v>
      </c>
      <c r="I382">
        <v>415.26499999999999</v>
      </c>
      <c r="J382">
        <v>24915.899999999998</v>
      </c>
      <c r="K382" t="s">
        <v>45</v>
      </c>
      <c r="L382">
        <v>20220207</v>
      </c>
      <c r="M382" t="s">
        <v>73</v>
      </c>
    </row>
    <row r="383" spans="1:13">
      <c r="A383">
        <v>382</v>
      </c>
      <c r="B383" t="s">
        <v>783</v>
      </c>
      <c r="C383" t="s">
        <v>784</v>
      </c>
      <c r="D383" t="s">
        <v>784</v>
      </c>
      <c r="E383" t="s">
        <v>72</v>
      </c>
      <c r="F383" t="s">
        <v>785</v>
      </c>
      <c r="G383" s="27" t="s">
        <v>955</v>
      </c>
      <c r="H383" s="30">
        <v>41</v>
      </c>
      <c r="I383">
        <v>708.37</v>
      </c>
      <c r="J383">
        <v>29043.170000000002</v>
      </c>
      <c r="K383" t="s">
        <v>45</v>
      </c>
      <c r="L383">
        <v>20220207</v>
      </c>
      <c r="M383" t="s">
        <v>73</v>
      </c>
    </row>
    <row r="384" spans="1:13">
      <c r="A384">
        <v>383</v>
      </c>
      <c r="B384" t="s">
        <v>894</v>
      </c>
      <c r="C384" t="s">
        <v>898</v>
      </c>
      <c r="D384" t="s">
        <v>898</v>
      </c>
      <c r="E384" t="s">
        <v>72</v>
      </c>
      <c r="F384" t="s">
        <v>899</v>
      </c>
      <c r="G384" s="27" t="s">
        <v>956</v>
      </c>
      <c r="H384" s="30">
        <v>4</v>
      </c>
      <c r="I384">
        <v>4575.3500000000004</v>
      </c>
      <c r="J384">
        <v>18301.400000000001</v>
      </c>
      <c r="K384" t="s">
        <v>45</v>
      </c>
      <c r="L384">
        <v>20220204</v>
      </c>
      <c r="M384" t="s">
        <v>73</v>
      </c>
    </row>
    <row r="385" spans="1:13">
      <c r="A385">
        <v>384</v>
      </c>
      <c r="B385" t="s">
        <v>982</v>
      </c>
      <c r="C385" t="s">
        <v>943</v>
      </c>
      <c r="D385" t="s">
        <v>943</v>
      </c>
      <c r="E385" t="s">
        <v>72</v>
      </c>
      <c r="F385" t="s">
        <v>944</v>
      </c>
      <c r="G385" s="27" t="s">
        <v>956</v>
      </c>
      <c r="H385" s="30">
        <v>50</v>
      </c>
      <c r="I385">
        <v>622.70000000000005</v>
      </c>
      <c r="J385">
        <v>31135.000000000004</v>
      </c>
      <c r="K385" t="s">
        <v>45</v>
      </c>
      <c r="L385">
        <v>20220204</v>
      </c>
      <c r="M385" t="s">
        <v>73</v>
      </c>
    </row>
    <row r="386" spans="1:13">
      <c r="A386">
        <v>385</v>
      </c>
      <c r="B386" t="s">
        <v>674</v>
      </c>
      <c r="C386" t="s">
        <v>675</v>
      </c>
      <c r="D386" t="s">
        <v>675</v>
      </c>
      <c r="E386" t="s">
        <v>72</v>
      </c>
      <c r="F386" t="s">
        <v>676</v>
      </c>
      <c r="G386" s="27" t="s">
        <v>957</v>
      </c>
      <c r="H386" s="30">
        <v>10</v>
      </c>
      <c r="I386">
        <v>635.95000000000005</v>
      </c>
      <c r="J386">
        <v>6359.5</v>
      </c>
      <c r="K386" t="s">
        <v>45</v>
      </c>
      <c r="L386">
        <v>20220202</v>
      </c>
      <c r="M386" t="s">
        <v>73</v>
      </c>
    </row>
    <row r="387" spans="1:13">
      <c r="A387">
        <v>386</v>
      </c>
      <c r="B387" t="s">
        <v>894</v>
      </c>
      <c r="C387" t="s">
        <v>898</v>
      </c>
      <c r="D387" t="s">
        <v>898</v>
      </c>
      <c r="E387" t="s">
        <v>72</v>
      </c>
      <c r="F387" t="s">
        <v>899</v>
      </c>
      <c r="G387" s="27" t="s">
        <v>957</v>
      </c>
      <c r="H387" s="30">
        <v>4</v>
      </c>
      <c r="I387">
        <v>4780.8999999999996</v>
      </c>
      <c r="J387">
        <v>19123.599999999999</v>
      </c>
      <c r="K387" t="s">
        <v>45</v>
      </c>
      <c r="L387">
        <v>20220202</v>
      </c>
      <c r="M387" t="s">
        <v>73</v>
      </c>
    </row>
    <row r="388" spans="1:13">
      <c r="A388">
        <v>387</v>
      </c>
      <c r="B388" t="s">
        <v>881</v>
      </c>
      <c r="C388" t="s">
        <v>880</v>
      </c>
      <c r="D388" t="s">
        <v>880</v>
      </c>
      <c r="E388" t="s">
        <v>72</v>
      </c>
      <c r="F388" t="s">
        <v>882</v>
      </c>
      <c r="G388" s="27" t="s">
        <v>958</v>
      </c>
      <c r="H388" s="30">
        <v>29</v>
      </c>
      <c r="I388">
        <v>740.3</v>
      </c>
      <c r="J388">
        <v>21468.699999999997</v>
      </c>
      <c r="K388" t="s">
        <v>45</v>
      </c>
      <c r="L388">
        <v>20220127</v>
      </c>
      <c r="M388" t="s">
        <v>73</v>
      </c>
    </row>
    <row r="389" spans="1:13">
      <c r="A389">
        <v>388</v>
      </c>
      <c r="B389" t="s">
        <v>894</v>
      </c>
      <c r="C389" t="s">
        <v>898</v>
      </c>
      <c r="D389" t="s">
        <v>898</v>
      </c>
      <c r="E389" t="s">
        <v>72</v>
      </c>
      <c r="F389" t="s">
        <v>899</v>
      </c>
      <c r="G389" s="27" t="s">
        <v>958</v>
      </c>
      <c r="H389" s="30">
        <v>5</v>
      </c>
      <c r="I389">
        <v>4391.3900000000003</v>
      </c>
      <c r="J389">
        <v>21956.95</v>
      </c>
      <c r="K389" t="s">
        <v>45</v>
      </c>
      <c r="L389">
        <v>20220127</v>
      </c>
      <c r="M389" t="s">
        <v>73</v>
      </c>
    </row>
    <row r="390" spans="1:13">
      <c r="A390">
        <v>389</v>
      </c>
      <c r="B390" t="s">
        <v>650</v>
      </c>
      <c r="C390" t="s">
        <v>655</v>
      </c>
      <c r="D390" t="s">
        <v>655</v>
      </c>
      <c r="E390" t="s">
        <v>72</v>
      </c>
      <c r="F390" t="s">
        <v>656</v>
      </c>
      <c r="G390" s="27" t="s">
        <v>958</v>
      </c>
      <c r="H390" s="30">
        <v>7</v>
      </c>
      <c r="I390">
        <v>4567.6899999999996</v>
      </c>
      <c r="J390">
        <v>31973.829999999998</v>
      </c>
      <c r="K390" t="s">
        <v>45</v>
      </c>
      <c r="L390">
        <v>20220127</v>
      </c>
      <c r="M390" t="s">
        <v>73</v>
      </c>
    </row>
    <row r="391" spans="1:13">
      <c r="A391">
        <v>390</v>
      </c>
      <c r="B391" t="s">
        <v>881</v>
      </c>
      <c r="C391" t="s">
        <v>880</v>
      </c>
      <c r="D391" t="s">
        <v>880</v>
      </c>
      <c r="E391" t="s">
        <v>72</v>
      </c>
      <c r="F391" t="s">
        <v>882</v>
      </c>
      <c r="G391" s="27" t="s">
        <v>959</v>
      </c>
      <c r="H391" s="30">
        <v>18</v>
      </c>
      <c r="I391">
        <v>744.28</v>
      </c>
      <c r="J391">
        <v>13397.039999999999</v>
      </c>
      <c r="K391" t="s">
        <v>45</v>
      </c>
      <c r="L391">
        <v>20220125</v>
      </c>
      <c r="M391" t="s">
        <v>73</v>
      </c>
    </row>
    <row r="392" spans="1:13">
      <c r="A392">
        <v>391</v>
      </c>
      <c r="B392" t="s">
        <v>740</v>
      </c>
      <c r="C392" t="s">
        <v>740</v>
      </c>
      <c r="D392" t="s">
        <v>740</v>
      </c>
      <c r="E392" t="s">
        <v>72</v>
      </c>
      <c r="F392" t="s">
        <v>741</v>
      </c>
      <c r="G392" s="27" t="s">
        <v>959</v>
      </c>
      <c r="H392" s="30">
        <v>34</v>
      </c>
      <c r="I392">
        <v>281.14999999999998</v>
      </c>
      <c r="J392">
        <v>9559.0999999999985</v>
      </c>
      <c r="K392" t="s">
        <v>45</v>
      </c>
      <c r="L392">
        <v>20220125</v>
      </c>
      <c r="M392" t="s">
        <v>73</v>
      </c>
    </row>
    <row r="393" spans="1:13">
      <c r="A393">
        <v>392</v>
      </c>
      <c r="B393" t="s">
        <v>650</v>
      </c>
      <c r="C393" t="s">
        <v>655</v>
      </c>
      <c r="D393" t="s">
        <v>655</v>
      </c>
      <c r="E393" t="s">
        <v>72</v>
      </c>
      <c r="F393" t="s">
        <v>656</v>
      </c>
      <c r="G393" s="27" t="s">
        <v>959</v>
      </c>
      <c r="H393" s="30">
        <v>12</v>
      </c>
      <c r="I393">
        <v>5132.68</v>
      </c>
      <c r="J393">
        <v>61592.160000000003</v>
      </c>
      <c r="K393" t="s">
        <v>45</v>
      </c>
      <c r="L393">
        <v>20220125</v>
      </c>
      <c r="M393" t="s">
        <v>73</v>
      </c>
    </row>
    <row r="394" spans="1:13">
      <c r="A394">
        <v>393</v>
      </c>
      <c r="B394" t="s">
        <v>194</v>
      </c>
      <c r="C394" t="s">
        <v>195</v>
      </c>
      <c r="D394" t="s">
        <v>195</v>
      </c>
      <c r="E394" t="s">
        <v>72</v>
      </c>
      <c r="F394" t="s">
        <v>196</v>
      </c>
      <c r="G394" s="27" t="s">
        <v>959</v>
      </c>
      <c r="H394" s="30">
        <v>13</v>
      </c>
      <c r="I394">
        <v>1544.37</v>
      </c>
      <c r="J394">
        <v>20076.809999999998</v>
      </c>
      <c r="K394" t="s">
        <v>45</v>
      </c>
      <c r="L394">
        <v>20220125</v>
      </c>
      <c r="M394" t="s">
        <v>73</v>
      </c>
    </row>
    <row r="395" spans="1:13">
      <c r="A395">
        <v>394</v>
      </c>
      <c r="B395" t="s">
        <v>610</v>
      </c>
      <c r="C395" t="s">
        <v>611</v>
      </c>
      <c r="D395" t="s">
        <v>695</v>
      </c>
      <c r="E395" t="s">
        <v>72</v>
      </c>
      <c r="F395" t="s">
        <v>612</v>
      </c>
      <c r="G395" s="27" t="s">
        <v>959</v>
      </c>
      <c r="H395" s="30">
        <v>60</v>
      </c>
      <c r="I395">
        <v>466.41500000000002</v>
      </c>
      <c r="J395">
        <v>27984.9</v>
      </c>
      <c r="K395" t="s">
        <v>45</v>
      </c>
      <c r="L395">
        <v>20220125</v>
      </c>
      <c r="M395" t="s">
        <v>73</v>
      </c>
    </row>
    <row r="396" spans="1:13">
      <c r="A396">
        <v>395</v>
      </c>
      <c r="B396" t="s">
        <v>751</v>
      </c>
      <c r="C396" t="s">
        <v>763</v>
      </c>
      <c r="D396" t="s">
        <v>752</v>
      </c>
      <c r="E396" t="s">
        <v>72</v>
      </c>
      <c r="F396" t="s">
        <v>754</v>
      </c>
      <c r="G396" s="27" t="s">
        <v>959</v>
      </c>
      <c r="H396" s="30">
        <v>15</v>
      </c>
      <c r="I396">
        <v>2030.45</v>
      </c>
      <c r="J396">
        <v>30456.75</v>
      </c>
      <c r="K396" t="s">
        <v>45</v>
      </c>
      <c r="L396">
        <v>20220125</v>
      </c>
      <c r="M396" t="s">
        <v>73</v>
      </c>
    </row>
    <row r="397" spans="1:13">
      <c r="A397">
        <v>396</v>
      </c>
      <c r="B397" t="s">
        <v>671</v>
      </c>
      <c r="C397" t="s">
        <v>672</v>
      </c>
      <c r="D397" t="s">
        <v>672</v>
      </c>
      <c r="E397" t="s">
        <v>72</v>
      </c>
      <c r="F397" t="s">
        <v>673</v>
      </c>
      <c r="G397" s="27" t="s">
        <v>959</v>
      </c>
      <c r="H397" s="30">
        <v>3</v>
      </c>
      <c r="I397">
        <v>6838.7</v>
      </c>
      <c r="J397">
        <v>20516.099999999999</v>
      </c>
      <c r="K397" t="s">
        <v>45</v>
      </c>
      <c r="L397">
        <v>20220125</v>
      </c>
      <c r="M397" t="s">
        <v>73</v>
      </c>
    </row>
    <row r="398" spans="1:13">
      <c r="A398">
        <v>397</v>
      </c>
      <c r="B398" t="s">
        <v>749</v>
      </c>
      <c r="C398" t="s">
        <v>742</v>
      </c>
      <c r="D398" t="s">
        <v>742</v>
      </c>
      <c r="E398" t="s">
        <v>72</v>
      </c>
      <c r="F398" t="s">
        <v>750</v>
      </c>
      <c r="G398" s="27" t="s">
        <v>959</v>
      </c>
      <c r="H398" s="30">
        <v>210</v>
      </c>
      <c r="I398">
        <v>104.57</v>
      </c>
      <c r="J398">
        <v>21959.699999999997</v>
      </c>
      <c r="K398" t="s">
        <v>45</v>
      </c>
      <c r="L398">
        <v>20220125</v>
      </c>
      <c r="M398" t="s">
        <v>73</v>
      </c>
    </row>
    <row r="399" spans="1:13">
      <c r="A399">
        <v>398</v>
      </c>
      <c r="B399" t="s">
        <v>545</v>
      </c>
      <c r="C399" t="s">
        <v>546</v>
      </c>
      <c r="D399" t="s">
        <v>546</v>
      </c>
      <c r="E399" t="s">
        <v>72</v>
      </c>
      <c r="F399" t="s">
        <v>547</v>
      </c>
      <c r="G399" s="27" t="s">
        <v>960</v>
      </c>
      <c r="H399" s="30">
        <v>3</v>
      </c>
      <c r="I399">
        <v>2078.5300000000002</v>
      </c>
      <c r="J399">
        <v>6235.59</v>
      </c>
      <c r="K399" t="s">
        <v>45</v>
      </c>
      <c r="L399">
        <v>20220124</v>
      </c>
      <c r="M399" t="s">
        <v>73</v>
      </c>
    </row>
    <row r="400" spans="1:13">
      <c r="A400">
        <v>399</v>
      </c>
      <c r="B400" t="s">
        <v>894</v>
      </c>
      <c r="C400" t="s">
        <v>898</v>
      </c>
      <c r="D400" t="s">
        <v>898</v>
      </c>
      <c r="E400" t="s">
        <v>72</v>
      </c>
      <c r="F400" t="s">
        <v>899</v>
      </c>
      <c r="G400" s="27" t="s">
        <v>960</v>
      </c>
      <c r="H400" s="30">
        <v>4</v>
      </c>
      <c r="I400">
        <v>4598.75</v>
      </c>
      <c r="J400">
        <v>18395</v>
      </c>
      <c r="K400" t="s">
        <v>45</v>
      </c>
      <c r="L400">
        <v>20220124</v>
      </c>
      <c r="M400" t="s">
        <v>73</v>
      </c>
    </row>
    <row r="401" spans="1:13">
      <c r="A401">
        <v>400</v>
      </c>
      <c r="B401" t="s">
        <v>665</v>
      </c>
      <c r="C401" t="s">
        <v>666</v>
      </c>
      <c r="D401" t="s">
        <v>666</v>
      </c>
      <c r="E401" t="s">
        <v>72</v>
      </c>
      <c r="F401" t="s">
        <v>667</v>
      </c>
      <c r="G401" s="27" t="s">
        <v>961</v>
      </c>
      <c r="H401" s="30">
        <v>6</v>
      </c>
      <c r="I401">
        <v>3060.8</v>
      </c>
      <c r="J401">
        <v>18364.800000000003</v>
      </c>
      <c r="K401" t="s">
        <v>45</v>
      </c>
      <c r="L401">
        <v>20220121</v>
      </c>
      <c r="M401" t="s">
        <v>73</v>
      </c>
    </row>
    <row r="402" spans="1:13">
      <c r="A402">
        <v>401</v>
      </c>
      <c r="B402" t="s">
        <v>668</v>
      </c>
      <c r="C402" t="s">
        <v>669</v>
      </c>
      <c r="D402" t="s">
        <v>669</v>
      </c>
      <c r="E402" t="s">
        <v>72</v>
      </c>
      <c r="F402" t="s">
        <v>670</v>
      </c>
      <c r="G402" s="27" t="s">
        <v>961</v>
      </c>
      <c r="H402" s="30">
        <v>6</v>
      </c>
      <c r="I402">
        <v>4221</v>
      </c>
      <c r="J402">
        <v>25326</v>
      </c>
      <c r="K402" t="s">
        <v>45</v>
      </c>
      <c r="L402">
        <v>20220121</v>
      </c>
      <c r="M402" t="s">
        <v>73</v>
      </c>
    </row>
    <row r="403" spans="1:13">
      <c r="A403">
        <v>402</v>
      </c>
      <c r="B403" t="s">
        <v>894</v>
      </c>
      <c r="C403" t="s">
        <v>898</v>
      </c>
      <c r="D403" t="s">
        <v>898</v>
      </c>
      <c r="E403" t="s">
        <v>72</v>
      </c>
      <c r="F403" t="s">
        <v>899</v>
      </c>
      <c r="G403" s="27" t="s">
        <v>961</v>
      </c>
      <c r="H403" s="30">
        <v>3</v>
      </c>
      <c r="I403">
        <v>4987.75</v>
      </c>
      <c r="J403">
        <v>14963.25</v>
      </c>
      <c r="K403" t="s">
        <v>45</v>
      </c>
      <c r="L403">
        <v>20220121</v>
      </c>
      <c r="M403" t="s">
        <v>73</v>
      </c>
    </row>
    <row r="404" spans="1:13">
      <c r="A404">
        <v>403</v>
      </c>
      <c r="B404" t="s">
        <v>26</v>
      </c>
      <c r="C404" t="s">
        <v>102</v>
      </c>
      <c r="D404" t="s">
        <v>102</v>
      </c>
      <c r="E404" t="s">
        <v>72</v>
      </c>
      <c r="F404" t="s">
        <v>103</v>
      </c>
      <c r="G404" s="27" t="s">
        <v>961</v>
      </c>
      <c r="H404" s="30">
        <v>9</v>
      </c>
      <c r="I404">
        <v>157.44</v>
      </c>
      <c r="J404">
        <v>1416.96</v>
      </c>
      <c r="K404" t="s">
        <v>45</v>
      </c>
      <c r="L404">
        <v>20220121</v>
      </c>
      <c r="M404" t="s">
        <v>73</v>
      </c>
    </row>
    <row r="405" spans="1:13">
      <c r="A405">
        <v>404</v>
      </c>
      <c r="B405" t="s">
        <v>723</v>
      </c>
      <c r="C405" t="s">
        <v>840</v>
      </c>
      <c r="D405" t="s">
        <v>724</v>
      </c>
      <c r="E405" t="s">
        <v>72</v>
      </c>
      <c r="F405" t="s">
        <v>726</v>
      </c>
      <c r="G405" s="27" t="s">
        <v>961</v>
      </c>
      <c r="H405" s="30">
        <v>40</v>
      </c>
      <c r="I405">
        <v>598.13</v>
      </c>
      <c r="J405">
        <v>23925.200000000001</v>
      </c>
      <c r="K405" t="s">
        <v>45</v>
      </c>
      <c r="L405">
        <v>20220121</v>
      </c>
      <c r="M405" t="s">
        <v>73</v>
      </c>
    </row>
    <row r="406" spans="1:13">
      <c r="A406">
        <v>405</v>
      </c>
      <c r="B406" t="s">
        <v>194</v>
      </c>
      <c r="C406" t="s">
        <v>195</v>
      </c>
      <c r="D406" t="s">
        <v>195</v>
      </c>
      <c r="E406" t="s">
        <v>72</v>
      </c>
      <c r="F406" t="s">
        <v>196</v>
      </c>
      <c r="G406" s="27" t="s">
        <v>961</v>
      </c>
      <c r="H406" s="30">
        <v>40</v>
      </c>
      <c r="I406">
        <v>1659.0350000000001</v>
      </c>
      <c r="J406">
        <v>66361.400000000009</v>
      </c>
      <c r="K406" t="s">
        <v>45</v>
      </c>
      <c r="L406">
        <v>20220121</v>
      </c>
      <c r="M406" t="s">
        <v>73</v>
      </c>
    </row>
    <row r="407" spans="1:13">
      <c r="A407">
        <v>406</v>
      </c>
      <c r="B407" t="s">
        <v>668</v>
      </c>
      <c r="C407" t="s">
        <v>669</v>
      </c>
      <c r="D407" t="s">
        <v>669</v>
      </c>
      <c r="E407" t="s">
        <v>72</v>
      </c>
      <c r="F407" t="s">
        <v>670</v>
      </c>
      <c r="G407" s="27" t="s">
        <v>962</v>
      </c>
      <c r="H407" s="30">
        <v>1</v>
      </c>
      <c r="I407">
        <v>4410</v>
      </c>
      <c r="J407">
        <v>4410</v>
      </c>
      <c r="K407" t="s">
        <v>45</v>
      </c>
      <c r="L407">
        <v>20220120</v>
      </c>
      <c r="M407" t="s">
        <v>73</v>
      </c>
    </row>
    <row r="408" spans="1:13">
      <c r="A408">
        <v>407</v>
      </c>
      <c r="B408" t="s">
        <v>881</v>
      </c>
      <c r="C408" t="s">
        <v>880</v>
      </c>
      <c r="D408" t="s">
        <v>880</v>
      </c>
      <c r="E408" t="s">
        <v>72</v>
      </c>
      <c r="F408" t="s">
        <v>882</v>
      </c>
      <c r="G408" s="27" t="s">
        <v>962</v>
      </c>
      <c r="H408" s="30">
        <v>26</v>
      </c>
      <c r="I408">
        <v>918.58</v>
      </c>
      <c r="J408">
        <v>23883.08</v>
      </c>
      <c r="K408" t="s">
        <v>45</v>
      </c>
      <c r="L408">
        <v>20220120</v>
      </c>
      <c r="M408" t="s">
        <v>73</v>
      </c>
    </row>
    <row r="409" spans="1:13">
      <c r="A409">
        <v>408</v>
      </c>
      <c r="B409" t="s">
        <v>512</v>
      </c>
      <c r="C409" t="s">
        <v>511</v>
      </c>
      <c r="D409" t="s">
        <v>511</v>
      </c>
      <c r="E409" t="s">
        <v>72</v>
      </c>
      <c r="F409" t="s">
        <v>513</v>
      </c>
      <c r="G409" s="27" t="s">
        <v>962</v>
      </c>
      <c r="H409" s="30">
        <v>7</v>
      </c>
      <c r="I409">
        <v>3250.54</v>
      </c>
      <c r="J409">
        <v>22753.78</v>
      </c>
      <c r="K409" t="s">
        <v>45</v>
      </c>
      <c r="L409">
        <v>20220120</v>
      </c>
      <c r="M409" t="s">
        <v>73</v>
      </c>
    </row>
    <row r="410" spans="1:13">
      <c r="A410">
        <v>409</v>
      </c>
      <c r="B410" t="s">
        <v>894</v>
      </c>
      <c r="C410" t="s">
        <v>898</v>
      </c>
      <c r="D410" t="s">
        <v>898</v>
      </c>
      <c r="E410" t="s">
        <v>72</v>
      </c>
      <c r="F410" t="s">
        <v>899</v>
      </c>
      <c r="G410" s="27" t="s">
        <v>962</v>
      </c>
      <c r="H410" s="30">
        <v>2</v>
      </c>
      <c r="I410">
        <v>5097.8999999999996</v>
      </c>
      <c r="J410">
        <v>10195.799999999999</v>
      </c>
      <c r="K410" t="s">
        <v>45</v>
      </c>
      <c r="L410">
        <v>20220120</v>
      </c>
      <c r="M410" t="s">
        <v>73</v>
      </c>
    </row>
    <row r="411" spans="1:13">
      <c r="A411">
        <v>410</v>
      </c>
      <c r="B411" t="s">
        <v>727</v>
      </c>
      <c r="C411" t="s">
        <v>728</v>
      </c>
      <c r="D411" t="s">
        <v>728</v>
      </c>
      <c r="E411" t="s">
        <v>72</v>
      </c>
      <c r="F411" t="s">
        <v>729</v>
      </c>
      <c r="G411" s="27" t="s">
        <v>963</v>
      </c>
      <c r="H411" s="30">
        <v>18</v>
      </c>
      <c r="I411">
        <v>1570.08</v>
      </c>
      <c r="J411">
        <v>28261.439999999999</v>
      </c>
      <c r="K411" t="s">
        <v>45</v>
      </c>
      <c r="L411">
        <v>20220119</v>
      </c>
      <c r="M411" t="s">
        <v>73</v>
      </c>
    </row>
    <row r="412" spans="1:13">
      <c r="A412">
        <v>411</v>
      </c>
      <c r="B412" t="s">
        <v>649</v>
      </c>
      <c r="C412" t="s">
        <v>648</v>
      </c>
      <c r="D412" t="s">
        <v>648</v>
      </c>
      <c r="E412" t="s">
        <v>72</v>
      </c>
      <c r="F412" t="s">
        <v>652</v>
      </c>
      <c r="G412" s="27" t="s">
        <v>963</v>
      </c>
      <c r="H412" s="30">
        <v>100</v>
      </c>
      <c r="I412">
        <v>196.8</v>
      </c>
      <c r="J412">
        <v>19680</v>
      </c>
      <c r="K412" t="s">
        <v>45</v>
      </c>
      <c r="L412">
        <v>20220119</v>
      </c>
      <c r="M412" t="s">
        <v>73</v>
      </c>
    </row>
    <row r="413" spans="1:13">
      <c r="A413">
        <v>412</v>
      </c>
      <c r="B413" t="s">
        <v>743</v>
      </c>
      <c r="C413" t="s">
        <v>744</v>
      </c>
      <c r="D413" t="s">
        <v>744</v>
      </c>
      <c r="E413" t="s">
        <v>72</v>
      </c>
      <c r="F413" t="s">
        <v>745</v>
      </c>
      <c r="G413" s="27" t="s">
        <v>963</v>
      </c>
      <c r="H413" s="30">
        <v>21</v>
      </c>
      <c r="I413">
        <v>517.38</v>
      </c>
      <c r="J413">
        <v>10864.98</v>
      </c>
      <c r="K413" t="s">
        <v>45</v>
      </c>
      <c r="L413">
        <v>20220119</v>
      </c>
      <c r="M413" t="s">
        <v>73</v>
      </c>
    </row>
    <row r="414" spans="1:13">
      <c r="A414">
        <v>413</v>
      </c>
      <c r="B414" t="s">
        <v>894</v>
      </c>
      <c r="C414" t="s">
        <v>898</v>
      </c>
      <c r="D414" t="s">
        <v>898</v>
      </c>
      <c r="E414" t="s">
        <v>72</v>
      </c>
      <c r="F414" t="s">
        <v>899</v>
      </c>
      <c r="G414" s="27" t="s">
        <v>963</v>
      </c>
      <c r="H414" s="30">
        <v>6</v>
      </c>
      <c r="I414">
        <v>5020.5</v>
      </c>
      <c r="J414">
        <v>30123</v>
      </c>
      <c r="K414" t="s">
        <v>45</v>
      </c>
      <c r="L414">
        <v>20220119</v>
      </c>
      <c r="M414" t="s">
        <v>73</v>
      </c>
    </row>
    <row r="415" spans="1:13">
      <c r="A415">
        <v>414</v>
      </c>
      <c r="B415" t="s">
        <v>982</v>
      </c>
      <c r="C415" t="s">
        <v>943</v>
      </c>
      <c r="D415" t="s">
        <v>943</v>
      </c>
      <c r="E415" t="s">
        <v>72</v>
      </c>
      <c r="F415" t="s">
        <v>944</v>
      </c>
      <c r="G415" s="27" t="s">
        <v>963</v>
      </c>
      <c r="H415" s="30">
        <v>30</v>
      </c>
      <c r="I415">
        <v>692.05</v>
      </c>
      <c r="J415">
        <v>20761.5</v>
      </c>
      <c r="K415" t="s">
        <v>45</v>
      </c>
      <c r="L415">
        <v>20220119</v>
      </c>
      <c r="M415" t="s">
        <v>73</v>
      </c>
    </row>
    <row r="416" spans="1:13">
      <c r="A416">
        <v>415</v>
      </c>
      <c r="B416" t="s">
        <v>743</v>
      </c>
      <c r="C416" t="s">
        <v>744</v>
      </c>
      <c r="D416" t="s">
        <v>744</v>
      </c>
      <c r="E416" t="s">
        <v>72</v>
      </c>
      <c r="F416" t="s">
        <v>745</v>
      </c>
      <c r="G416" s="27" t="s">
        <v>964</v>
      </c>
      <c r="H416" s="30">
        <v>8</v>
      </c>
      <c r="I416">
        <v>545.08000000000004</v>
      </c>
      <c r="J416">
        <v>4360.6400000000003</v>
      </c>
      <c r="K416" t="s">
        <v>45</v>
      </c>
      <c r="L416">
        <v>20220118</v>
      </c>
      <c r="M416" t="s">
        <v>73</v>
      </c>
    </row>
    <row r="417" spans="1:13">
      <c r="A417">
        <v>416</v>
      </c>
      <c r="B417" t="s">
        <v>665</v>
      </c>
      <c r="C417" t="s">
        <v>666</v>
      </c>
      <c r="D417" t="s">
        <v>666</v>
      </c>
      <c r="E417" t="s">
        <v>72</v>
      </c>
      <c r="F417" t="s">
        <v>667</v>
      </c>
      <c r="G417" s="27" t="s">
        <v>964</v>
      </c>
      <c r="H417" s="30">
        <v>6</v>
      </c>
      <c r="I417">
        <v>3436.25</v>
      </c>
      <c r="J417">
        <v>20617.5</v>
      </c>
      <c r="K417" t="s">
        <v>45</v>
      </c>
      <c r="L417">
        <v>20220118</v>
      </c>
      <c r="M417" t="s">
        <v>73</v>
      </c>
    </row>
    <row r="418" spans="1:13">
      <c r="A418">
        <v>417</v>
      </c>
      <c r="B418" t="s">
        <v>545</v>
      </c>
      <c r="C418" t="s">
        <v>546</v>
      </c>
      <c r="D418" t="s">
        <v>546</v>
      </c>
      <c r="E418" t="s">
        <v>72</v>
      </c>
      <c r="F418" t="s">
        <v>547</v>
      </c>
      <c r="G418" s="27" t="s">
        <v>964</v>
      </c>
      <c r="H418" s="30">
        <v>1</v>
      </c>
      <c r="I418">
        <v>2354.6999999999998</v>
      </c>
      <c r="J418">
        <v>2354.6999999999998</v>
      </c>
      <c r="K418" t="s">
        <v>45</v>
      </c>
      <c r="L418">
        <v>20220118</v>
      </c>
      <c r="M418" t="s">
        <v>73</v>
      </c>
    </row>
    <row r="419" spans="1:13">
      <c r="A419">
        <v>418</v>
      </c>
      <c r="B419" t="s">
        <v>982</v>
      </c>
      <c r="C419" t="s">
        <v>943</v>
      </c>
      <c r="D419" t="s">
        <v>943</v>
      </c>
      <c r="E419" t="s">
        <v>72</v>
      </c>
      <c r="F419" t="s">
        <v>944</v>
      </c>
      <c r="G419" s="27" t="s">
        <v>965</v>
      </c>
      <c r="H419" s="30">
        <v>200</v>
      </c>
      <c r="I419">
        <v>721.98</v>
      </c>
      <c r="J419">
        <v>144396</v>
      </c>
      <c r="K419" t="s">
        <v>45</v>
      </c>
      <c r="L419">
        <v>20220117</v>
      </c>
      <c r="M419" t="s">
        <v>73</v>
      </c>
    </row>
    <row r="420" spans="1:13">
      <c r="A420">
        <v>419</v>
      </c>
      <c r="B420" t="s">
        <v>893</v>
      </c>
      <c r="C420" t="s">
        <v>904</v>
      </c>
      <c r="D420" t="s">
        <v>904</v>
      </c>
      <c r="E420" t="s">
        <v>72</v>
      </c>
      <c r="F420" t="s">
        <v>905</v>
      </c>
      <c r="G420" s="27" t="s">
        <v>965</v>
      </c>
      <c r="H420" s="30">
        <v>15</v>
      </c>
      <c r="I420">
        <v>1157</v>
      </c>
      <c r="J420">
        <v>17355</v>
      </c>
      <c r="K420" t="s">
        <v>45</v>
      </c>
      <c r="L420">
        <v>20220117</v>
      </c>
      <c r="M420" t="s">
        <v>73</v>
      </c>
    </row>
    <row r="421" spans="1:13">
      <c r="A421">
        <v>420</v>
      </c>
      <c r="B421" t="s">
        <v>727</v>
      </c>
      <c r="C421" t="s">
        <v>728</v>
      </c>
      <c r="D421" t="s">
        <v>728</v>
      </c>
      <c r="E421" t="s">
        <v>72</v>
      </c>
      <c r="F421" t="s">
        <v>729</v>
      </c>
      <c r="G421" s="27" t="s">
        <v>897</v>
      </c>
      <c r="H421" s="30">
        <v>2</v>
      </c>
      <c r="I421">
        <v>1590.75</v>
      </c>
      <c r="J421">
        <v>3181.5</v>
      </c>
      <c r="K421" t="s">
        <v>45</v>
      </c>
      <c r="L421">
        <v>20220111</v>
      </c>
      <c r="M421" t="s">
        <v>73</v>
      </c>
    </row>
    <row r="422" spans="1:13">
      <c r="A422">
        <v>421</v>
      </c>
      <c r="B422" t="s">
        <v>37</v>
      </c>
      <c r="C422" t="s">
        <v>119</v>
      </c>
      <c r="D422" t="s">
        <v>216</v>
      </c>
      <c r="E422" t="s">
        <v>76</v>
      </c>
      <c r="F422" t="s">
        <v>120</v>
      </c>
      <c r="G422" s="27" t="s">
        <v>897</v>
      </c>
      <c r="H422" s="30">
        <v>35</v>
      </c>
      <c r="I422">
        <v>187.45</v>
      </c>
      <c r="J422">
        <v>6560.75</v>
      </c>
      <c r="K422" t="s">
        <v>45</v>
      </c>
      <c r="L422">
        <v>20220111</v>
      </c>
      <c r="M422" t="s">
        <v>73</v>
      </c>
    </row>
    <row r="423" spans="1:13">
      <c r="A423">
        <v>422</v>
      </c>
      <c r="B423" t="s">
        <v>894</v>
      </c>
      <c r="C423" t="s">
        <v>898</v>
      </c>
      <c r="D423" t="s">
        <v>898</v>
      </c>
      <c r="E423" t="s">
        <v>72</v>
      </c>
      <c r="F423" t="s">
        <v>899</v>
      </c>
      <c r="G423" s="27" t="s">
        <v>897</v>
      </c>
      <c r="H423" s="30">
        <v>27</v>
      </c>
      <c r="I423">
        <v>5620.41</v>
      </c>
      <c r="J423">
        <v>151751.07</v>
      </c>
      <c r="K423" t="s">
        <v>45</v>
      </c>
      <c r="L423">
        <v>20220111</v>
      </c>
      <c r="M423" t="s">
        <v>73</v>
      </c>
    </row>
    <row r="424" spans="1:13">
      <c r="A424">
        <v>423</v>
      </c>
      <c r="B424" t="s">
        <v>545</v>
      </c>
      <c r="C424" t="s">
        <v>546</v>
      </c>
      <c r="D424" t="s">
        <v>546</v>
      </c>
      <c r="E424" t="s">
        <v>72</v>
      </c>
      <c r="F424" t="s">
        <v>547</v>
      </c>
      <c r="G424" s="27" t="s">
        <v>900</v>
      </c>
      <c r="H424" s="30">
        <v>1</v>
      </c>
      <c r="I424">
        <v>2340.5</v>
      </c>
      <c r="J424">
        <v>2340.5</v>
      </c>
      <c r="K424" t="s">
        <v>45</v>
      </c>
      <c r="L424">
        <v>20220110</v>
      </c>
      <c r="M424" t="s">
        <v>73</v>
      </c>
    </row>
    <row r="425" spans="1:13">
      <c r="A425">
        <v>424</v>
      </c>
      <c r="B425" t="s">
        <v>783</v>
      </c>
      <c r="C425" t="s">
        <v>784</v>
      </c>
      <c r="D425" t="s">
        <v>784</v>
      </c>
      <c r="E425" t="s">
        <v>72</v>
      </c>
      <c r="F425" t="s">
        <v>785</v>
      </c>
      <c r="G425" s="27" t="s">
        <v>901</v>
      </c>
      <c r="H425" s="30">
        <v>37</v>
      </c>
      <c r="I425">
        <v>822.41</v>
      </c>
      <c r="J425">
        <v>30429.17</v>
      </c>
      <c r="K425" t="s">
        <v>45</v>
      </c>
      <c r="L425">
        <v>20220107</v>
      </c>
      <c r="M425" t="s">
        <v>73</v>
      </c>
    </row>
    <row r="426" spans="1:13">
      <c r="A426">
        <v>425</v>
      </c>
      <c r="B426" t="s">
        <v>651</v>
      </c>
      <c r="C426" t="s">
        <v>653</v>
      </c>
      <c r="D426" t="s">
        <v>653</v>
      </c>
      <c r="E426" t="s">
        <v>72</v>
      </c>
      <c r="F426" t="s">
        <v>654</v>
      </c>
      <c r="G426" s="27" t="s">
        <v>902</v>
      </c>
      <c r="H426" s="30">
        <v>20</v>
      </c>
      <c r="I426">
        <v>795.19</v>
      </c>
      <c r="J426">
        <v>15903.800000000001</v>
      </c>
      <c r="K426" t="s">
        <v>45</v>
      </c>
      <c r="L426">
        <v>20220106</v>
      </c>
      <c r="M426" t="s">
        <v>73</v>
      </c>
    </row>
    <row r="427" spans="1:13">
      <c r="A427">
        <v>426</v>
      </c>
      <c r="B427" t="s">
        <v>530</v>
      </c>
      <c r="C427" t="s">
        <v>531</v>
      </c>
      <c r="D427" t="s">
        <v>531</v>
      </c>
      <c r="E427" t="s">
        <v>72</v>
      </c>
      <c r="F427" t="s">
        <v>532</v>
      </c>
      <c r="G427" s="27" t="s">
        <v>902</v>
      </c>
      <c r="H427" s="30">
        <v>3</v>
      </c>
      <c r="I427">
        <v>821.8</v>
      </c>
      <c r="J427">
        <v>2465.3999999999996</v>
      </c>
      <c r="K427" t="s">
        <v>45</v>
      </c>
      <c r="L427">
        <v>20220106</v>
      </c>
      <c r="M427" t="s">
        <v>73</v>
      </c>
    </row>
    <row r="428" spans="1:13">
      <c r="A428">
        <v>427</v>
      </c>
      <c r="B428" t="s">
        <v>545</v>
      </c>
      <c r="C428" t="s">
        <v>546</v>
      </c>
      <c r="D428" t="s">
        <v>546</v>
      </c>
      <c r="E428" t="s">
        <v>72</v>
      </c>
      <c r="F428" t="s">
        <v>547</v>
      </c>
      <c r="G428" s="27" t="s">
        <v>903</v>
      </c>
      <c r="H428" s="30">
        <v>1</v>
      </c>
      <c r="I428">
        <v>2413.1</v>
      </c>
      <c r="J428">
        <v>2413.1</v>
      </c>
      <c r="K428" t="s">
        <v>45</v>
      </c>
      <c r="L428">
        <v>20220104</v>
      </c>
      <c r="M428" t="s">
        <v>73</v>
      </c>
    </row>
    <row r="429" spans="1:13">
      <c r="A429">
        <v>428</v>
      </c>
      <c r="B429" t="s">
        <v>893</v>
      </c>
      <c r="C429" t="s">
        <v>904</v>
      </c>
      <c r="D429" t="s">
        <v>904</v>
      </c>
      <c r="E429" t="s">
        <v>72</v>
      </c>
      <c r="F429" t="s">
        <v>905</v>
      </c>
      <c r="G429" s="27" t="s">
        <v>903</v>
      </c>
      <c r="H429" s="30">
        <v>15</v>
      </c>
      <c r="I429">
        <v>1034</v>
      </c>
      <c r="J429">
        <v>15510</v>
      </c>
      <c r="K429" t="s">
        <v>45</v>
      </c>
      <c r="L429">
        <v>20220104</v>
      </c>
      <c r="M429" t="s">
        <v>73</v>
      </c>
    </row>
    <row r="430" spans="1:13">
      <c r="A430">
        <v>429</v>
      </c>
      <c r="B430" t="s">
        <v>545</v>
      </c>
      <c r="C430" t="s">
        <v>546</v>
      </c>
      <c r="D430" t="s">
        <v>546</v>
      </c>
      <c r="E430" t="s">
        <v>72</v>
      </c>
      <c r="F430" t="s">
        <v>547</v>
      </c>
      <c r="G430" s="27" t="s">
        <v>906</v>
      </c>
      <c r="H430" s="30">
        <v>1</v>
      </c>
      <c r="I430">
        <v>2488.6</v>
      </c>
      <c r="J430">
        <v>2488.6</v>
      </c>
      <c r="K430" t="s">
        <v>45</v>
      </c>
      <c r="L430">
        <v>20220103</v>
      </c>
      <c r="M430" t="s">
        <v>73</v>
      </c>
    </row>
    <row r="431" spans="1:13">
      <c r="A431">
        <v>430</v>
      </c>
      <c r="B431" t="s">
        <v>881</v>
      </c>
      <c r="C431" t="s">
        <v>880</v>
      </c>
      <c r="D431" t="s">
        <v>880</v>
      </c>
      <c r="E431" t="s">
        <v>72</v>
      </c>
      <c r="F431" t="s">
        <v>882</v>
      </c>
      <c r="G431" s="27" t="s">
        <v>906</v>
      </c>
      <c r="H431" s="30">
        <v>47</v>
      </c>
      <c r="I431">
        <v>953.17</v>
      </c>
      <c r="J431">
        <v>44798.99</v>
      </c>
      <c r="K431" t="s">
        <v>45</v>
      </c>
      <c r="L431">
        <v>20220103</v>
      </c>
      <c r="M431" t="s">
        <v>73</v>
      </c>
    </row>
    <row r="432" spans="1:13">
      <c r="A432">
        <v>431</v>
      </c>
      <c r="B432" t="s">
        <v>893</v>
      </c>
      <c r="C432" t="s">
        <v>904</v>
      </c>
      <c r="D432" t="s">
        <v>904</v>
      </c>
      <c r="E432" t="s">
        <v>72</v>
      </c>
      <c r="F432" t="s">
        <v>905</v>
      </c>
      <c r="G432" s="27" t="s">
        <v>906</v>
      </c>
      <c r="H432" s="30">
        <v>150</v>
      </c>
      <c r="I432">
        <v>1063.0999999999999</v>
      </c>
      <c r="J432">
        <v>159465</v>
      </c>
      <c r="K432" t="s">
        <v>45</v>
      </c>
      <c r="L432">
        <v>20220103</v>
      </c>
      <c r="M432" t="s">
        <v>73</v>
      </c>
    </row>
    <row r="433" spans="1:13">
      <c r="A433">
        <v>432</v>
      </c>
      <c r="B433" t="s">
        <v>530</v>
      </c>
      <c r="C433" t="s">
        <v>531</v>
      </c>
      <c r="D433" t="s">
        <v>531</v>
      </c>
      <c r="E433" t="s">
        <v>72</v>
      </c>
      <c r="F433" t="s">
        <v>532</v>
      </c>
      <c r="G433" s="27" t="s">
        <v>907</v>
      </c>
      <c r="H433" s="30">
        <v>4</v>
      </c>
      <c r="I433">
        <v>825.6</v>
      </c>
      <c r="J433">
        <v>3302.4</v>
      </c>
      <c r="K433" t="s">
        <v>45</v>
      </c>
      <c r="L433">
        <v>20211231</v>
      </c>
      <c r="M433" t="s">
        <v>73</v>
      </c>
    </row>
    <row r="434" spans="1:13">
      <c r="A434">
        <v>433</v>
      </c>
      <c r="B434" t="s">
        <v>630</v>
      </c>
      <c r="C434" t="s">
        <v>631</v>
      </c>
      <c r="D434" t="s">
        <v>631</v>
      </c>
      <c r="E434" t="s">
        <v>72</v>
      </c>
      <c r="F434" t="s">
        <v>632</v>
      </c>
      <c r="G434" s="27" t="s">
        <v>908</v>
      </c>
      <c r="H434" s="30">
        <v>4</v>
      </c>
      <c r="I434">
        <v>3163.63</v>
      </c>
      <c r="J434">
        <v>12654.52</v>
      </c>
      <c r="K434" t="s">
        <v>45</v>
      </c>
      <c r="L434">
        <v>20211230</v>
      </c>
      <c r="M434" t="s">
        <v>73</v>
      </c>
    </row>
    <row r="435" spans="1:13">
      <c r="A435">
        <v>434</v>
      </c>
      <c r="B435" t="s">
        <v>674</v>
      </c>
      <c r="C435" t="s">
        <v>675</v>
      </c>
      <c r="D435" t="s">
        <v>675</v>
      </c>
      <c r="E435" t="s">
        <v>72</v>
      </c>
      <c r="F435" t="s">
        <v>676</v>
      </c>
      <c r="G435" s="27" t="s">
        <v>909</v>
      </c>
      <c r="H435" s="30">
        <v>45</v>
      </c>
      <c r="I435">
        <v>640.63</v>
      </c>
      <c r="J435">
        <v>28828.35</v>
      </c>
      <c r="K435" t="s">
        <v>45</v>
      </c>
      <c r="L435">
        <v>20211229</v>
      </c>
      <c r="M435" t="s">
        <v>73</v>
      </c>
    </row>
    <row r="436" spans="1:13">
      <c r="A436">
        <v>435</v>
      </c>
      <c r="B436" t="s">
        <v>650</v>
      </c>
      <c r="C436" t="s">
        <v>655</v>
      </c>
      <c r="D436" t="s">
        <v>655</v>
      </c>
      <c r="E436" t="s">
        <v>72</v>
      </c>
      <c r="F436" t="s">
        <v>656</v>
      </c>
      <c r="G436" s="27" t="s">
        <v>910</v>
      </c>
      <c r="H436" s="30">
        <v>6</v>
      </c>
      <c r="I436">
        <v>6537.4</v>
      </c>
      <c r="J436">
        <v>39224.399999999994</v>
      </c>
      <c r="K436" t="s">
        <v>45</v>
      </c>
      <c r="L436">
        <v>20211222</v>
      </c>
      <c r="M436" t="s">
        <v>73</v>
      </c>
    </row>
    <row r="437" spans="1:13">
      <c r="A437">
        <v>436</v>
      </c>
      <c r="B437" t="s">
        <v>545</v>
      </c>
      <c r="C437" t="s">
        <v>546</v>
      </c>
      <c r="D437" t="s">
        <v>546</v>
      </c>
      <c r="E437" t="s">
        <v>72</v>
      </c>
      <c r="F437" t="s">
        <v>547</v>
      </c>
      <c r="G437" s="27" t="s">
        <v>910</v>
      </c>
      <c r="H437" s="30">
        <v>1</v>
      </c>
      <c r="I437">
        <v>2282</v>
      </c>
      <c r="J437">
        <v>2282</v>
      </c>
      <c r="K437" t="s">
        <v>45</v>
      </c>
      <c r="L437">
        <v>20211222</v>
      </c>
      <c r="M437" t="s">
        <v>73</v>
      </c>
    </row>
    <row r="438" spans="1:13">
      <c r="A438">
        <v>437</v>
      </c>
      <c r="B438" t="s">
        <v>441</v>
      </c>
      <c r="C438" t="s">
        <v>445</v>
      </c>
      <c r="D438" t="s">
        <v>445</v>
      </c>
      <c r="E438" t="s">
        <v>72</v>
      </c>
      <c r="F438" t="s">
        <v>584</v>
      </c>
      <c r="G438" s="27" t="s">
        <v>911</v>
      </c>
      <c r="H438" s="30">
        <v>5</v>
      </c>
      <c r="I438">
        <v>1428</v>
      </c>
      <c r="J438">
        <v>7140</v>
      </c>
      <c r="K438" t="s">
        <v>45</v>
      </c>
      <c r="L438">
        <v>20211220</v>
      </c>
      <c r="M438" t="s">
        <v>73</v>
      </c>
    </row>
    <row r="439" spans="1:13">
      <c r="A439">
        <v>438</v>
      </c>
      <c r="B439" t="s">
        <v>674</v>
      </c>
      <c r="C439" t="s">
        <v>675</v>
      </c>
      <c r="D439" t="s">
        <v>675</v>
      </c>
      <c r="E439" t="s">
        <v>72</v>
      </c>
      <c r="F439" t="s">
        <v>676</v>
      </c>
      <c r="G439" s="27" t="s">
        <v>911</v>
      </c>
      <c r="H439" s="30">
        <v>20</v>
      </c>
      <c r="I439">
        <v>635.1</v>
      </c>
      <c r="J439">
        <v>12702</v>
      </c>
      <c r="K439" t="s">
        <v>45</v>
      </c>
      <c r="L439">
        <v>20211220</v>
      </c>
      <c r="M439" t="s">
        <v>73</v>
      </c>
    </row>
    <row r="440" spans="1:13">
      <c r="A440">
        <v>439</v>
      </c>
      <c r="B440" t="s">
        <v>463</v>
      </c>
      <c r="C440" t="s">
        <v>463</v>
      </c>
      <c r="D440" t="s">
        <v>463</v>
      </c>
      <c r="E440" t="s">
        <v>72</v>
      </c>
      <c r="F440" t="s">
        <v>466</v>
      </c>
      <c r="G440" s="27" t="s">
        <v>911</v>
      </c>
      <c r="H440" s="30">
        <v>30</v>
      </c>
      <c r="I440">
        <v>239.1</v>
      </c>
      <c r="J440">
        <v>7173</v>
      </c>
      <c r="K440" t="s">
        <v>45</v>
      </c>
      <c r="L440">
        <v>20211220</v>
      </c>
      <c r="M440" t="s">
        <v>73</v>
      </c>
    </row>
    <row r="441" spans="1:13">
      <c r="A441">
        <v>440</v>
      </c>
      <c r="B441" t="s">
        <v>651</v>
      </c>
      <c r="C441" t="s">
        <v>653</v>
      </c>
      <c r="D441" t="s">
        <v>653</v>
      </c>
      <c r="E441" t="s">
        <v>72</v>
      </c>
      <c r="F441" t="s">
        <v>654</v>
      </c>
      <c r="G441" s="27" t="s">
        <v>911</v>
      </c>
      <c r="H441" s="30">
        <v>7</v>
      </c>
      <c r="I441">
        <v>762.69</v>
      </c>
      <c r="J441">
        <v>5338.83</v>
      </c>
      <c r="K441" t="s">
        <v>45</v>
      </c>
      <c r="L441">
        <v>20211220</v>
      </c>
      <c r="M441" t="s">
        <v>73</v>
      </c>
    </row>
    <row r="442" spans="1:13">
      <c r="A442">
        <v>441</v>
      </c>
      <c r="B442" t="s">
        <v>530</v>
      </c>
      <c r="C442" t="s">
        <v>531</v>
      </c>
      <c r="D442" t="s">
        <v>531</v>
      </c>
      <c r="E442" t="s">
        <v>72</v>
      </c>
      <c r="F442" t="s">
        <v>532</v>
      </c>
      <c r="G442" s="27" t="s">
        <v>911</v>
      </c>
      <c r="H442" s="30">
        <v>4</v>
      </c>
      <c r="I442">
        <v>830.25</v>
      </c>
      <c r="J442">
        <v>3321</v>
      </c>
      <c r="K442" t="s">
        <v>45</v>
      </c>
      <c r="L442">
        <v>20211220</v>
      </c>
      <c r="M442" t="s">
        <v>73</v>
      </c>
    </row>
    <row r="443" spans="1:13">
      <c r="A443">
        <v>442</v>
      </c>
      <c r="B443" t="s">
        <v>751</v>
      </c>
      <c r="C443" t="s">
        <v>763</v>
      </c>
      <c r="D443" t="s">
        <v>752</v>
      </c>
      <c r="E443" t="s">
        <v>72</v>
      </c>
      <c r="F443" t="s">
        <v>754</v>
      </c>
      <c r="G443" s="27" t="s">
        <v>911</v>
      </c>
      <c r="H443" s="30">
        <v>6</v>
      </c>
      <c r="I443">
        <v>1512.2</v>
      </c>
      <c r="J443">
        <v>9073.2000000000007</v>
      </c>
      <c r="K443" t="s">
        <v>45</v>
      </c>
      <c r="L443">
        <v>20211220</v>
      </c>
      <c r="M443" t="s">
        <v>73</v>
      </c>
    </row>
    <row r="444" spans="1:13">
      <c r="A444">
        <v>443</v>
      </c>
      <c r="B444" t="s">
        <v>194</v>
      </c>
      <c r="C444" t="s">
        <v>195</v>
      </c>
      <c r="D444" t="s">
        <v>195</v>
      </c>
      <c r="E444" t="s">
        <v>72</v>
      </c>
      <c r="F444" t="s">
        <v>196</v>
      </c>
      <c r="G444" s="27" t="s">
        <v>911</v>
      </c>
      <c r="H444" s="30">
        <v>20</v>
      </c>
      <c r="I444">
        <v>1569.3050000000001</v>
      </c>
      <c r="J444">
        <v>31386.100000000002</v>
      </c>
      <c r="K444" t="s">
        <v>45</v>
      </c>
      <c r="L444">
        <v>20211220</v>
      </c>
      <c r="M444" t="s">
        <v>73</v>
      </c>
    </row>
    <row r="445" spans="1:13">
      <c r="A445">
        <v>444</v>
      </c>
      <c r="B445" t="s">
        <v>230</v>
      </c>
      <c r="C445" t="s">
        <v>117</v>
      </c>
      <c r="D445" t="s">
        <v>117</v>
      </c>
      <c r="E445" t="s">
        <v>72</v>
      </c>
      <c r="F445" t="s">
        <v>118</v>
      </c>
      <c r="G445" s="27" t="s">
        <v>911</v>
      </c>
      <c r="H445" s="30">
        <v>48</v>
      </c>
      <c r="I445">
        <v>220.61</v>
      </c>
      <c r="J445">
        <v>10589.28</v>
      </c>
      <c r="K445" t="s">
        <v>45</v>
      </c>
      <c r="L445">
        <v>20211220</v>
      </c>
      <c r="M445" t="s">
        <v>73</v>
      </c>
    </row>
    <row r="446" spans="1:13">
      <c r="A446">
        <v>445</v>
      </c>
      <c r="B446" t="s">
        <v>630</v>
      </c>
      <c r="C446" t="s">
        <v>631</v>
      </c>
      <c r="D446" t="s">
        <v>631</v>
      </c>
      <c r="E446" t="s">
        <v>72</v>
      </c>
      <c r="F446" t="s">
        <v>632</v>
      </c>
      <c r="G446" s="27" t="s">
        <v>912</v>
      </c>
      <c r="H446" s="30">
        <v>8</v>
      </c>
      <c r="I446">
        <v>3198.88</v>
      </c>
      <c r="J446">
        <v>25591.040000000001</v>
      </c>
      <c r="K446" t="s">
        <v>45</v>
      </c>
      <c r="L446">
        <v>20211215</v>
      </c>
      <c r="M446" t="s">
        <v>73</v>
      </c>
    </row>
    <row r="447" spans="1:13">
      <c r="A447">
        <v>446</v>
      </c>
      <c r="B447" t="s">
        <v>674</v>
      </c>
      <c r="C447" t="s">
        <v>675</v>
      </c>
      <c r="D447" t="s">
        <v>675</v>
      </c>
      <c r="E447" t="s">
        <v>72</v>
      </c>
      <c r="F447" t="s">
        <v>676</v>
      </c>
      <c r="G447" s="27" t="s">
        <v>913</v>
      </c>
      <c r="H447" s="30">
        <v>10</v>
      </c>
      <c r="I447">
        <v>668.4</v>
      </c>
      <c r="J447">
        <v>6684</v>
      </c>
      <c r="K447" t="s">
        <v>45</v>
      </c>
      <c r="L447">
        <v>20211214</v>
      </c>
      <c r="M447" t="s">
        <v>73</v>
      </c>
    </row>
    <row r="448" spans="1:13">
      <c r="A448">
        <v>447</v>
      </c>
      <c r="B448" t="s">
        <v>19</v>
      </c>
      <c r="C448" t="s">
        <v>90</v>
      </c>
      <c r="D448" t="s">
        <v>90</v>
      </c>
      <c r="E448" t="s">
        <v>72</v>
      </c>
      <c r="F448" t="s">
        <v>91</v>
      </c>
      <c r="G448" s="27" t="s">
        <v>913</v>
      </c>
      <c r="H448" s="30">
        <v>16</v>
      </c>
      <c r="I448">
        <v>343.78</v>
      </c>
      <c r="J448">
        <v>5500.48</v>
      </c>
      <c r="K448" t="s">
        <v>45</v>
      </c>
      <c r="L448">
        <v>20211214</v>
      </c>
      <c r="M448" t="s">
        <v>73</v>
      </c>
    </row>
    <row r="449" spans="1:13">
      <c r="A449">
        <v>448</v>
      </c>
      <c r="B449" t="s">
        <v>881</v>
      </c>
      <c r="C449" t="s">
        <v>880</v>
      </c>
      <c r="D449" t="s">
        <v>880</v>
      </c>
      <c r="E449" t="s">
        <v>72</v>
      </c>
      <c r="F449" t="s">
        <v>882</v>
      </c>
      <c r="G449" s="27" t="s">
        <v>914</v>
      </c>
      <c r="H449" s="30">
        <v>17</v>
      </c>
      <c r="I449">
        <v>1079.21</v>
      </c>
      <c r="J449">
        <v>18346.57</v>
      </c>
      <c r="K449" t="s">
        <v>45</v>
      </c>
      <c r="L449">
        <v>20211213</v>
      </c>
      <c r="M449" t="s">
        <v>73</v>
      </c>
    </row>
    <row r="450" spans="1:13">
      <c r="A450">
        <v>449</v>
      </c>
      <c r="B450" t="s">
        <v>677</v>
      </c>
      <c r="C450" t="s">
        <v>678</v>
      </c>
      <c r="D450" t="s">
        <v>678</v>
      </c>
      <c r="E450" t="s">
        <v>72</v>
      </c>
      <c r="F450" t="s">
        <v>679</v>
      </c>
      <c r="G450" s="27" t="s">
        <v>915</v>
      </c>
      <c r="H450" s="30">
        <v>28</v>
      </c>
      <c r="I450">
        <v>446.03</v>
      </c>
      <c r="J450">
        <v>12488.84</v>
      </c>
      <c r="K450" t="s">
        <v>45</v>
      </c>
      <c r="L450">
        <v>20211207</v>
      </c>
      <c r="M450" t="s">
        <v>73</v>
      </c>
    </row>
    <row r="451" spans="1:13">
      <c r="A451">
        <v>450</v>
      </c>
      <c r="B451" t="s">
        <v>727</v>
      </c>
      <c r="C451" t="s">
        <v>728</v>
      </c>
      <c r="D451" t="s">
        <v>728</v>
      </c>
      <c r="E451" t="s">
        <v>72</v>
      </c>
      <c r="F451" t="s">
        <v>729</v>
      </c>
      <c r="G451" s="27" t="s">
        <v>916</v>
      </c>
      <c r="H451" s="30">
        <v>9</v>
      </c>
      <c r="I451">
        <v>1620.94</v>
      </c>
      <c r="J451">
        <v>14588.460000000001</v>
      </c>
      <c r="K451" t="s">
        <v>45</v>
      </c>
      <c r="L451">
        <v>20211206</v>
      </c>
      <c r="M451" t="s">
        <v>73</v>
      </c>
    </row>
    <row r="452" spans="1:13">
      <c r="A452">
        <v>451</v>
      </c>
      <c r="B452" t="s">
        <v>783</v>
      </c>
      <c r="C452" t="s">
        <v>784</v>
      </c>
      <c r="D452" t="s">
        <v>784</v>
      </c>
      <c r="E452" t="s">
        <v>72</v>
      </c>
      <c r="F452" t="s">
        <v>785</v>
      </c>
      <c r="G452" s="27" t="s">
        <v>916</v>
      </c>
      <c r="H452" s="30">
        <v>33</v>
      </c>
      <c r="I452">
        <v>920.45</v>
      </c>
      <c r="J452">
        <v>30374.850000000002</v>
      </c>
      <c r="K452" t="s">
        <v>45</v>
      </c>
      <c r="L452">
        <v>20211206</v>
      </c>
      <c r="M452" t="s">
        <v>73</v>
      </c>
    </row>
    <row r="453" spans="1:13">
      <c r="A453">
        <v>452</v>
      </c>
      <c r="B453" t="s">
        <v>881</v>
      </c>
      <c r="C453" t="s">
        <v>880</v>
      </c>
      <c r="D453" t="s">
        <v>880</v>
      </c>
      <c r="E453" t="s">
        <v>72</v>
      </c>
      <c r="F453" t="s">
        <v>882</v>
      </c>
      <c r="G453" s="27" t="s">
        <v>916</v>
      </c>
      <c r="H453" s="30">
        <v>25</v>
      </c>
      <c r="I453">
        <v>1196.69</v>
      </c>
      <c r="J453">
        <v>29917.25</v>
      </c>
      <c r="K453" t="s">
        <v>45</v>
      </c>
      <c r="L453">
        <v>20211206</v>
      </c>
      <c r="M453" t="s">
        <v>73</v>
      </c>
    </row>
    <row r="454" spans="1:13">
      <c r="A454">
        <v>453</v>
      </c>
      <c r="B454" t="s">
        <v>539</v>
      </c>
      <c r="C454" t="s">
        <v>540</v>
      </c>
      <c r="D454" t="s">
        <v>540</v>
      </c>
      <c r="E454" t="s">
        <v>72</v>
      </c>
      <c r="F454" t="s">
        <v>541</v>
      </c>
      <c r="G454" s="27" t="s">
        <v>917</v>
      </c>
      <c r="H454" s="30">
        <v>10</v>
      </c>
      <c r="I454">
        <v>1212.4000000000001</v>
      </c>
      <c r="J454">
        <v>12124</v>
      </c>
      <c r="K454" t="s">
        <v>45</v>
      </c>
      <c r="L454">
        <v>20211129</v>
      </c>
      <c r="M454" t="s">
        <v>73</v>
      </c>
    </row>
    <row r="455" spans="1:13">
      <c r="A455">
        <v>454</v>
      </c>
      <c r="B455" t="s">
        <v>649</v>
      </c>
      <c r="C455" t="s">
        <v>648</v>
      </c>
      <c r="D455" t="s">
        <v>648</v>
      </c>
      <c r="E455" t="s">
        <v>72</v>
      </c>
      <c r="F455" t="s">
        <v>652</v>
      </c>
      <c r="G455" s="27" t="s">
        <v>917</v>
      </c>
      <c r="H455" s="30">
        <v>25</v>
      </c>
      <c r="I455">
        <v>166.7</v>
      </c>
      <c r="J455">
        <v>4167.5</v>
      </c>
      <c r="K455" t="s">
        <v>45</v>
      </c>
      <c r="L455">
        <v>20211129</v>
      </c>
      <c r="M455" t="s">
        <v>73</v>
      </c>
    </row>
    <row r="456" spans="1:13">
      <c r="A456">
        <v>455</v>
      </c>
      <c r="B456" t="s">
        <v>463</v>
      </c>
      <c r="C456" t="s">
        <v>463</v>
      </c>
      <c r="D456" t="s">
        <v>463</v>
      </c>
      <c r="E456" t="s">
        <v>72</v>
      </c>
      <c r="F456" t="s">
        <v>466</v>
      </c>
      <c r="G456" s="27" t="s">
        <v>917</v>
      </c>
      <c r="H456" s="30">
        <v>30</v>
      </c>
      <c r="I456">
        <v>148.63</v>
      </c>
      <c r="J456">
        <v>4458.8999999999996</v>
      </c>
      <c r="K456" t="s">
        <v>45</v>
      </c>
      <c r="L456">
        <v>20211129</v>
      </c>
      <c r="M456" t="s">
        <v>73</v>
      </c>
    </row>
    <row r="457" spans="1:13">
      <c r="A457">
        <v>456</v>
      </c>
      <c r="B457" t="s">
        <v>194</v>
      </c>
      <c r="C457" t="s">
        <v>195</v>
      </c>
      <c r="D457" t="s">
        <v>195</v>
      </c>
      <c r="E457" t="s">
        <v>72</v>
      </c>
      <c r="F457" t="s">
        <v>196</v>
      </c>
      <c r="G457" s="27" t="s">
        <v>890</v>
      </c>
      <c r="H457" s="30">
        <v>10</v>
      </c>
      <c r="I457">
        <v>1676.43</v>
      </c>
      <c r="J457">
        <v>16764.3</v>
      </c>
      <c r="K457" t="s">
        <v>45</v>
      </c>
      <c r="L457">
        <v>20211126</v>
      </c>
      <c r="M457" t="s">
        <v>73</v>
      </c>
    </row>
    <row r="458" spans="1:13">
      <c r="A458">
        <v>457</v>
      </c>
      <c r="B458" t="s">
        <v>230</v>
      </c>
      <c r="C458" t="s">
        <v>117</v>
      </c>
      <c r="D458" t="s">
        <v>117</v>
      </c>
      <c r="E458" t="s">
        <v>72</v>
      </c>
      <c r="F458" t="s">
        <v>118</v>
      </c>
      <c r="G458" s="27" t="s">
        <v>890</v>
      </c>
      <c r="H458" s="30">
        <v>15</v>
      </c>
      <c r="I458">
        <v>263.14999999999998</v>
      </c>
      <c r="J458">
        <v>3947.2499999999995</v>
      </c>
      <c r="K458" t="s">
        <v>45</v>
      </c>
      <c r="L458">
        <v>20211126</v>
      </c>
      <c r="M458" t="s">
        <v>73</v>
      </c>
    </row>
    <row r="459" spans="1:13">
      <c r="A459">
        <v>458</v>
      </c>
      <c r="B459" t="s">
        <v>671</v>
      </c>
      <c r="C459" t="s">
        <v>672</v>
      </c>
      <c r="D459" t="s">
        <v>672</v>
      </c>
      <c r="E459" t="s">
        <v>72</v>
      </c>
      <c r="F459" t="s">
        <v>673</v>
      </c>
      <c r="G459" s="27" t="s">
        <v>890</v>
      </c>
      <c r="H459" s="30">
        <v>2</v>
      </c>
      <c r="I459">
        <v>6834.63</v>
      </c>
      <c r="J459" s="54">
        <v>13669.26</v>
      </c>
      <c r="K459" t="s">
        <v>45</v>
      </c>
      <c r="L459">
        <v>20211126</v>
      </c>
      <c r="M459" t="s">
        <v>73</v>
      </c>
    </row>
    <row r="460" spans="1:13">
      <c r="A460">
        <v>459</v>
      </c>
      <c r="B460" t="s">
        <v>441</v>
      </c>
      <c r="C460" t="s">
        <v>445</v>
      </c>
      <c r="D460" t="s">
        <v>445</v>
      </c>
      <c r="E460" t="s">
        <v>72</v>
      </c>
      <c r="F460" t="s">
        <v>584</v>
      </c>
      <c r="G460" s="27" t="s">
        <v>890</v>
      </c>
      <c r="H460" s="30">
        <v>2</v>
      </c>
      <c r="I460">
        <v>1504.95</v>
      </c>
      <c r="J460">
        <v>3009.9</v>
      </c>
      <c r="K460" t="s">
        <v>45</v>
      </c>
      <c r="L460">
        <v>20211126</v>
      </c>
      <c r="M460" t="s">
        <v>73</v>
      </c>
    </row>
    <row r="461" spans="1:13">
      <c r="A461">
        <v>460</v>
      </c>
      <c r="B461" t="s">
        <v>689</v>
      </c>
      <c r="C461" t="s">
        <v>690</v>
      </c>
      <c r="D461" t="s">
        <v>690</v>
      </c>
      <c r="E461" t="s">
        <v>72</v>
      </c>
      <c r="F461" t="s">
        <v>691</v>
      </c>
      <c r="G461" s="27" t="s">
        <v>891</v>
      </c>
      <c r="H461" s="30">
        <v>2</v>
      </c>
      <c r="I461">
        <v>2859.5</v>
      </c>
      <c r="J461">
        <v>5719</v>
      </c>
      <c r="K461" t="s">
        <v>45</v>
      </c>
      <c r="L461">
        <v>20211125</v>
      </c>
      <c r="M461" t="s">
        <v>73</v>
      </c>
    </row>
    <row r="462" spans="1:13">
      <c r="A462">
        <v>461</v>
      </c>
      <c r="B462" t="s">
        <v>12</v>
      </c>
      <c r="C462" t="s">
        <v>410</v>
      </c>
      <c r="D462" t="s">
        <v>81</v>
      </c>
      <c r="E462" t="s">
        <v>72</v>
      </c>
      <c r="F462" t="s">
        <v>82</v>
      </c>
      <c r="G462" s="27" t="s">
        <v>891</v>
      </c>
      <c r="H462" s="30">
        <v>39</v>
      </c>
      <c r="I462">
        <v>781.93</v>
      </c>
      <c r="J462">
        <v>30495.269999999997</v>
      </c>
      <c r="K462" t="s">
        <v>45</v>
      </c>
      <c r="L462">
        <v>20211125</v>
      </c>
      <c r="M462" t="s">
        <v>73</v>
      </c>
    </row>
    <row r="463" spans="1:13">
      <c r="A463">
        <v>462</v>
      </c>
      <c r="B463" t="s">
        <v>650</v>
      </c>
      <c r="C463" t="s">
        <v>655</v>
      </c>
      <c r="D463" t="s">
        <v>655</v>
      </c>
      <c r="E463" t="s">
        <v>72</v>
      </c>
      <c r="F463" t="s">
        <v>656</v>
      </c>
      <c r="G463" s="27" t="s">
        <v>891</v>
      </c>
      <c r="H463" s="30">
        <v>1</v>
      </c>
      <c r="I463">
        <v>7258.4</v>
      </c>
      <c r="J463">
        <v>7258.4</v>
      </c>
      <c r="K463" t="s">
        <v>45</v>
      </c>
      <c r="L463">
        <v>20211125</v>
      </c>
      <c r="M463" t="s">
        <v>73</v>
      </c>
    </row>
    <row r="464" spans="1:13">
      <c r="A464">
        <v>463</v>
      </c>
      <c r="B464" t="s">
        <v>230</v>
      </c>
      <c r="C464" t="s">
        <v>117</v>
      </c>
      <c r="D464" t="s">
        <v>117</v>
      </c>
      <c r="E464" t="s">
        <v>72</v>
      </c>
      <c r="F464" t="s">
        <v>118</v>
      </c>
      <c r="G464" s="27" t="s">
        <v>891</v>
      </c>
      <c r="H464" s="30">
        <v>11</v>
      </c>
      <c r="I464">
        <v>277.31</v>
      </c>
      <c r="J464">
        <v>3050.41</v>
      </c>
      <c r="K464" t="s">
        <v>45</v>
      </c>
      <c r="L464">
        <v>20211125</v>
      </c>
      <c r="M464" t="s">
        <v>73</v>
      </c>
    </row>
    <row r="465" spans="1:13">
      <c r="A465">
        <v>464</v>
      </c>
      <c r="B465" t="s">
        <v>539</v>
      </c>
      <c r="C465" t="s">
        <v>540</v>
      </c>
      <c r="D465" t="s">
        <v>540</v>
      </c>
      <c r="E465" t="s">
        <v>72</v>
      </c>
      <c r="F465" t="s">
        <v>541</v>
      </c>
      <c r="G465" s="27" t="s">
        <v>892</v>
      </c>
      <c r="H465" s="30">
        <v>3</v>
      </c>
      <c r="I465">
        <v>1305</v>
      </c>
      <c r="J465">
        <v>3915</v>
      </c>
      <c r="K465" t="s">
        <v>45</v>
      </c>
      <c r="L465">
        <v>20211122</v>
      </c>
      <c r="M465" t="s">
        <v>73</v>
      </c>
    </row>
    <row r="466" spans="1:13">
      <c r="A466">
        <v>465</v>
      </c>
      <c r="B466" t="s">
        <v>783</v>
      </c>
      <c r="C466" t="s">
        <v>784</v>
      </c>
      <c r="D466" t="s">
        <v>784</v>
      </c>
      <c r="E466" t="s">
        <v>72</v>
      </c>
      <c r="F466" t="s">
        <v>785</v>
      </c>
      <c r="G466" s="27" t="s">
        <v>892</v>
      </c>
      <c r="H466" s="30">
        <v>25</v>
      </c>
      <c r="I466">
        <v>1038.55</v>
      </c>
      <c r="J466">
        <v>25963.75</v>
      </c>
      <c r="K466" t="s">
        <v>45</v>
      </c>
      <c r="L466">
        <v>20211122</v>
      </c>
      <c r="M466" t="s">
        <v>73</v>
      </c>
    </row>
    <row r="467" spans="1:13">
      <c r="A467">
        <v>466</v>
      </c>
      <c r="B467" t="s">
        <v>881</v>
      </c>
      <c r="C467" t="s">
        <v>880</v>
      </c>
      <c r="D467" t="s">
        <v>880</v>
      </c>
      <c r="E467" t="s">
        <v>72</v>
      </c>
      <c r="F467" t="s">
        <v>882</v>
      </c>
      <c r="G467" s="27" t="s">
        <v>892</v>
      </c>
      <c r="H467" s="30">
        <v>4</v>
      </c>
      <c r="I467">
        <v>1300.1500000000001</v>
      </c>
      <c r="J467">
        <v>5200.6000000000004</v>
      </c>
      <c r="K467" t="s">
        <v>45</v>
      </c>
      <c r="L467">
        <v>20211122</v>
      </c>
      <c r="M467" t="s">
        <v>73</v>
      </c>
    </row>
    <row r="468" spans="1:13">
      <c r="A468">
        <v>467</v>
      </c>
      <c r="B468" t="s">
        <v>740</v>
      </c>
      <c r="C468" t="s">
        <v>740</v>
      </c>
      <c r="D468" t="s">
        <v>740</v>
      </c>
      <c r="E468" t="s">
        <v>72</v>
      </c>
      <c r="F468" t="s">
        <v>741</v>
      </c>
      <c r="G468" s="27" t="s">
        <v>892</v>
      </c>
      <c r="H468" s="30">
        <v>15</v>
      </c>
      <c r="I468">
        <v>279.2</v>
      </c>
      <c r="J468">
        <v>4188</v>
      </c>
      <c r="K468" t="s">
        <v>45</v>
      </c>
      <c r="L468">
        <v>20211122</v>
      </c>
      <c r="M468" t="s">
        <v>73</v>
      </c>
    </row>
    <row r="469" spans="1:13">
      <c r="A469">
        <v>468</v>
      </c>
      <c r="B469" t="s">
        <v>649</v>
      </c>
      <c r="C469" t="s">
        <v>648</v>
      </c>
      <c r="D469" t="s">
        <v>648</v>
      </c>
      <c r="E469" t="s">
        <v>72</v>
      </c>
      <c r="F469" t="s">
        <v>652</v>
      </c>
      <c r="G469" s="27" t="s">
        <v>883</v>
      </c>
      <c r="H469" s="30">
        <v>25</v>
      </c>
      <c r="I469">
        <v>183.15</v>
      </c>
      <c r="J469">
        <v>4578.75</v>
      </c>
      <c r="K469" t="s">
        <v>45</v>
      </c>
      <c r="L469">
        <v>20211118</v>
      </c>
      <c r="M469" t="s">
        <v>73</v>
      </c>
    </row>
    <row r="470" spans="1:13">
      <c r="A470">
        <v>469</v>
      </c>
      <c r="B470" t="s">
        <v>671</v>
      </c>
      <c r="C470" t="s">
        <v>672</v>
      </c>
      <c r="D470" t="s">
        <v>672</v>
      </c>
      <c r="E470" t="s">
        <v>72</v>
      </c>
      <c r="F470" t="s">
        <v>673</v>
      </c>
      <c r="G470" s="27" t="s">
        <v>883</v>
      </c>
      <c r="H470" s="30">
        <v>1</v>
      </c>
      <c r="I470">
        <v>7498.25</v>
      </c>
      <c r="J470">
        <v>7498.25</v>
      </c>
      <c r="K470" t="s">
        <v>45</v>
      </c>
      <c r="L470">
        <v>20211118</v>
      </c>
      <c r="M470" t="s">
        <v>73</v>
      </c>
    </row>
    <row r="471" spans="1:13">
      <c r="A471">
        <v>470</v>
      </c>
      <c r="B471" t="s">
        <v>727</v>
      </c>
      <c r="C471" t="s">
        <v>728</v>
      </c>
      <c r="D471" t="s">
        <v>728</v>
      </c>
      <c r="E471" t="s">
        <v>72</v>
      </c>
      <c r="F471" t="s">
        <v>729</v>
      </c>
      <c r="G471" s="27" t="s">
        <v>883</v>
      </c>
      <c r="H471" s="30">
        <v>8</v>
      </c>
      <c r="I471">
        <v>1803.76</v>
      </c>
      <c r="J471">
        <v>14430.08</v>
      </c>
      <c r="K471" t="s">
        <v>45</v>
      </c>
      <c r="L471">
        <v>20211118</v>
      </c>
      <c r="M471" t="s">
        <v>73</v>
      </c>
    </row>
    <row r="472" spans="1:13">
      <c r="A472">
        <v>471</v>
      </c>
      <c r="B472" t="s">
        <v>651</v>
      </c>
      <c r="C472" t="s">
        <v>653</v>
      </c>
      <c r="D472" t="s">
        <v>653</v>
      </c>
      <c r="E472" t="s">
        <v>72</v>
      </c>
      <c r="F472" t="s">
        <v>654</v>
      </c>
      <c r="G472" s="27" t="s">
        <v>883</v>
      </c>
      <c r="H472" s="30">
        <v>8</v>
      </c>
      <c r="I472">
        <v>734.33</v>
      </c>
      <c r="J472">
        <v>5874.64</v>
      </c>
      <c r="K472" t="s">
        <v>45</v>
      </c>
      <c r="L472">
        <v>20211118</v>
      </c>
      <c r="M472" t="s">
        <v>73</v>
      </c>
    </row>
    <row r="473" spans="1:13">
      <c r="A473">
        <v>472</v>
      </c>
      <c r="B473" t="s">
        <v>668</v>
      </c>
      <c r="C473" t="s">
        <v>669</v>
      </c>
      <c r="D473" t="s">
        <v>669</v>
      </c>
      <c r="E473" t="s">
        <v>72</v>
      </c>
      <c r="F473" t="s">
        <v>670</v>
      </c>
      <c r="G473" s="27" t="s">
        <v>883</v>
      </c>
      <c r="H473" s="30">
        <v>3</v>
      </c>
      <c r="I473">
        <v>4703.58</v>
      </c>
      <c r="J473">
        <v>14110.74</v>
      </c>
      <c r="K473" t="s">
        <v>45</v>
      </c>
      <c r="L473">
        <v>20211118</v>
      </c>
      <c r="M473" t="s">
        <v>73</v>
      </c>
    </row>
    <row r="474" spans="1:13">
      <c r="A474">
        <v>473</v>
      </c>
      <c r="B474" t="s">
        <v>527</v>
      </c>
      <c r="C474" t="s">
        <v>528</v>
      </c>
      <c r="D474" t="s">
        <v>528</v>
      </c>
      <c r="E474" t="s">
        <v>72</v>
      </c>
      <c r="F474" t="s">
        <v>529</v>
      </c>
      <c r="G474" s="27" t="s">
        <v>883</v>
      </c>
      <c r="H474" s="30">
        <v>20</v>
      </c>
      <c r="I474">
        <v>658.82</v>
      </c>
      <c r="J474">
        <v>13176.400000000001</v>
      </c>
      <c r="K474" t="s">
        <v>45</v>
      </c>
      <c r="L474">
        <v>20211118</v>
      </c>
      <c r="M474" t="s">
        <v>73</v>
      </c>
    </row>
    <row r="475" spans="1:13">
      <c r="A475">
        <v>474</v>
      </c>
      <c r="B475" t="s">
        <v>881</v>
      </c>
      <c r="C475" t="s">
        <v>880</v>
      </c>
      <c r="D475" t="s">
        <v>880</v>
      </c>
      <c r="E475" t="s">
        <v>72</v>
      </c>
      <c r="F475" t="s">
        <v>882</v>
      </c>
      <c r="G475" s="27" t="s">
        <v>883</v>
      </c>
      <c r="H475" s="30">
        <v>10</v>
      </c>
      <c r="I475">
        <v>1342.3</v>
      </c>
      <c r="J475">
        <v>13423</v>
      </c>
      <c r="K475" t="s">
        <v>45</v>
      </c>
      <c r="L475">
        <v>20211118</v>
      </c>
      <c r="M475" t="s">
        <v>73</v>
      </c>
    </row>
    <row r="476" spans="1:13">
      <c r="A476">
        <v>475</v>
      </c>
      <c r="B476" t="s">
        <v>18</v>
      </c>
      <c r="C476">
        <v>532281</v>
      </c>
      <c r="D476" t="s">
        <v>88</v>
      </c>
      <c r="E476" t="s">
        <v>72</v>
      </c>
      <c r="F476" t="s">
        <v>89</v>
      </c>
      <c r="G476" s="27" t="s">
        <v>883</v>
      </c>
      <c r="H476" s="30">
        <v>4</v>
      </c>
      <c r="I476">
        <v>1120.3499999999999</v>
      </c>
      <c r="J476">
        <v>4481.3999999999996</v>
      </c>
      <c r="K476" t="s">
        <v>45</v>
      </c>
      <c r="L476">
        <v>20211118</v>
      </c>
      <c r="M476" t="s">
        <v>73</v>
      </c>
    </row>
    <row r="477" spans="1:13">
      <c r="A477">
        <v>476</v>
      </c>
      <c r="B477" t="s">
        <v>230</v>
      </c>
      <c r="C477" t="s">
        <v>117</v>
      </c>
      <c r="D477" t="s">
        <v>117</v>
      </c>
      <c r="E477" t="s">
        <v>72</v>
      </c>
      <c r="F477" t="s">
        <v>118</v>
      </c>
      <c r="G477" s="27" t="s">
        <v>883</v>
      </c>
      <c r="H477" s="30">
        <v>11</v>
      </c>
      <c r="I477">
        <v>284.11</v>
      </c>
      <c r="J477">
        <v>3125.21</v>
      </c>
      <c r="K477" t="s">
        <v>45</v>
      </c>
      <c r="L477">
        <v>20211118</v>
      </c>
      <c r="M477" t="s">
        <v>73</v>
      </c>
    </row>
    <row r="478" spans="1:13">
      <c r="A478">
        <v>477</v>
      </c>
      <c r="B478" t="s">
        <v>881</v>
      </c>
      <c r="C478" t="s">
        <v>880</v>
      </c>
      <c r="D478" t="s">
        <v>880</v>
      </c>
      <c r="E478" t="s">
        <v>72</v>
      </c>
      <c r="F478" t="s">
        <v>882</v>
      </c>
      <c r="G478" s="27" t="s">
        <v>884</v>
      </c>
      <c r="H478" s="30">
        <v>10</v>
      </c>
      <c r="I478">
        <v>1404.05</v>
      </c>
      <c r="J478">
        <v>14040.5</v>
      </c>
      <c r="K478" t="s">
        <v>45</v>
      </c>
      <c r="L478">
        <v>20211117</v>
      </c>
      <c r="M478" t="s">
        <v>73</v>
      </c>
    </row>
    <row r="479" spans="1:13">
      <c r="A479">
        <v>478</v>
      </c>
      <c r="B479" t="s">
        <v>649</v>
      </c>
      <c r="C479" t="s">
        <v>648</v>
      </c>
      <c r="D479" t="s">
        <v>648</v>
      </c>
      <c r="E479" t="s">
        <v>72</v>
      </c>
      <c r="F479" t="s">
        <v>652</v>
      </c>
      <c r="G479" s="27" t="s">
        <v>884</v>
      </c>
      <c r="H479" s="30">
        <v>50</v>
      </c>
      <c r="I479">
        <v>189</v>
      </c>
      <c r="J479">
        <v>9450</v>
      </c>
      <c r="K479" t="s">
        <v>45</v>
      </c>
      <c r="L479">
        <v>20211117</v>
      </c>
      <c r="M479" t="s">
        <v>73</v>
      </c>
    </row>
    <row r="480" spans="1:13">
      <c r="A480">
        <v>479</v>
      </c>
      <c r="B480" t="s">
        <v>740</v>
      </c>
      <c r="C480" t="s">
        <v>740</v>
      </c>
      <c r="D480" t="s">
        <v>740</v>
      </c>
      <c r="E480" t="s">
        <v>72</v>
      </c>
      <c r="F480" t="s">
        <v>741</v>
      </c>
      <c r="G480" s="27" t="s">
        <v>885</v>
      </c>
      <c r="H480" s="30">
        <v>11</v>
      </c>
      <c r="I480">
        <v>296.86</v>
      </c>
      <c r="J480">
        <v>3265.46</v>
      </c>
      <c r="K480" t="s">
        <v>45</v>
      </c>
      <c r="L480">
        <v>20211116</v>
      </c>
      <c r="M480" t="s">
        <v>73</v>
      </c>
    </row>
    <row r="481" spans="1:13">
      <c r="A481">
        <v>480</v>
      </c>
      <c r="B481" t="s">
        <v>689</v>
      </c>
      <c r="C481" t="s">
        <v>690</v>
      </c>
      <c r="D481" t="s">
        <v>690</v>
      </c>
      <c r="E481" t="s">
        <v>72</v>
      </c>
      <c r="F481" t="s">
        <v>691</v>
      </c>
      <c r="G481" s="27" t="s">
        <v>885</v>
      </c>
      <c r="H481" s="30">
        <v>2</v>
      </c>
      <c r="I481">
        <v>2900.7</v>
      </c>
      <c r="J481">
        <v>5801.4</v>
      </c>
      <c r="K481" t="s">
        <v>45</v>
      </c>
      <c r="L481">
        <v>20211116</v>
      </c>
      <c r="M481" t="s">
        <v>73</v>
      </c>
    </row>
    <row r="482" spans="1:13">
      <c r="A482">
        <v>481</v>
      </c>
      <c r="B482" t="s">
        <v>566</v>
      </c>
      <c r="C482" t="s">
        <v>567</v>
      </c>
      <c r="D482" t="s">
        <v>567</v>
      </c>
      <c r="E482" t="s">
        <v>72</v>
      </c>
      <c r="F482" t="s">
        <v>585</v>
      </c>
      <c r="G482" s="27" t="s">
        <v>886</v>
      </c>
      <c r="H482" s="30">
        <v>6</v>
      </c>
      <c r="I482">
        <v>559.45000000000005</v>
      </c>
      <c r="J482">
        <v>3356.7000000000003</v>
      </c>
      <c r="K482" t="s">
        <v>45</v>
      </c>
      <c r="L482">
        <v>20211115</v>
      </c>
      <c r="M482" t="s">
        <v>73</v>
      </c>
    </row>
    <row r="483" spans="1:13">
      <c r="A483">
        <v>482</v>
      </c>
      <c r="B483" t="s">
        <v>881</v>
      </c>
      <c r="C483" t="s">
        <v>880</v>
      </c>
      <c r="D483" t="s">
        <v>880</v>
      </c>
      <c r="E483" t="s">
        <v>72</v>
      </c>
      <c r="F483" t="s">
        <v>882</v>
      </c>
      <c r="G483" s="27" t="s">
        <v>886</v>
      </c>
      <c r="H483" s="30">
        <v>65</v>
      </c>
      <c r="I483">
        <v>1050</v>
      </c>
      <c r="J483">
        <v>68250</v>
      </c>
      <c r="K483" t="s">
        <v>45</v>
      </c>
      <c r="L483">
        <v>20211115</v>
      </c>
      <c r="M483" t="s">
        <v>73</v>
      </c>
    </row>
    <row r="484" spans="1:13">
      <c r="A484">
        <v>483</v>
      </c>
      <c r="B484" t="s">
        <v>13</v>
      </c>
      <c r="C484" t="s">
        <v>83</v>
      </c>
      <c r="D484" t="s">
        <v>246</v>
      </c>
      <c r="E484" t="s">
        <v>76</v>
      </c>
      <c r="F484" t="s">
        <v>84</v>
      </c>
      <c r="G484" s="27" t="s">
        <v>886</v>
      </c>
      <c r="H484" s="30">
        <v>5</v>
      </c>
      <c r="I484">
        <v>1311.25</v>
      </c>
      <c r="J484">
        <v>6556.25</v>
      </c>
      <c r="K484" t="s">
        <v>45</v>
      </c>
      <c r="L484">
        <v>20211115</v>
      </c>
      <c r="M484" t="s">
        <v>73</v>
      </c>
    </row>
    <row r="485" spans="1:13">
      <c r="A485">
        <v>484</v>
      </c>
      <c r="B485" t="s">
        <v>677</v>
      </c>
      <c r="C485" t="s">
        <v>678</v>
      </c>
      <c r="D485" t="s">
        <v>678</v>
      </c>
      <c r="E485" t="s">
        <v>72</v>
      </c>
      <c r="F485" t="s">
        <v>679</v>
      </c>
      <c r="G485" s="27" t="s">
        <v>886</v>
      </c>
      <c r="H485" s="30">
        <v>40</v>
      </c>
      <c r="I485">
        <v>499.63</v>
      </c>
      <c r="J485">
        <v>19985.2</v>
      </c>
      <c r="K485" t="s">
        <v>45</v>
      </c>
      <c r="L485">
        <v>20211115</v>
      </c>
      <c r="M485" t="s">
        <v>73</v>
      </c>
    </row>
    <row r="486" spans="1:13">
      <c r="A486">
        <v>485</v>
      </c>
      <c r="B486" t="s">
        <v>26</v>
      </c>
      <c r="C486" t="s">
        <v>102</v>
      </c>
      <c r="D486" t="s">
        <v>102</v>
      </c>
      <c r="E486" t="s">
        <v>72</v>
      </c>
      <c r="F486" t="s">
        <v>103</v>
      </c>
      <c r="G486" s="27" t="s">
        <v>886</v>
      </c>
      <c r="H486" s="30">
        <v>100</v>
      </c>
      <c r="I486">
        <v>196.96</v>
      </c>
      <c r="J486">
        <v>19696</v>
      </c>
      <c r="K486" t="s">
        <v>45</v>
      </c>
      <c r="L486">
        <v>20211115</v>
      </c>
      <c r="M486" t="s">
        <v>73</v>
      </c>
    </row>
    <row r="487" spans="1:13">
      <c r="A487">
        <v>486</v>
      </c>
      <c r="B487" t="s">
        <v>527</v>
      </c>
      <c r="C487" t="s">
        <v>528</v>
      </c>
      <c r="D487" t="s">
        <v>528</v>
      </c>
      <c r="E487" t="s">
        <v>72</v>
      </c>
      <c r="F487" t="s">
        <v>529</v>
      </c>
      <c r="G487" s="27" t="s">
        <v>886</v>
      </c>
      <c r="H487" s="30">
        <v>6</v>
      </c>
      <c r="I487">
        <v>686.45</v>
      </c>
      <c r="J487">
        <v>4118.7000000000007</v>
      </c>
      <c r="K487" t="s">
        <v>45</v>
      </c>
      <c r="L487">
        <v>20211115</v>
      </c>
      <c r="M487" t="s">
        <v>73</v>
      </c>
    </row>
    <row r="488" spans="1:13">
      <c r="A488">
        <v>487</v>
      </c>
      <c r="B488" t="s">
        <v>740</v>
      </c>
      <c r="C488" t="s">
        <v>740</v>
      </c>
      <c r="D488" t="s">
        <v>740</v>
      </c>
      <c r="E488" t="s">
        <v>72</v>
      </c>
      <c r="F488" t="s">
        <v>741</v>
      </c>
      <c r="G488" s="27" t="s">
        <v>874</v>
      </c>
      <c r="H488" s="30">
        <v>80</v>
      </c>
      <c r="I488">
        <v>308.54000000000002</v>
      </c>
      <c r="J488">
        <v>24683.200000000001</v>
      </c>
      <c r="K488" t="s">
        <v>45</v>
      </c>
      <c r="L488">
        <v>20211112</v>
      </c>
      <c r="M488" t="s">
        <v>73</v>
      </c>
    </row>
    <row r="489" spans="1:13">
      <c r="A489">
        <v>488</v>
      </c>
      <c r="B489" t="s">
        <v>668</v>
      </c>
      <c r="C489" t="s">
        <v>669</v>
      </c>
      <c r="D489" t="s">
        <v>669</v>
      </c>
      <c r="E489" t="s">
        <v>72</v>
      </c>
      <c r="F489" t="s">
        <v>670</v>
      </c>
      <c r="G489" s="27" t="s">
        <v>875</v>
      </c>
      <c r="H489" s="30">
        <v>1</v>
      </c>
      <c r="I489">
        <v>4866.05</v>
      </c>
      <c r="J489">
        <v>4866.05</v>
      </c>
      <c r="K489" t="s">
        <v>45</v>
      </c>
      <c r="L489">
        <v>20211111</v>
      </c>
      <c r="M489" t="s">
        <v>73</v>
      </c>
    </row>
    <row r="490" spans="1:13">
      <c r="A490">
        <v>489</v>
      </c>
      <c r="B490" t="s">
        <v>649</v>
      </c>
      <c r="C490" t="s">
        <v>648</v>
      </c>
      <c r="D490" t="s">
        <v>648</v>
      </c>
      <c r="E490" t="s">
        <v>72</v>
      </c>
      <c r="F490" t="s">
        <v>652</v>
      </c>
      <c r="G490" s="27" t="s">
        <v>876</v>
      </c>
      <c r="H490" s="30">
        <v>70</v>
      </c>
      <c r="I490">
        <v>183.5</v>
      </c>
      <c r="J490">
        <v>12845</v>
      </c>
      <c r="K490" t="s">
        <v>45</v>
      </c>
      <c r="L490">
        <v>20211110</v>
      </c>
      <c r="M490" t="s">
        <v>73</v>
      </c>
    </row>
    <row r="491" spans="1:13">
      <c r="A491">
        <v>490</v>
      </c>
      <c r="B491" t="s">
        <v>441</v>
      </c>
      <c r="C491" t="s">
        <v>445</v>
      </c>
      <c r="D491" t="s">
        <v>445</v>
      </c>
      <c r="E491" t="s">
        <v>72</v>
      </c>
      <c r="F491" t="s">
        <v>584</v>
      </c>
      <c r="G491" s="27" t="s">
        <v>877</v>
      </c>
      <c r="H491" s="30">
        <v>7</v>
      </c>
      <c r="I491">
        <v>1582.14</v>
      </c>
      <c r="J491">
        <v>11074.980000000001</v>
      </c>
      <c r="K491" t="s">
        <v>45</v>
      </c>
      <c r="L491">
        <v>20211109</v>
      </c>
      <c r="M491" t="s">
        <v>73</v>
      </c>
    </row>
    <row r="492" spans="1:13">
      <c r="A492">
        <v>491</v>
      </c>
      <c r="B492" t="s">
        <v>668</v>
      </c>
      <c r="C492" t="s">
        <v>669</v>
      </c>
      <c r="D492" t="s">
        <v>669</v>
      </c>
      <c r="E492" t="s">
        <v>72</v>
      </c>
      <c r="F492" t="s">
        <v>670</v>
      </c>
      <c r="G492" s="27" t="s">
        <v>878</v>
      </c>
      <c r="H492" s="30">
        <v>1</v>
      </c>
      <c r="I492">
        <v>4915</v>
      </c>
      <c r="J492">
        <v>4915</v>
      </c>
      <c r="K492" t="s">
        <v>45</v>
      </c>
      <c r="L492">
        <v>20211108</v>
      </c>
      <c r="M492" t="s">
        <v>73</v>
      </c>
    </row>
    <row r="493" spans="1:13">
      <c r="A493">
        <v>492</v>
      </c>
      <c r="B493" t="s">
        <v>649</v>
      </c>
      <c r="C493" t="s">
        <v>648</v>
      </c>
      <c r="D493" t="s">
        <v>648</v>
      </c>
      <c r="E493" t="s">
        <v>72</v>
      </c>
      <c r="F493" t="s">
        <v>652</v>
      </c>
      <c r="G493" s="27" t="s">
        <v>878</v>
      </c>
      <c r="H493" s="30">
        <v>55</v>
      </c>
      <c r="I493">
        <v>193.07</v>
      </c>
      <c r="J493">
        <v>10618.85</v>
      </c>
      <c r="K493" t="s">
        <v>45</v>
      </c>
      <c r="L493">
        <v>20211108</v>
      </c>
      <c r="M493" t="s">
        <v>73</v>
      </c>
    </row>
    <row r="494" spans="1:13">
      <c r="A494">
        <v>493</v>
      </c>
      <c r="B494" t="s">
        <v>566</v>
      </c>
      <c r="C494" t="s">
        <v>567</v>
      </c>
      <c r="D494" t="s">
        <v>567</v>
      </c>
      <c r="E494" t="s">
        <v>72</v>
      </c>
      <c r="F494" t="s">
        <v>585</v>
      </c>
      <c r="G494" s="27" t="s">
        <v>878</v>
      </c>
      <c r="H494" s="30">
        <v>6</v>
      </c>
      <c r="I494">
        <v>581.4</v>
      </c>
      <c r="J494">
        <v>3488.3999999999996</v>
      </c>
      <c r="K494" t="s">
        <v>45</v>
      </c>
      <c r="L494">
        <v>20211108</v>
      </c>
      <c r="M494" t="s">
        <v>73</v>
      </c>
    </row>
    <row r="495" spans="1:13">
      <c r="A495">
        <v>494</v>
      </c>
      <c r="B495" t="s">
        <v>783</v>
      </c>
      <c r="C495" t="s">
        <v>784</v>
      </c>
      <c r="D495" t="s">
        <v>784</v>
      </c>
      <c r="E495" t="s">
        <v>72</v>
      </c>
      <c r="F495" t="s">
        <v>785</v>
      </c>
      <c r="G495" s="27" t="s">
        <v>878</v>
      </c>
      <c r="H495" s="30">
        <v>8</v>
      </c>
      <c r="I495">
        <v>1156.58</v>
      </c>
      <c r="J495">
        <v>9252.64</v>
      </c>
      <c r="K495" t="s">
        <v>45</v>
      </c>
      <c r="L495">
        <v>20211108</v>
      </c>
      <c r="M495" t="s">
        <v>73</v>
      </c>
    </row>
    <row r="496" spans="1:13">
      <c r="A496">
        <v>495</v>
      </c>
      <c r="B496" t="s">
        <v>671</v>
      </c>
      <c r="C496" t="s">
        <v>672</v>
      </c>
      <c r="D496" t="s">
        <v>672</v>
      </c>
      <c r="E496" t="s">
        <v>72</v>
      </c>
      <c r="F496" t="s">
        <v>673</v>
      </c>
      <c r="G496" s="27" t="s">
        <v>871</v>
      </c>
      <c r="H496" s="30">
        <v>1</v>
      </c>
      <c r="I496">
        <v>7542</v>
      </c>
      <c r="J496">
        <v>7542</v>
      </c>
      <c r="K496" t="s">
        <v>45</v>
      </c>
      <c r="L496">
        <v>20211104</v>
      </c>
      <c r="M496" t="s">
        <v>73</v>
      </c>
    </row>
    <row r="497" spans="1:13">
      <c r="A497">
        <v>496</v>
      </c>
      <c r="B497" t="s">
        <v>651</v>
      </c>
      <c r="C497" t="s">
        <v>653</v>
      </c>
      <c r="D497" t="s">
        <v>653</v>
      </c>
      <c r="E497" t="s">
        <v>72</v>
      </c>
      <c r="F497" t="s">
        <v>654</v>
      </c>
      <c r="G497" s="27" t="s">
        <v>872</v>
      </c>
      <c r="H497" s="30">
        <v>7</v>
      </c>
      <c r="I497">
        <v>790.89</v>
      </c>
      <c r="J497">
        <v>5536.23</v>
      </c>
      <c r="K497" t="s">
        <v>45</v>
      </c>
      <c r="L497">
        <v>20211102</v>
      </c>
      <c r="M497" t="s">
        <v>73</v>
      </c>
    </row>
    <row r="498" spans="1:13">
      <c r="A498">
        <v>497</v>
      </c>
      <c r="B498" t="s">
        <v>812</v>
      </c>
      <c r="C498" t="s">
        <v>813</v>
      </c>
      <c r="D498" t="s">
        <v>815</v>
      </c>
      <c r="E498" t="s">
        <v>72</v>
      </c>
      <c r="F498" t="s">
        <v>814</v>
      </c>
      <c r="G498" s="27" t="s">
        <v>872</v>
      </c>
      <c r="H498" s="30">
        <v>3</v>
      </c>
      <c r="I498">
        <v>346.5</v>
      </c>
      <c r="J498">
        <v>1039.5</v>
      </c>
      <c r="K498" t="s">
        <v>45</v>
      </c>
      <c r="L498">
        <v>20211102</v>
      </c>
      <c r="M498" t="s">
        <v>73</v>
      </c>
    </row>
    <row r="499" spans="1:13">
      <c r="A499">
        <v>498</v>
      </c>
      <c r="B499" t="s">
        <v>533</v>
      </c>
      <c r="C499" t="s">
        <v>534</v>
      </c>
      <c r="D499" t="s">
        <v>534</v>
      </c>
      <c r="E499" t="s">
        <v>72</v>
      </c>
      <c r="F499" t="s">
        <v>535</v>
      </c>
      <c r="G499" s="27" t="s">
        <v>872</v>
      </c>
      <c r="H499" s="30">
        <v>3</v>
      </c>
      <c r="I499">
        <v>3399.35</v>
      </c>
      <c r="J499">
        <v>10198.049999999999</v>
      </c>
      <c r="K499" t="s">
        <v>45</v>
      </c>
      <c r="L499">
        <v>20211102</v>
      </c>
      <c r="M499" t="s">
        <v>73</v>
      </c>
    </row>
    <row r="500" spans="1:13">
      <c r="A500">
        <v>499</v>
      </c>
      <c r="B500" t="s">
        <v>783</v>
      </c>
      <c r="C500" t="s">
        <v>784</v>
      </c>
      <c r="D500" t="s">
        <v>784</v>
      </c>
      <c r="E500" t="s">
        <v>72</v>
      </c>
      <c r="F500" t="s">
        <v>785</v>
      </c>
      <c r="G500" s="27" t="s">
        <v>873</v>
      </c>
      <c r="H500" s="30">
        <v>12</v>
      </c>
      <c r="I500">
        <v>1169.4000000000001</v>
      </c>
      <c r="J500">
        <v>14032.800000000001</v>
      </c>
      <c r="K500" t="s">
        <v>45</v>
      </c>
      <c r="L500">
        <v>20211101</v>
      </c>
      <c r="M500" t="s">
        <v>73</v>
      </c>
    </row>
    <row r="501" spans="1:13">
      <c r="A501">
        <v>500</v>
      </c>
      <c r="B501" t="s">
        <v>746</v>
      </c>
      <c r="C501" t="s">
        <v>747</v>
      </c>
      <c r="D501" t="s">
        <v>747</v>
      </c>
      <c r="E501" t="s">
        <v>72</v>
      </c>
      <c r="F501" t="s">
        <v>748</v>
      </c>
      <c r="G501" s="27" t="s">
        <v>873</v>
      </c>
      <c r="H501" s="30">
        <v>21</v>
      </c>
      <c r="I501">
        <v>494.53</v>
      </c>
      <c r="J501">
        <v>10385.129999999999</v>
      </c>
      <c r="K501" t="s">
        <v>45</v>
      </c>
      <c r="L501">
        <v>20211101</v>
      </c>
      <c r="M501" t="s">
        <v>73</v>
      </c>
    </row>
    <row r="502" spans="1:13">
      <c r="A502">
        <v>501</v>
      </c>
      <c r="B502" t="s">
        <v>689</v>
      </c>
      <c r="C502" t="s">
        <v>690</v>
      </c>
      <c r="D502" t="s">
        <v>690</v>
      </c>
      <c r="E502" t="s">
        <v>72</v>
      </c>
      <c r="F502" t="s">
        <v>691</v>
      </c>
      <c r="G502" s="27" t="s">
        <v>873</v>
      </c>
      <c r="H502" s="30">
        <v>1</v>
      </c>
      <c r="I502">
        <v>3125.05</v>
      </c>
      <c r="J502">
        <v>3125.05</v>
      </c>
      <c r="K502" t="s">
        <v>45</v>
      </c>
      <c r="L502">
        <v>20211101</v>
      </c>
      <c r="M502" t="s">
        <v>73</v>
      </c>
    </row>
    <row r="503" spans="1:13">
      <c r="A503">
        <v>502</v>
      </c>
      <c r="B503" t="s">
        <v>194</v>
      </c>
      <c r="C503" t="s">
        <v>195</v>
      </c>
      <c r="D503" t="s">
        <v>195</v>
      </c>
      <c r="E503" t="s">
        <v>72</v>
      </c>
      <c r="F503" t="s">
        <v>196</v>
      </c>
      <c r="G503" s="27" t="s">
        <v>873</v>
      </c>
      <c r="H503" s="30">
        <v>10</v>
      </c>
      <c r="I503">
        <v>1744.46</v>
      </c>
      <c r="J503">
        <v>17444.599999999999</v>
      </c>
      <c r="K503" t="s">
        <v>45</v>
      </c>
      <c r="L503">
        <v>20211101</v>
      </c>
      <c r="M503" t="s">
        <v>73</v>
      </c>
    </row>
    <row r="504" spans="1:13">
      <c r="A504">
        <v>503</v>
      </c>
      <c r="B504" t="s">
        <v>651</v>
      </c>
      <c r="C504" t="s">
        <v>653</v>
      </c>
      <c r="D504" t="s">
        <v>653</v>
      </c>
      <c r="E504" t="s">
        <v>72</v>
      </c>
      <c r="F504" t="s">
        <v>654</v>
      </c>
      <c r="G504" s="27" t="s">
        <v>863</v>
      </c>
      <c r="H504" s="30">
        <v>5</v>
      </c>
      <c r="I504">
        <v>798.8</v>
      </c>
      <c r="J504">
        <v>3994</v>
      </c>
      <c r="K504" t="s">
        <v>45</v>
      </c>
      <c r="L504">
        <v>20211029</v>
      </c>
      <c r="M504" t="s">
        <v>73</v>
      </c>
    </row>
    <row r="505" spans="1:13">
      <c r="A505">
        <v>504</v>
      </c>
      <c r="B505" t="s">
        <v>746</v>
      </c>
      <c r="C505" t="s">
        <v>747</v>
      </c>
      <c r="D505" t="s">
        <v>747</v>
      </c>
      <c r="E505" t="s">
        <v>72</v>
      </c>
      <c r="F505" t="s">
        <v>748</v>
      </c>
      <c r="G505" s="27" t="s">
        <v>863</v>
      </c>
      <c r="H505" s="30">
        <v>30</v>
      </c>
      <c r="I505">
        <v>512.9</v>
      </c>
      <c r="J505">
        <v>15387</v>
      </c>
      <c r="K505" t="s">
        <v>45</v>
      </c>
      <c r="L505">
        <v>20211029</v>
      </c>
      <c r="M505" t="s">
        <v>73</v>
      </c>
    </row>
    <row r="506" spans="1:13">
      <c r="A506">
        <v>505</v>
      </c>
      <c r="B506" t="s">
        <v>12</v>
      </c>
      <c r="C506" t="s">
        <v>410</v>
      </c>
      <c r="D506" t="s">
        <v>81</v>
      </c>
      <c r="E506" t="s">
        <v>72</v>
      </c>
      <c r="F506" t="s">
        <v>82</v>
      </c>
      <c r="G506" s="27" t="s">
        <v>863</v>
      </c>
      <c r="H506" s="30">
        <v>14</v>
      </c>
      <c r="I506">
        <v>820.17</v>
      </c>
      <c r="J506">
        <v>11482.38</v>
      </c>
      <c r="K506" t="s">
        <v>45</v>
      </c>
      <c r="L506">
        <v>20211029</v>
      </c>
      <c r="M506" t="s">
        <v>73</v>
      </c>
    </row>
    <row r="507" spans="1:13">
      <c r="A507">
        <v>506</v>
      </c>
      <c r="B507" t="s">
        <v>539</v>
      </c>
      <c r="C507" t="s">
        <v>540</v>
      </c>
      <c r="D507" t="s">
        <v>540</v>
      </c>
      <c r="E507" t="s">
        <v>72</v>
      </c>
      <c r="F507" t="s">
        <v>541</v>
      </c>
      <c r="G507" s="27" t="s">
        <v>864</v>
      </c>
      <c r="H507" s="30">
        <v>3</v>
      </c>
      <c r="I507">
        <v>1308</v>
      </c>
      <c r="J507">
        <v>3924</v>
      </c>
      <c r="K507" t="s">
        <v>45</v>
      </c>
      <c r="L507">
        <v>20211028</v>
      </c>
      <c r="M507" t="s">
        <v>73</v>
      </c>
    </row>
    <row r="508" spans="1:13">
      <c r="A508">
        <v>507</v>
      </c>
      <c r="B508" t="s">
        <v>689</v>
      </c>
      <c r="C508" t="s">
        <v>690</v>
      </c>
      <c r="D508" t="s">
        <v>690</v>
      </c>
      <c r="E508" t="s">
        <v>72</v>
      </c>
      <c r="F508" t="s">
        <v>691</v>
      </c>
      <c r="G508" s="27" t="s">
        <v>864</v>
      </c>
      <c r="H508" s="30">
        <v>2</v>
      </c>
      <c r="I508">
        <v>3152.7</v>
      </c>
      <c r="J508">
        <v>6305.4</v>
      </c>
      <c r="K508" t="s">
        <v>45</v>
      </c>
      <c r="L508">
        <v>20211028</v>
      </c>
      <c r="M508" t="s">
        <v>73</v>
      </c>
    </row>
    <row r="509" spans="1:13">
      <c r="A509">
        <v>508</v>
      </c>
      <c r="B509" t="s">
        <v>19</v>
      </c>
      <c r="C509" t="s">
        <v>90</v>
      </c>
      <c r="D509" t="s">
        <v>90</v>
      </c>
      <c r="E509" t="s">
        <v>72</v>
      </c>
      <c r="F509" t="s">
        <v>91</v>
      </c>
      <c r="G509" s="27" t="s">
        <v>865</v>
      </c>
      <c r="H509" s="30">
        <v>7</v>
      </c>
      <c r="I509">
        <v>324</v>
      </c>
      <c r="J509">
        <v>2268</v>
      </c>
      <c r="K509" t="s">
        <v>45</v>
      </c>
      <c r="L509">
        <v>20211027</v>
      </c>
      <c r="M509" t="s">
        <v>73</v>
      </c>
    </row>
    <row r="510" spans="1:13">
      <c r="A510">
        <v>509</v>
      </c>
      <c r="B510" t="s">
        <v>441</v>
      </c>
      <c r="C510" t="s">
        <v>445</v>
      </c>
      <c r="D510" t="s">
        <v>445</v>
      </c>
      <c r="E510" t="s">
        <v>72</v>
      </c>
      <c r="F510" t="s">
        <v>584</v>
      </c>
      <c r="G510" s="27" t="s">
        <v>865</v>
      </c>
      <c r="H510" s="30">
        <v>2</v>
      </c>
      <c r="I510">
        <v>1652.8</v>
      </c>
      <c r="J510">
        <v>3305.6</v>
      </c>
      <c r="K510" t="s">
        <v>45</v>
      </c>
      <c r="L510">
        <v>20211027</v>
      </c>
      <c r="M510" t="s">
        <v>73</v>
      </c>
    </row>
    <row r="511" spans="1:13">
      <c r="A511">
        <v>510</v>
      </c>
      <c r="B511" t="s">
        <v>740</v>
      </c>
      <c r="C511" t="s">
        <v>740</v>
      </c>
      <c r="D511" t="s">
        <v>740</v>
      </c>
      <c r="E511" t="s">
        <v>72</v>
      </c>
      <c r="F511" t="s">
        <v>741</v>
      </c>
      <c r="G511" s="27" t="s">
        <v>865</v>
      </c>
      <c r="H511" s="30">
        <v>10</v>
      </c>
      <c r="I511">
        <v>324.8</v>
      </c>
      <c r="J511">
        <v>3248</v>
      </c>
      <c r="K511" t="s">
        <v>45</v>
      </c>
      <c r="L511">
        <v>20211027</v>
      </c>
      <c r="M511" t="s">
        <v>73</v>
      </c>
    </row>
    <row r="512" spans="1:13">
      <c r="A512">
        <v>511</v>
      </c>
      <c r="B512" t="s">
        <v>671</v>
      </c>
      <c r="C512" t="s">
        <v>672</v>
      </c>
      <c r="D512" t="s">
        <v>672</v>
      </c>
      <c r="E512" t="s">
        <v>72</v>
      </c>
      <c r="F512" t="s">
        <v>673</v>
      </c>
      <c r="G512" s="27" t="s">
        <v>865</v>
      </c>
      <c r="H512" s="30">
        <v>1</v>
      </c>
      <c r="I512">
        <v>7535</v>
      </c>
      <c r="J512">
        <v>7535</v>
      </c>
      <c r="K512" t="s">
        <v>45</v>
      </c>
      <c r="L512">
        <v>20211027</v>
      </c>
      <c r="M512" t="s">
        <v>73</v>
      </c>
    </row>
    <row r="513" spans="1:13">
      <c r="A513">
        <v>512</v>
      </c>
      <c r="B513" t="s">
        <v>194</v>
      </c>
      <c r="C513" t="s">
        <v>195</v>
      </c>
      <c r="D513" t="s">
        <v>195</v>
      </c>
      <c r="E513" t="s">
        <v>72</v>
      </c>
      <c r="F513" t="s">
        <v>196</v>
      </c>
      <c r="G513" s="27" t="s">
        <v>865</v>
      </c>
      <c r="H513" s="30">
        <v>10</v>
      </c>
      <c r="I513">
        <v>1782.9</v>
      </c>
      <c r="J513">
        <v>17829</v>
      </c>
      <c r="K513" t="s">
        <v>45</v>
      </c>
      <c r="L513">
        <v>20211027</v>
      </c>
      <c r="M513" t="s">
        <v>73</v>
      </c>
    </row>
    <row r="514" spans="1:13">
      <c r="A514">
        <v>513</v>
      </c>
      <c r="B514" t="s">
        <v>674</v>
      </c>
      <c r="C514" t="s">
        <v>675</v>
      </c>
      <c r="D514" t="s">
        <v>675</v>
      </c>
      <c r="E514" t="s">
        <v>72</v>
      </c>
      <c r="F514" t="s">
        <v>676</v>
      </c>
      <c r="G514" s="27" t="s">
        <v>866</v>
      </c>
      <c r="H514" s="30">
        <v>6</v>
      </c>
      <c r="I514">
        <v>692.6</v>
      </c>
      <c r="J514">
        <v>4155.6000000000004</v>
      </c>
      <c r="K514" t="s">
        <v>45</v>
      </c>
      <c r="L514">
        <v>20211026</v>
      </c>
      <c r="M514" t="s">
        <v>73</v>
      </c>
    </row>
    <row r="515" spans="1:13">
      <c r="A515">
        <v>514</v>
      </c>
      <c r="B515" t="s">
        <v>983</v>
      </c>
      <c r="C515" t="s">
        <v>984</v>
      </c>
      <c r="D515" t="s">
        <v>984</v>
      </c>
      <c r="E515" t="s">
        <v>72</v>
      </c>
      <c r="F515" t="s">
        <v>985</v>
      </c>
      <c r="G515" s="27" t="s">
        <v>866</v>
      </c>
      <c r="H515" s="30">
        <v>136</v>
      </c>
      <c r="I515">
        <v>36</v>
      </c>
      <c r="J515">
        <v>4896</v>
      </c>
      <c r="L515">
        <v>20211026</v>
      </c>
      <c r="M515" t="s">
        <v>73</v>
      </c>
    </row>
    <row r="516" spans="1:13">
      <c r="A516">
        <v>515</v>
      </c>
      <c r="B516" t="s">
        <v>650</v>
      </c>
      <c r="C516" t="s">
        <v>655</v>
      </c>
      <c r="D516" t="s">
        <v>655</v>
      </c>
      <c r="E516" t="s">
        <v>72</v>
      </c>
      <c r="F516" t="s">
        <v>656</v>
      </c>
      <c r="G516" s="27" t="s">
        <v>866</v>
      </c>
      <c r="H516" s="30">
        <v>1</v>
      </c>
      <c r="I516">
        <v>7273</v>
      </c>
      <c r="J516">
        <v>7273</v>
      </c>
      <c r="K516" t="s">
        <v>45</v>
      </c>
      <c r="L516">
        <v>20211026</v>
      </c>
      <c r="M516" t="s">
        <v>73</v>
      </c>
    </row>
    <row r="517" spans="1:13">
      <c r="A517">
        <v>516</v>
      </c>
      <c r="B517" t="s">
        <v>13</v>
      </c>
      <c r="C517" t="s">
        <v>83</v>
      </c>
      <c r="D517" t="s">
        <v>246</v>
      </c>
      <c r="E517" t="s">
        <v>76</v>
      </c>
      <c r="F517" t="s">
        <v>84</v>
      </c>
      <c r="G517" s="27" t="s">
        <v>862</v>
      </c>
      <c r="H517" s="30">
        <v>3</v>
      </c>
      <c r="I517">
        <v>1170</v>
      </c>
      <c r="J517">
        <v>3510</v>
      </c>
      <c r="K517" t="s">
        <v>45</v>
      </c>
      <c r="L517">
        <v>20211025</v>
      </c>
      <c r="M517" t="s">
        <v>73</v>
      </c>
    </row>
    <row r="518" spans="1:13">
      <c r="A518">
        <v>517</v>
      </c>
      <c r="B518" t="s">
        <v>668</v>
      </c>
      <c r="C518" t="s">
        <v>669</v>
      </c>
      <c r="D518" t="s">
        <v>669</v>
      </c>
      <c r="E518" t="s">
        <v>72</v>
      </c>
      <c r="F518" t="s">
        <v>670</v>
      </c>
      <c r="G518" s="27" t="s">
        <v>862</v>
      </c>
      <c r="H518" s="30">
        <v>1</v>
      </c>
      <c r="I518">
        <v>4990.1000000000004</v>
      </c>
      <c r="J518">
        <v>4990.1000000000004</v>
      </c>
      <c r="K518" t="s">
        <v>45</v>
      </c>
      <c r="L518">
        <v>20211025</v>
      </c>
      <c r="M518" t="s">
        <v>73</v>
      </c>
    </row>
    <row r="519" spans="1:13">
      <c r="A519">
        <v>518</v>
      </c>
      <c r="B519" t="s">
        <v>749</v>
      </c>
      <c r="C519" t="s">
        <v>742</v>
      </c>
      <c r="D519" t="s">
        <v>742</v>
      </c>
      <c r="E519" t="s">
        <v>72</v>
      </c>
      <c r="F519" t="s">
        <v>750</v>
      </c>
      <c r="G519" s="27" t="s">
        <v>862</v>
      </c>
      <c r="H519" s="30">
        <v>55</v>
      </c>
      <c r="I519">
        <v>99.3</v>
      </c>
      <c r="J519">
        <v>5461.5</v>
      </c>
      <c r="K519" t="s">
        <v>45</v>
      </c>
      <c r="L519">
        <v>20211025</v>
      </c>
      <c r="M519" t="s">
        <v>73</v>
      </c>
    </row>
    <row r="520" spans="1:13">
      <c r="A520">
        <v>519</v>
      </c>
      <c r="B520" t="s">
        <v>533</v>
      </c>
      <c r="C520" t="s">
        <v>534</v>
      </c>
      <c r="D520" t="s">
        <v>534</v>
      </c>
      <c r="E520" t="s">
        <v>72</v>
      </c>
      <c r="F520" t="s">
        <v>535</v>
      </c>
      <c r="G520" s="27" t="s">
        <v>862</v>
      </c>
      <c r="H520" s="30">
        <v>2</v>
      </c>
      <c r="I520">
        <v>3545.8</v>
      </c>
      <c r="J520">
        <v>7091.6</v>
      </c>
      <c r="K520" t="s">
        <v>45</v>
      </c>
      <c r="L520">
        <v>20211025</v>
      </c>
      <c r="M520" t="s">
        <v>73</v>
      </c>
    </row>
    <row r="521" spans="1:13">
      <c r="A521">
        <v>520</v>
      </c>
      <c r="B521" t="s">
        <v>650</v>
      </c>
      <c r="C521" t="s">
        <v>655</v>
      </c>
      <c r="D521" t="s">
        <v>655</v>
      </c>
      <c r="E521" t="s">
        <v>72</v>
      </c>
      <c r="F521" t="s">
        <v>656</v>
      </c>
      <c r="G521" s="27" t="s">
        <v>862</v>
      </c>
      <c r="H521" s="30">
        <v>1</v>
      </c>
      <c r="I521">
        <v>7465</v>
      </c>
      <c r="J521">
        <v>7465</v>
      </c>
      <c r="K521" t="s">
        <v>45</v>
      </c>
      <c r="L521">
        <v>20211025</v>
      </c>
      <c r="M521" t="s">
        <v>73</v>
      </c>
    </row>
    <row r="522" spans="1:13">
      <c r="A522">
        <v>521</v>
      </c>
      <c r="B522" t="s">
        <v>665</v>
      </c>
      <c r="C522" t="s">
        <v>666</v>
      </c>
      <c r="D522" t="s">
        <v>666</v>
      </c>
      <c r="E522" t="s">
        <v>72</v>
      </c>
      <c r="F522" t="s">
        <v>667</v>
      </c>
      <c r="G522" s="27" t="s">
        <v>862</v>
      </c>
      <c r="H522" s="30">
        <v>2</v>
      </c>
      <c r="I522">
        <v>3325.09</v>
      </c>
      <c r="J522">
        <v>6650.18</v>
      </c>
      <c r="K522" t="s">
        <v>45</v>
      </c>
      <c r="L522">
        <v>20211025</v>
      </c>
      <c r="M522" t="s">
        <v>73</v>
      </c>
    </row>
    <row r="523" spans="1:13">
      <c r="A523">
        <v>522</v>
      </c>
      <c r="B523" t="s">
        <v>539</v>
      </c>
      <c r="C523" t="s">
        <v>540</v>
      </c>
      <c r="D523" t="s">
        <v>540</v>
      </c>
      <c r="E523" t="s">
        <v>72</v>
      </c>
      <c r="F523" t="s">
        <v>541</v>
      </c>
      <c r="G523" s="27" t="s">
        <v>862</v>
      </c>
      <c r="H523" s="30">
        <v>3</v>
      </c>
      <c r="I523">
        <v>1325.35</v>
      </c>
      <c r="J523">
        <v>3976.0499999999997</v>
      </c>
      <c r="K523" t="s">
        <v>45</v>
      </c>
      <c r="L523">
        <v>20211025</v>
      </c>
      <c r="M523" t="s">
        <v>73</v>
      </c>
    </row>
    <row r="524" spans="1:13">
      <c r="A524">
        <v>523</v>
      </c>
      <c r="B524" t="s">
        <v>630</v>
      </c>
      <c r="C524" t="s">
        <v>631</v>
      </c>
      <c r="D524" t="s">
        <v>631</v>
      </c>
      <c r="E524" t="s">
        <v>72</v>
      </c>
      <c r="F524" t="s">
        <v>632</v>
      </c>
      <c r="G524" s="27" t="s">
        <v>862</v>
      </c>
      <c r="H524" s="30">
        <v>5</v>
      </c>
      <c r="I524">
        <v>3363.87</v>
      </c>
      <c r="J524">
        <v>16819.349999999999</v>
      </c>
      <c r="K524" t="s">
        <v>45</v>
      </c>
      <c r="L524">
        <v>20211025</v>
      </c>
      <c r="M524" t="s">
        <v>73</v>
      </c>
    </row>
    <row r="525" spans="1:13">
      <c r="A525">
        <v>524</v>
      </c>
      <c r="B525" t="s">
        <v>651</v>
      </c>
      <c r="C525" t="s">
        <v>653</v>
      </c>
      <c r="D525" t="s">
        <v>653</v>
      </c>
      <c r="E525" t="s">
        <v>72</v>
      </c>
      <c r="F525" t="s">
        <v>654</v>
      </c>
      <c r="G525" s="27" t="s">
        <v>855</v>
      </c>
      <c r="H525" s="30">
        <v>20</v>
      </c>
      <c r="I525">
        <v>831.7</v>
      </c>
      <c r="J525">
        <v>16634</v>
      </c>
      <c r="K525" t="s">
        <v>45</v>
      </c>
      <c r="L525">
        <v>20211022</v>
      </c>
      <c r="M525" t="s">
        <v>73</v>
      </c>
    </row>
    <row r="526" spans="1:13">
      <c r="A526">
        <v>525</v>
      </c>
      <c r="B526" t="s">
        <v>665</v>
      </c>
      <c r="C526" t="s">
        <v>666</v>
      </c>
      <c r="D526" t="s">
        <v>666</v>
      </c>
      <c r="E526" t="s">
        <v>72</v>
      </c>
      <c r="F526" t="s">
        <v>667</v>
      </c>
      <c r="G526" s="27" t="s">
        <v>855</v>
      </c>
      <c r="H526" s="30">
        <v>3</v>
      </c>
      <c r="I526">
        <v>3446.62</v>
      </c>
      <c r="J526">
        <v>10339.86</v>
      </c>
      <c r="K526" t="s">
        <v>45</v>
      </c>
      <c r="L526">
        <v>20211022</v>
      </c>
      <c r="M526" t="s">
        <v>73</v>
      </c>
    </row>
    <row r="527" spans="1:13">
      <c r="A527">
        <v>526</v>
      </c>
      <c r="B527" t="s">
        <v>650</v>
      </c>
      <c r="C527" t="s">
        <v>655</v>
      </c>
      <c r="D527" t="s">
        <v>655</v>
      </c>
      <c r="E527" t="s">
        <v>72</v>
      </c>
      <c r="F527" t="s">
        <v>656</v>
      </c>
      <c r="G527" s="27" t="s">
        <v>855</v>
      </c>
      <c r="H527" s="30">
        <v>2</v>
      </c>
      <c r="I527">
        <v>8086.8</v>
      </c>
      <c r="J527">
        <v>16173.6</v>
      </c>
      <c r="K527" t="s">
        <v>45</v>
      </c>
      <c r="L527">
        <v>20211022</v>
      </c>
      <c r="M527" t="s">
        <v>73</v>
      </c>
    </row>
    <row r="528" spans="1:13">
      <c r="A528">
        <v>527</v>
      </c>
      <c r="B528" t="s">
        <v>727</v>
      </c>
      <c r="C528" t="s">
        <v>728</v>
      </c>
      <c r="D528" t="s">
        <v>728</v>
      </c>
      <c r="E528" t="s">
        <v>72</v>
      </c>
      <c r="F528" t="s">
        <v>729</v>
      </c>
      <c r="G528" s="27" t="s">
        <v>855</v>
      </c>
      <c r="H528" s="30">
        <v>10</v>
      </c>
      <c r="I528">
        <v>1843.38</v>
      </c>
      <c r="J528">
        <v>18433.800000000003</v>
      </c>
      <c r="K528" t="s">
        <v>45</v>
      </c>
      <c r="L528">
        <v>20211022</v>
      </c>
      <c r="M528" t="s">
        <v>73</v>
      </c>
    </row>
    <row r="529" spans="1:13">
      <c r="A529">
        <v>528</v>
      </c>
      <c r="B529" t="s">
        <v>12</v>
      </c>
      <c r="C529" t="s">
        <v>410</v>
      </c>
      <c r="D529" t="s">
        <v>81</v>
      </c>
      <c r="E529" t="s">
        <v>72</v>
      </c>
      <c r="F529" t="s">
        <v>82</v>
      </c>
      <c r="G529" s="27" t="s">
        <v>855</v>
      </c>
      <c r="H529" s="30">
        <v>4</v>
      </c>
      <c r="I529">
        <v>863.75</v>
      </c>
      <c r="J529">
        <v>3455</v>
      </c>
      <c r="K529" t="s">
        <v>45</v>
      </c>
      <c r="L529">
        <v>20211022</v>
      </c>
      <c r="M529" t="s">
        <v>73</v>
      </c>
    </row>
    <row r="530" spans="1:13">
      <c r="A530">
        <v>529</v>
      </c>
      <c r="B530" t="s">
        <v>533</v>
      </c>
      <c r="C530" t="s">
        <v>534</v>
      </c>
      <c r="D530" t="s">
        <v>534</v>
      </c>
      <c r="E530" t="s">
        <v>72</v>
      </c>
      <c r="F530" t="s">
        <v>535</v>
      </c>
      <c r="G530" s="27" t="s">
        <v>855</v>
      </c>
      <c r="H530" s="30">
        <v>1</v>
      </c>
      <c r="I530">
        <v>3742</v>
      </c>
      <c r="J530">
        <v>3742</v>
      </c>
      <c r="K530" t="s">
        <v>45</v>
      </c>
      <c r="L530">
        <v>20211022</v>
      </c>
      <c r="M530" t="s">
        <v>73</v>
      </c>
    </row>
    <row r="531" spans="1:13">
      <c r="A531">
        <v>530</v>
      </c>
      <c r="B531" t="s">
        <v>746</v>
      </c>
      <c r="C531" t="s">
        <v>747</v>
      </c>
      <c r="D531" t="s">
        <v>747</v>
      </c>
      <c r="E531" t="s">
        <v>72</v>
      </c>
      <c r="F531" t="s">
        <v>748</v>
      </c>
      <c r="G531" s="27" t="s">
        <v>855</v>
      </c>
      <c r="H531" s="30">
        <v>45</v>
      </c>
      <c r="I531">
        <v>545.78</v>
      </c>
      <c r="J531">
        <v>24560.1</v>
      </c>
      <c r="K531" t="s">
        <v>45</v>
      </c>
      <c r="L531">
        <v>20211022</v>
      </c>
      <c r="M531" t="s">
        <v>73</v>
      </c>
    </row>
    <row r="532" spans="1:13">
      <c r="A532">
        <v>531</v>
      </c>
      <c r="B532" t="s">
        <v>18</v>
      </c>
      <c r="C532">
        <v>532281</v>
      </c>
      <c r="D532" t="s">
        <v>88</v>
      </c>
      <c r="E532" t="s">
        <v>72</v>
      </c>
      <c r="F532" t="s">
        <v>89</v>
      </c>
      <c r="G532" s="27" t="s">
        <v>855</v>
      </c>
      <c r="H532" s="30">
        <v>3</v>
      </c>
      <c r="I532">
        <v>1211.3499999999999</v>
      </c>
      <c r="J532">
        <v>3634.0499999999997</v>
      </c>
      <c r="K532" t="s">
        <v>45</v>
      </c>
      <c r="L532">
        <v>20211022</v>
      </c>
      <c r="M532" t="s">
        <v>73</v>
      </c>
    </row>
    <row r="533" spans="1:13">
      <c r="A533">
        <v>532</v>
      </c>
      <c r="B533" t="s">
        <v>527</v>
      </c>
      <c r="C533" t="s">
        <v>528</v>
      </c>
      <c r="D533" t="s">
        <v>528</v>
      </c>
      <c r="E533" t="s">
        <v>72</v>
      </c>
      <c r="F533" t="s">
        <v>529</v>
      </c>
      <c r="G533" s="27" t="s">
        <v>856</v>
      </c>
      <c r="H533" s="30">
        <v>20</v>
      </c>
      <c r="I533">
        <v>741.33</v>
      </c>
      <c r="J533">
        <v>14826.6</v>
      </c>
      <c r="K533" t="s">
        <v>45</v>
      </c>
      <c r="L533">
        <v>20211021</v>
      </c>
      <c r="M533" t="s">
        <v>73</v>
      </c>
    </row>
    <row r="534" spans="1:13">
      <c r="A534">
        <v>533</v>
      </c>
      <c r="B534" t="s">
        <v>651</v>
      </c>
      <c r="C534" t="s">
        <v>653</v>
      </c>
      <c r="D534" t="s">
        <v>653</v>
      </c>
      <c r="E534" t="s">
        <v>72</v>
      </c>
      <c r="F534" t="s">
        <v>654</v>
      </c>
      <c r="G534" s="27" t="s">
        <v>856</v>
      </c>
      <c r="H534" s="30">
        <v>5</v>
      </c>
      <c r="I534">
        <v>871.05</v>
      </c>
      <c r="J534">
        <v>4355.25</v>
      </c>
      <c r="K534" t="s">
        <v>45</v>
      </c>
      <c r="L534">
        <v>20211021</v>
      </c>
      <c r="M534" t="s">
        <v>73</v>
      </c>
    </row>
    <row r="535" spans="1:13">
      <c r="A535">
        <v>534</v>
      </c>
      <c r="B535" t="s">
        <v>512</v>
      </c>
      <c r="C535" t="s">
        <v>511</v>
      </c>
      <c r="D535" t="s">
        <v>511</v>
      </c>
      <c r="E535" t="s">
        <v>72</v>
      </c>
      <c r="F535" t="s">
        <v>513</v>
      </c>
      <c r="G535" s="27" t="s">
        <v>857</v>
      </c>
      <c r="H535" s="30">
        <v>3</v>
      </c>
      <c r="I535">
        <v>3005.63</v>
      </c>
      <c r="J535">
        <v>9016.89</v>
      </c>
      <c r="K535" t="s">
        <v>45</v>
      </c>
      <c r="L535">
        <v>20211021</v>
      </c>
      <c r="M535" t="s">
        <v>73</v>
      </c>
    </row>
    <row r="536" spans="1:13">
      <c r="A536">
        <v>535</v>
      </c>
      <c r="B536" t="s">
        <v>749</v>
      </c>
      <c r="C536" t="s">
        <v>742</v>
      </c>
      <c r="D536" t="s">
        <v>742</v>
      </c>
      <c r="E536" t="s">
        <v>72</v>
      </c>
      <c r="F536" t="s">
        <v>750</v>
      </c>
      <c r="G536" s="27" t="s">
        <v>857</v>
      </c>
      <c r="H536" s="30">
        <v>200</v>
      </c>
      <c r="I536">
        <v>112.38</v>
      </c>
      <c r="J536">
        <v>22476</v>
      </c>
      <c r="K536" t="s">
        <v>45</v>
      </c>
      <c r="L536">
        <v>20211021</v>
      </c>
      <c r="M536" t="s">
        <v>73</v>
      </c>
    </row>
    <row r="537" spans="1:13">
      <c r="A537">
        <v>536</v>
      </c>
      <c r="B537" t="s">
        <v>727</v>
      </c>
      <c r="C537" t="s">
        <v>728</v>
      </c>
      <c r="D537" t="s">
        <v>728</v>
      </c>
      <c r="E537" t="s">
        <v>72</v>
      </c>
      <c r="F537" t="s">
        <v>729</v>
      </c>
      <c r="G537" s="27" t="s">
        <v>857</v>
      </c>
      <c r="H537" s="30">
        <v>2</v>
      </c>
      <c r="I537">
        <v>1892.45</v>
      </c>
      <c r="J537">
        <v>3784.9</v>
      </c>
      <c r="K537" t="s">
        <v>45</v>
      </c>
      <c r="L537">
        <v>20211021</v>
      </c>
      <c r="M537" t="s">
        <v>73</v>
      </c>
    </row>
    <row r="538" spans="1:13">
      <c r="A538">
        <v>537</v>
      </c>
      <c r="B538" t="s">
        <v>746</v>
      </c>
      <c r="C538" t="s">
        <v>747</v>
      </c>
      <c r="D538" t="s">
        <v>747</v>
      </c>
      <c r="E538" t="s">
        <v>72</v>
      </c>
      <c r="F538" t="s">
        <v>748</v>
      </c>
      <c r="G538" s="27" t="s">
        <v>857</v>
      </c>
      <c r="H538" s="30">
        <v>11</v>
      </c>
      <c r="I538">
        <v>580.27</v>
      </c>
      <c r="J538">
        <v>6382.9699999999993</v>
      </c>
      <c r="K538" t="s">
        <v>45</v>
      </c>
      <c r="L538">
        <v>20211021</v>
      </c>
      <c r="M538" t="s">
        <v>73</v>
      </c>
    </row>
    <row r="539" spans="1:13">
      <c r="A539">
        <v>538</v>
      </c>
      <c r="B539" t="s">
        <v>740</v>
      </c>
      <c r="C539" t="s">
        <v>740</v>
      </c>
      <c r="D539" t="s">
        <v>740</v>
      </c>
      <c r="E539" t="s">
        <v>72</v>
      </c>
      <c r="F539" t="s">
        <v>741</v>
      </c>
      <c r="G539" s="27" t="s">
        <v>858</v>
      </c>
      <c r="H539" s="30">
        <v>50</v>
      </c>
      <c r="I539">
        <v>340.35</v>
      </c>
      <c r="J539">
        <v>17017.5</v>
      </c>
      <c r="K539" t="s">
        <v>45</v>
      </c>
      <c r="L539">
        <v>20211020</v>
      </c>
      <c r="M539" t="s">
        <v>73</v>
      </c>
    </row>
    <row r="540" spans="1:13">
      <c r="A540">
        <v>539</v>
      </c>
      <c r="B540" t="s">
        <v>12</v>
      </c>
      <c r="C540" t="s">
        <v>410</v>
      </c>
      <c r="D540" t="s">
        <v>81</v>
      </c>
      <c r="E540" t="s">
        <v>72</v>
      </c>
      <c r="F540" t="s">
        <v>82</v>
      </c>
      <c r="G540" s="27" t="s">
        <v>858</v>
      </c>
      <c r="H540" s="30">
        <v>4</v>
      </c>
      <c r="I540">
        <v>883.75</v>
      </c>
      <c r="J540">
        <v>3535</v>
      </c>
      <c r="K540" t="s">
        <v>45</v>
      </c>
      <c r="L540">
        <v>20211020</v>
      </c>
      <c r="M540" t="s">
        <v>73</v>
      </c>
    </row>
    <row r="541" spans="1:13">
      <c r="A541">
        <v>540</v>
      </c>
      <c r="B541" t="s">
        <v>645</v>
      </c>
      <c r="C541" t="s">
        <v>646</v>
      </c>
      <c r="D541" t="s">
        <v>646</v>
      </c>
      <c r="E541" t="s">
        <v>72</v>
      </c>
      <c r="F541" t="s">
        <v>647</v>
      </c>
      <c r="G541" s="27" t="s">
        <v>858</v>
      </c>
      <c r="H541" s="30">
        <v>9</v>
      </c>
      <c r="I541">
        <v>2485.3000000000002</v>
      </c>
      <c r="J541">
        <v>22367.7</v>
      </c>
      <c r="K541" t="s">
        <v>45</v>
      </c>
      <c r="L541">
        <v>20211020</v>
      </c>
      <c r="M541" t="s">
        <v>73</v>
      </c>
    </row>
    <row r="542" spans="1:13">
      <c r="A542">
        <v>541</v>
      </c>
      <c r="B542" t="s">
        <v>651</v>
      </c>
      <c r="C542" t="s">
        <v>653</v>
      </c>
      <c r="D542" t="s">
        <v>653</v>
      </c>
      <c r="E542" t="s">
        <v>72</v>
      </c>
      <c r="F542" t="s">
        <v>654</v>
      </c>
      <c r="G542" s="27" t="s">
        <v>858</v>
      </c>
      <c r="H542" s="30">
        <v>4</v>
      </c>
      <c r="I542">
        <v>898.75</v>
      </c>
      <c r="J542">
        <v>3595</v>
      </c>
      <c r="K542" t="s">
        <v>45</v>
      </c>
      <c r="L542">
        <v>20211020</v>
      </c>
      <c r="M542" t="s">
        <v>73</v>
      </c>
    </row>
    <row r="543" spans="1:13">
      <c r="A543">
        <v>542</v>
      </c>
      <c r="B543" t="s">
        <v>665</v>
      </c>
      <c r="C543" t="s">
        <v>666</v>
      </c>
      <c r="D543" t="s">
        <v>666</v>
      </c>
      <c r="E543" t="s">
        <v>72</v>
      </c>
      <c r="F543" t="s">
        <v>667</v>
      </c>
      <c r="G543" s="27" t="s">
        <v>858</v>
      </c>
      <c r="H543" s="30">
        <v>1</v>
      </c>
      <c r="I543">
        <v>3604.2</v>
      </c>
      <c r="J543">
        <v>3604.2</v>
      </c>
      <c r="K543" t="s">
        <v>45</v>
      </c>
      <c r="L543">
        <v>20211020</v>
      </c>
      <c r="M543" t="s">
        <v>73</v>
      </c>
    </row>
    <row r="544" spans="1:13">
      <c r="A544">
        <v>543</v>
      </c>
      <c r="B544" t="s">
        <v>812</v>
      </c>
      <c r="C544" t="s">
        <v>813</v>
      </c>
      <c r="D544" t="s">
        <v>815</v>
      </c>
      <c r="E544" t="s">
        <v>72</v>
      </c>
      <c r="F544" t="s">
        <v>814</v>
      </c>
      <c r="G544" s="27" t="s">
        <v>858</v>
      </c>
      <c r="H544" s="30">
        <v>10</v>
      </c>
      <c r="I544">
        <v>371.47</v>
      </c>
      <c r="J544">
        <v>3714.7000000000003</v>
      </c>
      <c r="K544" t="s">
        <v>45</v>
      </c>
      <c r="L544">
        <v>20211020</v>
      </c>
      <c r="M544" t="s">
        <v>73</v>
      </c>
    </row>
    <row r="545" spans="1:13">
      <c r="A545">
        <v>544</v>
      </c>
      <c r="B545" t="s">
        <v>512</v>
      </c>
      <c r="C545" t="s">
        <v>511</v>
      </c>
      <c r="D545" t="s">
        <v>511</v>
      </c>
      <c r="E545" t="s">
        <v>72</v>
      </c>
      <c r="F545" t="s">
        <v>513</v>
      </c>
      <c r="G545" s="27" t="s">
        <v>858</v>
      </c>
      <c r="H545" s="30">
        <v>1</v>
      </c>
      <c r="I545">
        <v>3177.7</v>
      </c>
      <c r="J545">
        <v>3177.7</v>
      </c>
      <c r="K545" t="s">
        <v>45</v>
      </c>
      <c r="L545">
        <v>20211020</v>
      </c>
      <c r="M545" t="s">
        <v>73</v>
      </c>
    </row>
    <row r="546" spans="1:13">
      <c r="A546">
        <v>545</v>
      </c>
      <c r="B546" t="s">
        <v>783</v>
      </c>
      <c r="C546" t="s">
        <v>784</v>
      </c>
      <c r="D546" t="s">
        <v>784</v>
      </c>
      <c r="E546" t="s">
        <v>72</v>
      </c>
      <c r="F546" t="s">
        <v>785</v>
      </c>
      <c r="G546" s="27" t="s">
        <v>858</v>
      </c>
      <c r="H546" s="30">
        <v>10</v>
      </c>
      <c r="I546">
        <v>1296.5</v>
      </c>
      <c r="J546">
        <v>12965</v>
      </c>
      <c r="K546" t="s">
        <v>45</v>
      </c>
      <c r="L546">
        <v>20211020</v>
      </c>
      <c r="M546" t="s">
        <v>73</v>
      </c>
    </row>
    <row r="547" spans="1:13">
      <c r="A547">
        <v>546</v>
      </c>
      <c r="B547" t="s">
        <v>746</v>
      </c>
      <c r="C547" t="s">
        <v>747</v>
      </c>
      <c r="D547" t="s">
        <v>747</v>
      </c>
      <c r="E547" t="s">
        <v>72</v>
      </c>
      <c r="F547" t="s">
        <v>748</v>
      </c>
      <c r="G547" s="27" t="s">
        <v>858</v>
      </c>
      <c r="H547" s="30">
        <v>25</v>
      </c>
      <c r="I547">
        <v>608.6</v>
      </c>
      <c r="J547">
        <v>15215</v>
      </c>
      <c r="K547" t="s">
        <v>45</v>
      </c>
      <c r="L547">
        <v>20211020</v>
      </c>
      <c r="M547" t="s">
        <v>73</v>
      </c>
    </row>
    <row r="548" spans="1:13">
      <c r="A548">
        <v>547</v>
      </c>
      <c r="B548" t="s">
        <v>689</v>
      </c>
      <c r="C548" t="s">
        <v>690</v>
      </c>
      <c r="D548" t="s">
        <v>690</v>
      </c>
      <c r="E548" t="s">
        <v>72</v>
      </c>
      <c r="F548" t="s">
        <v>691</v>
      </c>
      <c r="G548" s="27" t="s">
        <v>858</v>
      </c>
      <c r="H548" s="30">
        <v>1</v>
      </c>
      <c r="I548">
        <v>3338.15</v>
      </c>
      <c r="J548">
        <v>3338.15</v>
      </c>
      <c r="K548" t="s">
        <v>45</v>
      </c>
      <c r="L548">
        <v>20211020</v>
      </c>
      <c r="M548" t="s">
        <v>73</v>
      </c>
    </row>
    <row r="549" spans="1:13">
      <c r="A549">
        <v>548</v>
      </c>
      <c r="B549" t="s">
        <v>27</v>
      </c>
      <c r="C549">
        <v>500288</v>
      </c>
      <c r="D549" t="s">
        <v>104</v>
      </c>
      <c r="E549" t="s">
        <v>72</v>
      </c>
      <c r="F549" t="s">
        <v>105</v>
      </c>
      <c r="G549" s="27" t="s">
        <v>858</v>
      </c>
      <c r="H549" s="30">
        <v>40</v>
      </c>
      <c r="I549">
        <v>52.05</v>
      </c>
      <c r="J549">
        <v>2082</v>
      </c>
      <c r="K549" t="s">
        <v>45</v>
      </c>
      <c r="L549">
        <v>20211020</v>
      </c>
      <c r="M549" t="s">
        <v>73</v>
      </c>
    </row>
    <row r="550" spans="1:13">
      <c r="A550">
        <v>549</v>
      </c>
      <c r="B550" t="s">
        <v>650</v>
      </c>
      <c r="C550" t="s">
        <v>655</v>
      </c>
      <c r="D550" t="s">
        <v>655</v>
      </c>
      <c r="E550" t="s">
        <v>72</v>
      </c>
      <c r="F550" t="s">
        <v>656</v>
      </c>
      <c r="G550" s="27" t="s">
        <v>858</v>
      </c>
      <c r="H550" s="30">
        <v>4</v>
      </c>
      <c r="I550">
        <v>8465.26</v>
      </c>
      <c r="J550">
        <v>33861.040000000001</v>
      </c>
      <c r="K550" t="s">
        <v>45</v>
      </c>
      <c r="L550">
        <v>20211020</v>
      </c>
      <c r="M550" t="s">
        <v>73</v>
      </c>
    </row>
    <row r="551" spans="1:13">
      <c r="A551">
        <v>550</v>
      </c>
      <c r="B551" t="s">
        <v>527</v>
      </c>
      <c r="C551" t="s">
        <v>528</v>
      </c>
      <c r="D551" t="s">
        <v>528</v>
      </c>
      <c r="E551" t="s">
        <v>72</v>
      </c>
      <c r="F551" t="s">
        <v>529</v>
      </c>
      <c r="G551" s="27" t="s">
        <v>858</v>
      </c>
      <c r="H551" s="30">
        <v>10</v>
      </c>
      <c r="I551">
        <v>760.75</v>
      </c>
      <c r="J551">
        <v>7607.5</v>
      </c>
      <c r="K551" t="s">
        <v>45</v>
      </c>
      <c r="L551">
        <v>20211020</v>
      </c>
      <c r="M551" t="s">
        <v>73</v>
      </c>
    </row>
    <row r="552" spans="1:13">
      <c r="A552">
        <v>551</v>
      </c>
      <c r="B552" t="s">
        <v>650</v>
      </c>
      <c r="C552" t="s">
        <v>655</v>
      </c>
      <c r="D552" t="s">
        <v>655</v>
      </c>
      <c r="E552" t="s">
        <v>72</v>
      </c>
      <c r="F552" t="s">
        <v>656</v>
      </c>
      <c r="G552" s="27" t="s">
        <v>859</v>
      </c>
      <c r="H552" s="30">
        <v>1</v>
      </c>
      <c r="I552">
        <v>9065</v>
      </c>
      <c r="J552">
        <v>9065</v>
      </c>
      <c r="K552" t="s">
        <v>45</v>
      </c>
      <c r="L552">
        <v>20211019</v>
      </c>
      <c r="M552" t="s">
        <v>73</v>
      </c>
    </row>
    <row r="553" spans="1:13">
      <c r="A553">
        <v>552</v>
      </c>
      <c r="B553" t="s">
        <v>18</v>
      </c>
      <c r="C553">
        <v>532281</v>
      </c>
      <c r="D553" t="s">
        <v>88</v>
      </c>
      <c r="E553" t="s">
        <v>72</v>
      </c>
      <c r="F553" t="s">
        <v>89</v>
      </c>
      <c r="G553" s="27" t="s">
        <v>860</v>
      </c>
      <c r="H553" s="30">
        <v>6</v>
      </c>
      <c r="I553">
        <v>1234.7</v>
      </c>
      <c r="J553">
        <v>7408.2000000000007</v>
      </c>
      <c r="K553" t="s">
        <v>45</v>
      </c>
      <c r="L553">
        <v>20211018</v>
      </c>
      <c r="M553" t="s">
        <v>73</v>
      </c>
    </row>
    <row r="554" spans="1:13">
      <c r="A554">
        <v>553</v>
      </c>
      <c r="B554" t="s">
        <v>727</v>
      </c>
      <c r="C554" t="s">
        <v>728</v>
      </c>
      <c r="D554" t="s">
        <v>728</v>
      </c>
      <c r="E554" t="s">
        <v>72</v>
      </c>
      <c r="F554" t="s">
        <v>729</v>
      </c>
      <c r="G554" s="27" t="s">
        <v>860</v>
      </c>
      <c r="H554" s="30">
        <v>2</v>
      </c>
      <c r="I554">
        <v>1975.55</v>
      </c>
      <c r="J554">
        <v>3951.1</v>
      </c>
      <c r="K554" t="s">
        <v>45</v>
      </c>
      <c r="L554">
        <v>20211018</v>
      </c>
      <c r="M554" t="s">
        <v>73</v>
      </c>
    </row>
    <row r="555" spans="1:13">
      <c r="A555">
        <v>554</v>
      </c>
      <c r="B555" t="s">
        <v>651</v>
      </c>
      <c r="C555" t="s">
        <v>653</v>
      </c>
      <c r="D555" t="s">
        <v>653</v>
      </c>
      <c r="E555" t="s">
        <v>72</v>
      </c>
      <c r="F555" t="s">
        <v>654</v>
      </c>
      <c r="G555" s="27" t="s">
        <v>860</v>
      </c>
      <c r="H555" s="30">
        <v>4</v>
      </c>
      <c r="I555">
        <v>923.75</v>
      </c>
      <c r="J555">
        <v>3695</v>
      </c>
      <c r="K555" t="s">
        <v>45</v>
      </c>
      <c r="L555">
        <v>20211018</v>
      </c>
      <c r="M555" t="s">
        <v>73</v>
      </c>
    </row>
    <row r="556" spans="1:13">
      <c r="A556">
        <v>555</v>
      </c>
      <c r="B556" t="s">
        <v>783</v>
      </c>
      <c r="C556" t="s">
        <v>784</v>
      </c>
      <c r="D556" t="s">
        <v>784</v>
      </c>
      <c r="E556" t="s">
        <v>72</v>
      </c>
      <c r="F556" t="s">
        <v>785</v>
      </c>
      <c r="G556" s="27" t="s">
        <v>860</v>
      </c>
      <c r="H556" s="30">
        <v>12</v>
      </c>
      <c r="I556">
        <v>1335</v>
      </c>
      <c r="J556">
        <v>16020</v>
      </c>
      <c r="K556" t="s">
        <v>45</v>
      </c>
      <c r="L556">
        <v>20211018</v>
      </c>
      <c r="M556" t="s">
        <v>73</v>
      </c>
    </row>
    <row r="557" spans="1:13">
      <c r="A557">
        <v>556</v>
      </c>
      <c r="B557" t="s">
        <v>13</v>
      </c>
      <c r="C557" t="s">
        <v>83</v>
      </c>
      <c r="D557" t="s">
        <v>246</v>
      </c>
      <c r="E557" t="s">
        <v>76</v>
      </c>
      <c r="F557" t="s">
        <v>84</v>
      </c>
      <c r="G557" s="27" t="s">
        <v>860</v>
      </c>
      <c r="H557" s="30">
        <v>5</v>
      </c>
      <c r="I557">
        <v>1233</v>
      </c>
      <c r="J557">
        <v>6165</v>
      </c>
      <c r="K557" t="s">
        <v>45</v>
      </c>
      <c r="L557">
        <v>20211018</v>
      </c>
      <c r="M557" t="s">
        <v>73</v>
      </c>
    </row>
    <row r="558" spans="1:13">
      <c r="A558">
        <v>557</v>
      </c>
      <c r="B558" t="s">
        <v>674</v>
      </c>
      <c r="C558" t="s">
        <v>675</v>
      </c>
      <c r="D558" t="s">
        <v>675</v>
      </c>
      <c r="E558" t="s">
        <v>72</v>
      </c>
      <c r="F558" t="s">
        <v>676</v>
      </c>
      <c r="G558" s="27" t="s">
        <v>851</v>
      </c>
      <c r="H558" s="30">
        <v>5</v>
      </c>
      <c r="I558">
        <v>699.65</v>
      </c>
      <c r="J558">
        <v>3498.25</v>
      </c>
      <c r="K558" t="s">
        <v>45</v>
      </c>
      <c r="L558">
        <v>20211014</v>
      </c>
      <c r="M558" t="s">
        <v>73</v>
      </c>
    </row>
    <row r="559" spans="1:13">
      <c r="A559">
        <v>558</v>
      </c>
      <c r="B559" t="s">
        <v>665</v>
      </c>
      <c r="C559" t="s">
        <v>666</v>
      </c>
      <c r="D559" t="s">
        <v>666</v>
      </c>
      <c r="E559" t="s">
        <v>72</v>
      </c>
      <c r="F559" t="s">
        <v>667</v>
      </c>
      <c r="G559" s="27" t="s">
        <v>851</v>
      </c>
      <c r="H559" s="30">
        <v>1</v>
      </c>
      <c r="I559">
        <v>3707.35</v>
      </c>
      <c r="J559" s="54">
        <v>3707.35</v>
      </c>
      <c r="K559" t="s">
        <v>45</v>
      </c>
      <c r="L559">
        <v>20211014</v>
      </c>
      <c r="M559" t="s">
        <v>73</v>
      </c>
    </row>
    <row r="560" spans="1:13">
      <c r="A560">
        <v>559</v>
      </c>
      <c r="B560" t="s">
        <v>812</v>
      </c>
      <c r="C560" t="s">
        <v>813</v>
      </c>
      <c r="D560" t="s">
        <v>815</v>
      </c>
      <c r="E560" t="s">
        <v>72</v>
      </c>
      <c r="F560" t="s">
        <v>814</v>
      </c>
      <c r="G560" s="27" t="s">
        <v>851</v>
      </c>
      <c r="H560" s="30">
        <v>10</v>
      </c>
      <c r="I560">
        <v>383.55</v>
      </c>
      <c r="J560">
        <v>3835.5</v>
      </c>
      <c r="K560" t="s">
        <v>45</v>
      </c>
      <c r="L560">
        <v>20211014</v>
      </c>
      <c r="M560" t="s">
        <v>73</v>
      </c>
    </row>
    <row r="561" spans="1:13">
      <c r="A561">
        <v>560</v>
      </c>
      <c r="B561" t="s">
        <v>651</v>
      </c>
      <c r="C561" t="s">
        <v>653</v>
      </c>
      <c r="D561" t="s">
        <v>653</v>
      </c>
      <c r="E561" t="s">
        <v>72</v>
      </c>
      <c r="F561" t="s">
        <v>654</v>
      </c>
      <c r="G561" s="27" t="s">
        <v>852</v>
      </c>
      <c r="H561" s="30">
        <v>6</v>
      </c>
      <c r="I561">
        <v>939.55</v>
      </c>
      <c r="J561">
        <v>5637.2999999999993</v>
      </c>
      <c r="K561" t="s">
        <v>45</v>
      </c>
      <c r="L561">
        <v>20211013</v>
      </c>
      <c r="M561" t="s">
        <v>73</v>
      </c>
    </row>
    <row r="562" spans="1:13">
      <c r="A562">
        <v>561</v>
      </c>
      <c r="B562" t="s">
        <v>783</v>
      </c>
      <c r="C562" t="s">
        <v>784</v>
      </c>
      <c r="D562" t="s">
        <v>784</v>
      </c>
      <c r="E562" t="s">
        <v>72</v>
      </c>
      <c r="F562" t="s">
        <v>785</v>
      </c>
      <c r="G562" s="27" t="s">
        <v>852</v>
      </c>
      <c r="H562" s="30">
        <v>3</v>
      </c>
      <c r="I562">
        <v>1368.5</v>
      </c>
      <c r="J562">
        <v>4105.5</v>
      </c>
      <c r="K562" t="s">
        <v>45</v>
      </c>
      <c r="L562">
        <v>20211013</v>
      </c>
      <c r="M562" t="s">
        <v>73</v>
      </c>
    </row>
    <row r="563" spans="1:13">
      <c r="A563">
        <v>562</v>
      </c>
      <c r="B563" t="s">
        <v>677</v>
      </c>
      <c r="C563" t="s">
        <v>678</v>
      </c>
      <c r="D563" t="s">
        <v>678</v>
      </c>
      <c r="E563" t="s">
        <v>72</v>
      </c>
      <c r="F563" t="s">
        <v>679</v>
      </c>
      <c r="G563" s="27" t="s">
        <v>853</v>
      </c>
      <c r="H563" s="30">
        <v>32</v>
      </c>
      <c r="I563">
        <v>592.20000000000005</v>
      </c>
      <c r="J563">
        <v>18950.400000000001</v>
      </c>
      <c r="K563" t="s">
        <v>45</v>
      </c>
      <c r="L563">
        <v>20211012</v>
      </c>
      <c r="M563" t="s">
        <v>73</v>
      </c>
    </row>
    <row r="564" spans="1:13">
      <c r="A564">
        <v>563</v>
      </c>
      <c r="B564" t="s">
        <v>674</v>
      </c>
      <c r="C564" t="s">
        <v>675</v>
      </c>
      <c r="D564" t="s">
        <v>675</v>
      </c>
      <c r="E564" t="s">
        <v>72</v>
      </c>
      <c r="F564" t="s">
        <v>676</v>
      </c>
      <c r="G564" s="27" t="s">
        <v>853</v>
      </c>
      <c r="H564" s="30">
        <v>21</v>
      </c>
      <c r="I564">
        <v>707.36</v>
      </c>
      <c r="J564">
        <v>14854.56</v>
      </c>
      <c r="K564" t="s">
        <v>45</v>
      </c>
      <c r="L564">
        <v>20211012</v>
      </c>
      <c r="M564" t="s">
        <v>73</v>
      </c>
    </row>
    <row r="565" spans="1:13">
      <c r="A565">
        <v>564</v>
      </c>
      <c r="B565" t="s">
        <v>651</v>
      </c>
      <c r="C565" t="s">
        <v>653</v>
      </c>
      <c r="D565" t="s">
        <v>653</v>
      </c>
      <c r="E565" t="s">
        <v>72</v>
      </c>
      <c r="F565" t="s">
        <v>654</v>
      </c>
      <c r="G565" s="27" t="s">
        <v>853</v>
      </c>
      <c r="H565" s="30">
        <v>7</v>
      </c>
      <c r="I565">
        <v>960.89</v>
      </c>
      <c r="J565">
        <v>6726.23</v>
      </c>
      <c r="K565" t="s">
        <v>45</v>
      </c>
      <c r="L565">
        <v>20211012</v>
      </c>
      <c r="M565" t="s">
        <v>73</v>
      </c>
    </row>
    <row r="566" spans="1:13">
      <c r="A566">
        <v>565</v>
      </c>
      <c r="B566" t="s">
        <v>218</v>
      </c>
      <c r="C566">
        <v>500408</v>
      </c>
      <c r="D566" t="s">
        <v>219</v>
      </c>
      <c r="E566" t="s">
        <v>72</v>
      </c>
      <c r="F566" t="s">
        <v>220</v>
      </c>
      <c r="G566" s="27" t="s">
        <v>853</v>
      </c>
      <c r="H566" s="30">
        <v>1</v>
      </c>
      <c r="I566">
        <v>6150</v>
      </c>
      <c r="J566">
        <v>6150</v>
      </c>
      <c r="K566" t="s">
        <v>45</v>
      </c>
      <c r="L566">
        <v>20211012</v>
      </c>
      <c r="M566" t="s">
        <v>73</v>
      </c>
    </row>
    <row r="567" spans="1:13">
      <c r="A567">
        <v>566</v>
      </c>
      <c r="B567" t="s">
        <v>527</v>
      </c>
      <c r="C567" t="s">
        <v>528</v>
      </c>
      <c r="D567" t="s">
        <v>528</v>
      </c>
      <c r="E567" t="s">
        <v>72</v>
      </c>
      <c r="F567" t="s">
        <v>529</v>
      </c>
      <c r="G567" s="27" t="s">
        <v>853</v>
      </c>
      <c r="H567" s="30">
        <v>10</v>
      </c>
      <c r="I567">
        <v>790.9</v>
      </c>
      <c r="J567">
        <v>7909</v>
      </c>
      <c r="K567" t="s">
        <v>45</v>
      </c>
      <c r="L567">
        <v>20211012</v>
      </c>
      <c r="M567" t="s">
        <v>73</v>
      </c>
    </row>
    <row r="568" spans="1:13">
      <c r="A568">
        <v>567</v>
      </c>
      <c r="B568" t="s">
        <v>649</v>
      </c>
      <c r="C568" t="s">
        <v>648</v>
      </c>
      <c r="D568" t="s">
        <v>648</v>
      </c>
      <c r="E568" t="s">
        <v>72</v>
      </c>
      <c r="F568" t="s">
        <v>652</v>
      </c>
      <c r="G568" s="27" t="s">
        <v>853</v>
      </c>
      <c r="H568" s="30">
        <v>15</v>
      </c>
      <c r="I568">
        <v>190.79</v>
      </c>
      <c r="J568">
        <v>2861.85</v>
      </c>
      <c r="K568" t="s">
        <v>45</v>
      </c>
      <c r="L568">
        <v>20211012</v>
      </c>
      <c r="M568" t="s">
        <v>73</v>
      </c>
    </row>
    <row r="569" spans="1:13">
      <c r="A569">
        <v>568</v>
      </c>
      <c r="B569" t="s">
        <v>18</v>
      </c>
      <c r="C569">
        <v>532281</v>
      </c>
      <c r="D569" t="s">
        <v>88</v>
      </c>
      <c r="E569" t="s">
        <v>72</v>
      </c>
      <c r="F569" t="s">
        <v>89</v>
      </c>
      <c r="G569" s="27" t="s">
        <v>853</v>
      </c>
      <c r="H569" s="30">
        <v>10</v>
      </c>
      <c r="I569">
        <v>1248.2</v>
      </c>
      <c r="J569">
        <v>12482</v>
      </c>
      <c r="K569" t="s">
        <v>45</v>
      </c>
      <c r="L569">
        <v>20211012</v>
      </c>
      <c r="M569" t="s">
        <v>73</v>
      </c>
    </row>
    <row r="570" spans="1:13">
      <c r="A570">
        <v>569</v>
      </c>
      <c r="B570" t="s">
        <v>27</v>
      </c>
      <c r="C570">
        <v>500288</v>
      </c>
      <c r="D570" t="s">
        <v>104</v>
      </c>
      <c r="E570" t="s">
        <v>72</v>
      </c>
      <c r="F570" t="s">
        <v>105</v>
      </c>
      <c r="G570" s="27" t="s">
        <v>854</v>
      </c>
      <c r="H570" s="30">
        <v>100</v>
      </c>
      <c r="I570">
        <v>55.3</v>
      </c>
      <c r="J570">
        <v>5530</v>
      </c>
      <c r="K570" t="s">
        <v>45</v>
      </c>
      <c r="L570">
        <v>20211011</v>
      </c>
      <c r="M570" t="s">
        <v>73</v>
      </c>
    </row>
    <row r="571" spans="1:13">
      <c r="A571">
        <v>570</v>
      </c>
      <c r="B571" t="s">
        <v>740</v>
      </c>
      <c r="C571" t="s">
        <v>740</v>
      </c>
      <c r="D571" t="s">
        <v>740</v>
      </c>
      <c r="E571" t="s">
        <v>72</v>
      </c>
      <c r="F571" t="s">
        <v>741</v>
      </c>
      <c r="G571" s="27" t="s">
        <v>854</v>
      </c>
      <c r="H571" s="30">
        <v>10</v>
      </c>
      <c r="I571">
        <v>349.5</v>
      </c>
      <c r="J571">
        <v>3495</v>
      </c>
      <c r="K571" t="s">
        <v>45</v>
      </c>
      <c r="L571">
        <v>20211011</v>
      </c>
      <c r="M571" t="s">
        <v>73</v>
      </c>
    </row>
    <row r="572" spans="1:13">
      <c r="A572">
        <v>571</v>
      </c>
      <c r="B572" t="s">
        <v>674</v>
      </c>
      <c r="C572" t="s">
        <v>675</v>
      </c>
      <c r="D572" t="s">
        <v>675</v>
      </c>
      <c r="E572" t="s">
        <v>72</v>
      </c>
      <c r="F572" t="s">
        <v>676</v>
      </c>
      <c r="G572" s="27" t="s">
        <v>854</v>
      </c>
      <c r="H572" s="30">
        <v>6</v>
      </c>
      <c r="I572">
        <v>722.7</v>
      </c>
      <c r="J572">
        <v>4336.2000000000007</v>
      </c>
      <c r="K572" t="s">
        <v>45</v>
      </c>
      <c r="L572">
        <v>20211011</v>
      </c>
      <c r="M572" t="s">
        <v>73</v>
      </c>
    </row>
    <row r="573" spans="1:13">
      <c r="A573">
        <v>572</v>
      </c>
      <c r="B573" t="s">
        <v>27</v>
      </c>
      <c r="C573">
        <v>500288</v>
      </c>
      <c r="D573" t="s">
        <v>104</v>
      </c>
      <c r="E573" t="s">
        <v>72</v>
      </c>
      <c r="F573" t="s">
        <v>105</v>
      </c>
      <c r="G573" s="27" t="s">
        <v>845</v>
      </c>
      <c r="H573" s="30">
        <v>55</v>
      </c>
      <c r="I573">
        <v>56.47</v>
      </c>
      <c r="J573">
        <v>3105.85</v>
      </c>
      <c r="K573" t="s">
        <v>45</v>
      </c>
      <c r="L573">
        <v>20211008</v>
      </c>
      <c r="M573" t="s">
        <v>73</v>
      </c>
    </row>
    <row r="574" spans="1:13">
      <c r="A574">
        <v>573</v>
      </c>
      <c r="B574" t="s">
        <v>13</v>
      </c>
      <c r="C574" t="s">
        <v>83</v>
      </c>
      <c r="D574" t="s">
        <v>246</v>
      </c>
      <c r="E574" t="s">
        <v>76</v>
      </c>
      <c r="F574" t="s">
        <v>84</v>
      </c>
      <c r="G574" s="27" t="s">
        <v>845</v>
      </c>
      <c r="H574" s="30">
        <v>3</v>
      </c>
      <c r="I574">
        <v>1278.0999999999999</v>
      </c>
      <c r="J574">
        <v>3834.2999999999997</v>
      </c>
      <c r="K574" t="s">
        <v>45</v>
      </c>
      <c r="L574">
        <v>20211008</v>
      </c>
      <c r="M574" t="s">
        <v>73</v>
      </c>
    </row>
    <row r="575" spans="1:13">
      <c r="A575">
        <v>574</v>
      </c>
      <c r="B575" t="s">
        <v>37</v>
      </c>
      <c r="C575" t="s">
        <v>119</v>
      </c>
      <c r="D575" t="s">
        <v>216</v>
      </c>
      <c r="E575" t="s">
        <v>76</v>
      </c>
      <c r="F575" t="s">
        <v>120</v>
      </c>
      <c r="G575" s="27" t="s">
        <v>847</v>
      </c>
      <c r="H575" s="30">
        <v>36</v>
      </c>
      <c r="I575">
        <v>204.42</v>
      </c>
      <c r="J575">
        <v>7359.12</v>
      </c>
      <c r="K575" t="s">
        <v>45</v>
      </c>
      <c r="L575">
        <v>20211006</v>
      </c>
      <c r="M575" t="s">
        <v>73</v>
      </c>
    </row>
    <row r="576" spans="1:13">
      <c r="A576">
        <v>575</v>
      </c>
      <c r="B576" t="s">
        <v>13</v>
      </c>
      <c r="C576" t="s">
        <v>83</v>
      </c>
      <c r="D576" t="s">
        <v>246</v>
      </c>
      <c r="E576" t="s">
        <v>76</v>
      </c>
      <c r="F576" t="s">
        <v>84</v>
      </c>
      <c r="G576" s="27" t="s">
        <v>847</v>
      </c>
      <c r="H576" s="30">
        <v>10</v>
      </c>
      <c r="I576">
        <v>1286.5</v>
      </c>
      <c r="J576">
        <v>12865</v>
      </c>
      <c r="K576" t="s">
        <v>45</v>
      </c>
      <c r="L576">
        <v>20211006</v>
      </c>
      <c r="M576" t="s">
        <v>73</v>
      </c>
    </row>
    <row r="577" spans="1:13">
      <c r="A577">
        <v>576</v>
      </c>
      <c r="B577" t="s">
        <v>842</v>
      </c>
      <c r="C577" t="s">
        <v>843</v>
      </c>
      <c r="D577" t="s">
        <v>843</v>
      </c>
      <c r="E577" t="s">
        <v>72</v>
      </c>
      <c r="F577" t="s">
        <v>844</v>
      </c>
      <c r="G577" s="27" t="s">
        <v>847</v>
      </c>
      <c r="H577" s="30">
        <v>53</v>
      </c>
      <c r="I577">
        <v>972.8</v>
      </c>
      <c r="J577">
        <v>51558.399999999994</v>
      </c>
      <c r="K577" t="s">
        <v>45</v>
      </c>
      <c r="L577">
        <v>20211006</v>
      </c>
      <c r="M577" t="s">
        <v>73</v>
      </c>
    </row>
    <row r="578" spans="1:13">
      <c r="A578">
        <v>577</v>
      </c>
      <c r="B578" t="s">
        <v>37</v>
      </c>
      <c r="C578" t="s">
        <v>119</v>
      </c>
      <c r="D578" t="s">
        <v>216</v>
      </c>
      <c r="E578" t="s">
        <v>76</v>
      </c>
      <c r="F578" t="s">
        <v>120</v>
      </c>
      <c r="G578" s="27" t="s">
        <v>848</v>
      </c>
      <c r="H578" s="30">
        <v>35</v>
      </c>
      <c r="I578">
        <v>207.88</v>
      </c>
      <c r="J578">
        <v>7275.8</v>
      </c>
      <c r="K578" t="s">
        <v>45</v>
      </c>
      <c r="L578">
        <v>20211005</v>
      </c>
      <c r="M578" t="s">
        <v>73</v>
      </c>
    </row>
    <row r="579" spans="1:13">
      <c r="A579">
        <v>578</v>
      </c>
      <c r="B579" t="s">
        <v>527</v>
      </c>
      <c r="C579" t="s">
        <v>528</v>
      </c>
      <c r="D579" t="s">
        <v>528</v>
      </c>
      <c r="E579" t="s">
        <v>72</v>
      </c>
      <c r="F579" t="s">
        <v>529</v>
      </c>
      <c r="G579" s="27" t="s">
        <v>831</v>
      </c>
      <c r="H579" s="30">
        <v>8</v>
      </c>
      <c r="I579">
        <v>786.25</v>
      </c>
      <c r="J579">
        <v>6290</v>
      </c>
      <c r="K579" t="s">
        <v>45</v>
      </c>
      <c r="L579">
        <v>20211001</v>
      </c>
      <c r="M579" t="s">
        <v>73</v>
      </c>
    </row>
    <row r="580" spans="1:13">
      <c r="A580">
        <v>579</v>
      </c>
      <c r="B580" t="s">
        <v>668</v>
      </c>
      <c r="C580" t="s">
        <v>669</v>
      </c>
      <c r="D580" t="s">
        <v>669</v>
      </c>
      <c r="E580" t="s">
        <v>72</v>
      </c>
      <c r="F580" t="s">
        <v>670</v>
      </c>
      <c r="G580" s="27" t="s">
        <v>832</v>
      </c>
      <c r="H580" s="30">
        <v>1</v>
      </c>
      <c r="I580">
        <v>4805.3</v>
      </c>
      <c r="J580" s="54">
        <v>4805.3</v>
      </c>
      <c r="K580" t="s">
        <v>45</v>
      </c>
      <c r="L580">
        <v>20210930</v>
      </c>
      <c r="M580" t="s">
        <v>73</v>
      </c>
    </row>
    <row r="581" spans="1:13">
      <c r="A581">
        <v>580</v>
      </c>
      <c r="B581" t="s">
        <v>823</v>
      </c>
      <c r="C581" t="s">
        <v>824</v>
      </c>
      <c r="D581" t="s">
        <v>824</v>
      </c>
      <c r="E581" t="s">
        <v>72</v>
      </c>
      <c r="F581" t="s">
        <v>825</v>
      </c>
      <c r="G581" s="27" t="s">
        <v>832</v>
      </c>
      <c r="H581" s="30">
        <v>3</v>
      </c>
      <c r="I581">
        <v>305.60000000000002</v>
      </c>
      <c r="J581">
        <v>916.80000000000007</v>
      </c>
      <c r="K581" t="s">
        <v>45</v>
      </c>
      <c r="L581">
        <v>20210930</v>
      </c>
      <c r="M581" t="s">
        <v>73</v>
      </c>
    </row>
    <row r="582" spans="1:13">
      <c r="A582">
        <v>581</v>
      </c>
      <c r="B582" t="s">
        <v>512</v>
      </c>
      <c r="C582" t="s">
        <v>511</v>
      </c>
      <c r="D582" t="s">
        <v>511</v>
      </c>
      <c r="E582" t="s">
        <v>72</v>
      </c>
      <c r="F582" t="s">
        <v>513</v>
      </c>
      <c r="G582" s="27" t="s">
        <v>832</v>
      </c>
      <c r="H582" s="30">
        <v>2</v>
      </c>
      <c r="I582">
        <v>3236.83</v>
      </c>
      <c r="J582">
        <v>6473.66</v>
      </c>
      <c r="K582" t="s">
        <v>45</v>
      </c>
      <c r="L582">
        <v>20210930</v>
      </c>
      <c r="M582" t="s">
        <v>73</v>
      </c>
    </row>
    <row r="583" spans="1:13">
      <c r="A583">
        <v>582</v>
      </c>
      <c r="B583" t="s">
        <v>13</v>
      </c>
      <c r="C583" t="s">
        <v>83</v>
      </c>
      <c r="D583" t="s">
        <v>246</v>
      </c>
      <c r="E583" t="s">
        <v>76</v>
      </c>
      <c r="F583" t="s">
        <v>84</v>
      </c>
      <c r="G583" s="27" t="s">
        <v>832</v>
      </c>
      <c r="H583" s="30">
        <v>3</v>
      </c>
      <c r="I583">
        <v>1308.6500000000001</v>
      </c>
      <c r="J583">
        <v>3925.9500000000003</v>
      </c>
      <c r="K583" t="s">
        <v>45</v>
      </c>
      <c r="L583">
        <v>20210930</v>
      </c>
      <c r="M583" t="s">
        <v>73</v>
      </c>
    </row>
    <row r="584" spans="1:13">
      <c r="A584">
        <v>583</v>
      </c>
      <c r="B584" t="s">
        <v>665</v>
      </c>
      <c r="C584" t="s">
        <v>666</v>
      </c>
      <c r="D584" t="s">
        <v>666</v>
      </c>
      <c r="E584" t="s">
        <v>72</v>
      </c>
      <c r="F584" t="s">
        <v>667</v>
      </c>
      <c r="G584" s="27" t="s">
        <v>832</v>
      </c>
      <c r="H584" s="30">
        <v>3</v>
      </c>
      <c r="I584">
        <v>3675</v>
      </c>
      <c r="J584">
        <v>11025</v>
      </c>
      <c r="K584" t="s">
        <v>45</v>
      </c>
      <c r="L584">
        <v>20210930</v>
      </c>
      <c r="M584" t="s">
        <v>73</v>
      </c>
    </row>
    <row r="585" spans="1:13">
      <c r="A585">
        <v>584</v>
      </c>
      <c r="B585" t="s">
        <v>512</v>
      </c>
      <c r="C585" t="s">
        <v>511</v>
      </c>
      <c r="D585" t="s">
        <v>511</v>
      </c>
      <c r="E585" t="s">
        <v>72</v>
      </c>
      <c r="F585" t="s">
        <v>513</v>
      </c>
      <c r="G585" s="27" t="s">
        <v>833</v>
      </c>
      <c r="H585" s="30">
        <v>1</v>
      </c>
      <c r="I585">
        <v>3339.9</v>
      </c>
      <c r="J585">
        <v>3339.9</v>
      </c>
      <c r="K585" t="s">
        <v>45</v>
      </c>
      <c r="L585">
        <v>20210929</v>
      </c>
      <c r="M585" t="s">
        <v>73</v>
      </c>
    </row>
    <row r="586" spans="1:13">
      <c r="A586">
        <v>585</v>
      </c>
      <c r="B586" t="s">
        <v>668</v>
      </c>
      <c r="C586" t="s">
        <v>669</v>
      </c>
      <c r="D586" t="s">
        <v>669</v>
      </c>
      <c r="E586" t="s">
        <v>72</v>
      </c>
      <c r="F586" t="s">
        <v>670</v>
      </c>
      <c r="G586" s="27" t="s">
        <v>834</v>
      </c>
      <c r="H586" s="30">
        <v>2</v>
      </c>
      <c r="I586">
        <v>4806.08</v>
      </c>
      <c r="J586">
        <v>9612.16</v>
      </c>
      <c r="K586" t="s">
        <v>45</v>
      </c>
      <c r="L586">
        <v>20210928</v>
      </c>
      <c r="M586" t="s">
        <v>73</v>
      </c>
    </row>
    <row r="587" spans="1:13">
      <c r="A587">
        <v>586</v>
      </c>
      <c r="B587" t="s">
        <v>783</v>
      </c>
      <c r="C587" t="s">
        <v>784</v>
      </c>
      <c r="D587" t="s">
        <v>784</v>
      </c>
      <c r="E587" t="s">
        <v>72</v>
      </c>
      <c r="F587" t="s">
        <v>785</v>
      </c>
      <c r="G587" s="27" t="s">
        <v>834</v>
      </c>
      <c r="H587" s="30">
        <v>2</v>
      </c>
      <c r="I587">
        <v>1284.1500000000001</v>
      </c>
      <c r="J587">
        <v>2568.3000000000002</v>
      </c>
      <c r="K587" t="s">
        <v>45</v>
      </c>
      <c r="L587">
        <v>20210928</v>
      </c>
      <c r="M587" t="s">
        <v>73</v>
      </c>
    </row>
    <row r="588" spans="1:13">
      <c r="A588">
        <v>587</v>
      </c>
      <c r="B588" t="s">
        <v>665</v>
      </c>
      <c r="C588" t="s">
        <v>666</v>
      </c>
      <c r="D588" t="s">
        <v>666</v>
      </c>
      <c r="E588" t="s">
        <v>72</v>
      </c>
      <c r="F588" t="s">
        <v>667</v>
      </c>
      <c r="G588" s="27" t="s">
        <v>834</v>
      </c>
      <c r="H588" s="30">
        <v>2</v>
      </c>
      <c r="I588">
        <v>3708.63</v>
      </c>
      <c r="J588">
        <v>7417.26</v>
      </c>
      <c r="K588" t="s">
        <v>45</v>
      </c>
      <c r="L588">
        <v>20210928</v>
      </c>
      <c r="M588" t="s">
        <v>73</v>
      </c>
    </row>
    <row r="589" spans="1:13">
      <c r="A589">
        <v>588</v>
      </c>
      <c r="B589" t="s">
        <v>823</v>
      </c>
      <c r="C589" t="s">
        <v>824</v>
      </c>
      <c r="D589" t="s">
        <v>824</v>
      </c>
      <c r="E589" t="s">
        <v>72</v>
      </c>
      <c r="F589" t="s">
        <v>825</v>
      </c>
      <c r="G589" s="27" t="s">
        <v>834</v>
      </c>
      <c r="H589" s="30">
        <v>20</v>
      </c>
      <c r="I589">
        <v>311</v>
      </c>
      <c r="J589">
        <v>6220</v>
      </c>
      <c r="K589" t="s">
        <v>45</v>
      </c>
      <c r="L589">
        <v>20210928</v>
      </c>
      <c r="M589" t="s">
        <v>73</v>
      </c>
    </row>
    <row r="590" spans="1:13">
      <c r="A590">
        <v>589</v>
      </c>
      <c r="B590" t="s">
        <v>18</v>
      </c>
      <c r="C590">
        <v>532281</v>
      </c>
      <c r="D590" t="s">
        <v>88</v>
      </c>
      <c r="E590" t="s">
        <v>72</v>
      </c>
      <c r="F590" t="s">
        <v>89</v>
      </c>
      <c r="G590" s="27" t="s">
        <v>834</v>
      </c>
      <c r="H590" s="30">
        <v>2</v>
      </c>
      <c r="I590">
        <v>1273.95</v>
      </c>
      <c r="J590">
        <v>2547.9</v>
      </c>
      <c r="K590" t="s">
        <v>45</v>
      </c>
      <c r="L590">
        <v>20210928</v>
      </c>
      <c r="M590" t="s">
        <v>73</v>
      </c>
    </row>
    <row r="591" spans="1:13">
      <c r="A591">
        <v>590</v>
      </c>
      <c r="B591" t="s">
        <v>689</v>
      </c>
      <c r="C591" t="s">
        <v>690</v>
      </c>
      <c r="D591" t="s">
        <v>690</v>
      </c>
      <c r="E591" t="s">
        <v>72</v>
      </c>
      <c r="F591" t="s">
        <v>691</v>
      </c>
      <c r="G591" s="27" t="s">
        <v>834</v>
      </c>
      <c r="H591" s="30">
        <v>2</v>
      </c>
      <c r="I591">
        <v>3242.5</v>
      </c>
      <c r="J591">
        <v>6485</v>
      </c>
      <c r="K591" t="s">
        <v>45</v>
      </c>
      <c r="L591">
        <v>20210928</v>
      </c>
      <c r="M591" t="s">
        <v>73</v>
      </c>
    </row>
    <row r="592" spans="1:13">
      <c r="A592">
        <v>591</v>
      </c>
      <c r="B592" t="s">
        <v>485</v>
      </c>
      <c r="C592" t="s">
        <v>486</v>
      </c>
      <c r="D592" t="s">
        <v>486</v>
      </c>
      <c r="E592" t="s">
        <v>72</v>
      </c>
      <c r="F592" t="s">
        <v>590</v>
      </c>
      <c r="G592" s="27" t="s">
        <v>834</v>
      </c>
      <c r="H592" s="30">
        <v>2</v>
      </c>
      <c r="I592">
        <v>2339.1999999999998</v>
      </c>
      <c r="J592">
        <v>4678.3999999999996</v>
      </c>
      <c r="K592" t="s">
        <v>45</v>
      </c>
      <c r="L592">
        <v>20210928</v>
      </c>
      <c r="M592" t="s">
        <v>73</v>
      </c>
    </row>
    <row r="593" spans="1:13">
      <c r="A593">
        <v>592</v>
      </c>
      <c r="B593" t="s">
        <v>512</v>
      </c>
      <c r="C593" t="s">
        <v>511</v>
      </c>
      <c r="D593" t="s">
        <v>511</v>
      </c>
      <c r="E593" t="s">
        <v>72</v>
      </c>
      <c r="F593" t="s">
        <v>513</v>
      </c>
      <c r="G593" s="27" t="s">
        <v>834</v>
      </c>
      <c r="H593" s="30">
        <v>1</v>
      </c>
      <c r="I593">
        <v>3377.85</v>
      </c>
      <c r="J593">
        <v>3377.85</v>
      </c>
      <c r="K593" t="s">
        <v>45</v>
      </c>
      <c r="L593">
        <v>20210928</v>
      </c>
      <c r="M593" t="s">
        <v>73</v>
      </c>
    </row>
    <row r="594" spans="1:13">
      <c r="A594">
        <v>593</v>
      </c>
      <c r="B594" t="s">
        <v>27</v>
      </c>
      <c r="C594">
        <v>500288</v>
      </c>
      <c r="D594" t="s">
        <v>104</v>
      </c>
      <c r="E594" t="s">
        <v>72</v>
      </c>
      <c r="F594" t="s">
        <v>105</v>
      </c>
      <c r="G594" s="27" t="s">
        <v>835</v>
      </c>
      <c r="H594" s="30">
        <v>10</v>
      </c>
      <c r="I594">
        <v>56.95</v>
      </c>
      <c r="J594">
        <v>569.5</v>
      </c>
      <c r="K594" t="s">
        <v>45</v>
      </c>
      <c r="L594">
        <v>20210927</v>
      </c>
      <c r="M594" t="s">
        <v>73</v>
      </c>
    </row>
    <row r="595" spans="1:13">
      <c r="A595">
        <v>594</v>
      </c>
      <c r="B595" t="s">
        <v>783</v>
      </c>
      <c r="C595" t="s">
        <v>784</v>
      </c>
      <c r="D595" t="s">
        <v>784</v>
      </c>
      <c r="E595" t="s">
        <v>72</v>
      </c>
      <c r="F595" t="s">
        <v>785</v>
      </c>
      <c r="G595" s="27" t="s">
        <v>835</v>
      </c>
      <c r="H595" s="30">
        <v>7</v>
      </c>
      <c r="I595">
        <v>1305.1199999999999</v>
      </c>
      <c r="J595">
        <v>9135.84</v>
      </c>
      <c r="K595" t="s">
        <v>45</v>
      </c>
      <c r="L595">
        <v>20210927</v>
      </c>
      <c r="M595" t="s">
        <v>73</v>
      </c>
    </row>
    <row r="596" spans="1:13">
      <c r="A596">
        <v>595</v>
      </c>
      <c r="B596" t="s">
        <v>668</v>
      </c>
      <c r="C596" t="s">
        <v>669</v>
      </c>
      <c r="D596" t="s">
        <v>669</v>
      </c>
      <c r="E596" t="s">
        <v>72</v>
      </c>
      <c r="F596" t="s">
        <v>670</v>
      </c>
      <c r="G596" s="27" t="s">
        <v>835</v>
      </c>
      <c r="H596" s="30">
        <v>1</v>
      </c>
      <c r="I596">
        <v>4998.95</v>
      </c>
      <c r="J596">
        <v>4998.95</v>
      </c>
      <c r="K596" t="s">
        <v>45</v>
      </c>
      <c r="L596">
        <v>20210927</v>
      </c>
      <c r="M596" t="s">
        <v>73</v>
      </c>
    </row>
    <row r="597" spans="1:13">
      <c r="A597">
        <v>596</v>
      </c>
      <c r="B597" t="s">
        <v>665</v>
      </c>
      <c r="C597" t="s">
        <v>666</v>
      </c>
      <c r="D597" t="s">
        <v>666</v>
      </c>
      <c r="E597" t="s">
        <v>72</v>
      </c>
      <c r="F597" t="s">
        <v>667</v>
      </c>
      <c r="G597" s="27" t="s">
        <v>835</v>
      </c>
      <c r="H597" s="30">
        <v>1</v>
      </c>
      <c r="I597">
        <v>3798.4</v>
      </c>
      <c r="J597">
        <v>3798.4</v>
      </c>
      <c r="K597" t="s">
        <v>45</v>
      </c>
      <c r="L597">
        <v>20210927</v>
      </c>
      <c r="M597" t="s">
        <v>73</v>
      </c>
    </row>
    <row r="598" spans="1:13">
      <c r="A598">
        <v>597</v>
      </c>
      <c r="B598" t="s">
        <v>746</v>
      </c>
      <c r="C598" t="s">
        <v>747</v>
      </c>
      <c r="D598" t="s">
        <v>747</v>
      </c>
      <c r="E598" t="s">
        <v>72</v>
      </c>
      <c r="F598" t="s">
        <v>748</v>
      </c>
      <c r="G598" s="27" t="s">
        <v>835</v>
      </c>
      <c r="H598" s="30">
        <v>20</v>
      </c>
      <c r="I598">
        <v>593.42999999999995</v>
      </c>
      <c r="J598">
        <v>11868.599999999999</v>
      </c>
      <c r="K598" t="s">
        <v>45</v>
      </c>
      <c r="L598">
        <v>20210927</v>
      </c>
      <c r="M598" t="s">
        <v>73</v>
      </c>
    </row>
    <row r="599" spans="1:13">
      <c r="A599">
        <v>598</v>
      </c>
      <c r="B599" t="s">
        <v>823</v>
      </c>
      <c r="C599" t="s">
        <v>824</v>
      </c>
      <c r="D599" t="s">
        <v>824</v>
      </c>
      <c r="E599" t="s">
        <v>72</v>
      </c>
      <c r="F599" t="s">
        <v>825</v>
      </c>
      <c r="G599" s="27" t="s">
        <v>835</v>
      </c>
      <c r="H599" s="30">
        <v>15</v>
      </c>
      <c r="I599">
        <v>309.95</v>
      </c>
      <c r="J599">
        <v>4649.25</v>
      </c>
      <c r="K599" t="s">
        <v>45</v>
      </c>
      <c r="L599">
        <v>20210927</v>
      </c>
      <c r="M599" t="s">
        <v>73</v>
      </c>
    </row>
    <row r="600" spans="1:13">
      <c r="A600">
        <v>599</v>
      </c>
      <c r="B600" t="s">
        <v>665</v>
      </c>
      <c r="C600" t="s">
        <v>666</v>
      </c>
      <c r="D600" t="s">
        <v>666</v>
      </c>
      <c r="E600" t="s">
        <v>72</v>
      </c>
      <c r="F600" t="s">
        <v>667</v>
      </c>
      <c r="G600" s="27" t="s">
        <v>836</v>
      </c>
      <c r="H600" s="30">
        <v>2</v>
      </c>
      <c r="I600">
        <v>3924.35</v>
      </c>
      <c r="J600" s="54">
        <v>7848.7</v>
      </c>
      <c r="K600" t="s">
        <v>45</v>
      </c>
      <c r="L600">
        <v>20210924</v>
      </c>
      <c r="M600" t="s">
        <v>73</v>
      </c>
    </row>
    <row r="601" spans="1:13">
      <c r="A601">
        <v>600</v>
      </c>
      <c r="B601" t="s">
        <v>485</v>
      </c>
      <c r="C601" t="s">
        <v>486</v>
      </c>
      <c r="D601" t="s">
        <v>486</v>
      </c>
      <c r="E601" t="s">
        <v>72</v>
      </c>
      <c r="F601" t="s">
        <v>590</v>
      </c>
      <c r="G601" s="27" t="s">
        <v>836</v>
      </c>
      <c r="H601" s="30">
        <v>1</v>
      </c>
      <c r="I601">
        <v>2413.65</v>
      </c>
      <c r="J601">
        <v>2413.65</v>
      </c>
      <c r="K601" t="s">
        <v>45</v>
      </c>
      <c r="L601">
        <v>20210924</v>
      </c>
      <c r="M601" t="s">
        <v>73</v>
      </c>
    </row>
    <row r="602" spans="1:13">
      <c r="A602">
        <v>601</v>
      </c>
      <c r="B602" t="s">
        <v>746</v>
      </c>
      <c r="C602" t="s">
        <v>747</v>
      </c>
      <c r="D602" t="s">
        <v>747</v>
      </c>
      <c r="E602" t="s">
        <v>72</v>
      </c>
      <c r="F602" t="s">
        <v>748</v>
      </c>
      <c r="G602" s="27" t="s">
        <v>836</v>
      </c>
      <c r="H602" s="30">
        <v>6</v>
      </c>
      <c r="I602">
        <v>612.29999999999995</v>
      </c>
      <c r="J602">
        <v>3673.7999999999997</v>
      </c>
      <c r="K602" t="s">
        <v>45</v>
      </c>
      <c r="L602">
        <v>20210924</v>
      </c>
      <c r="M602" t="s">
        <v>73</v>
      </c>
    </row>
    <row r="603" spans="1:13">
      <c r="A603">
        <v>602</v>
      </c>
      <c r="B603" t="s">
        <v>651</v>
      </c>
      <c r="C603" t="s">
        <v>653</v>
      </c>
      <c r="D603" t="s">
        <v>653</v>
      </c>
      <c r="E603" t="s">
        <v>72</v>
      </c>
      <c r="F603" t="s">
        <v>654</v>
      </c>
      <c r="G603" s="27" t="s">
        <v>836</v>
      </c>
      <c r="H603" s="30">
        <v>1</v>
      </c>
      <c r="I603">
        <v>991.55</v>
      </c>
      <c r="J603">
        <v>991.55</v>
      </c>
      <c r="K603" t="s">
        <v>45</v>
      </c>
      <c r="L603">
        <v>20210924</v>
      </c>
      <c r="M603" t="s">
        <v>73</v>
      </c>
    </row>
    <row r="604" spans="1:13">
      <c r="A604">
        <v>603</v>
      </c>
      <c r="B604" t="s">
        <v>740</v>
      </c>
      <c r="C604" t="s">
        <v>740</v>
      </c>
      <c r="D604" t="s">
        <v>740</v>
      </c>
      <c r="E604" t="s">
        <v>72</v>
      </c>
      <c r="F604" t="s">
        <v>741</v>
      </c>
      <c r="G604" s="27" t="s">
        <v>836</v>
      </c>
      <c r="H604" s="30">
        <v>10</v>
      </c>
      <c r="I604">
        <v>350.95</v>
      </c>
      <c r="J604">
        <v>3509.5</v>
      </c>
      <c r="K604" t="s">
        <v>45</v>
      </c>
      <c r="L604">
        <v>20210924</v>
      </c>
      <c r="M604" t="s">
        <v>73</v>
      </c>
    </row>
    <row r="605" spans="1:13">
      <c r="A605">
        <v>604</v>
      </c>
      <c r="B605" t="s">
        <v>783</v>
      </c>
      <c r="C605" t="s">
        <v>784</v>
      </c>
      <c r="D605" t="s">
        <v>784</v>
      </c>
      <c r="E605" t="s">
        <v>72</v>
      </c>
      <c r="F605" t="s">
        <v>785</v>
      </c>
      <c r="G605" s="27" t="s">
        <v>836</v>
      </c>
      <c r="H605" s="30">
        <v>3</v>
      </c>
      <c r="I605">
        <v>1364.65</v>
      </c>
      <c r="J605">
        <v>4093.9500000000003</v>
      </c>
      <c r="K605" t="s">
        <v>45</v>
      </c>
      <c r="L605">
        <v>20210924</v>
      </c>
      <c r="M605" t="s">
        <v>73</v>
      </c>
    </row>
    <row r="606" spans="1:13">
      <c r="A606">
        <v>605</v>
      </c>
      <c r="B606" t="s">
        <v>823</v>
      </c>
      <c r="C606" t="s">
        <v>824</v>
      </c>
      <c r="D606" t="s">
        <v>824</v>
      </c>
      <c r="E606" t="s">
        <v>72</v>
      </c>
      <c r="F606" t="s">
        <v>825</v>
      </c>
      <c r="G606" s="27" t="s">
        <v>836</v>
      </c>
      <c r="H606" s="30">
        <v>10</v>
      </c>
      <c r="I606">
        <v>325.05</v>
      </c>
      <c r="J606">
        <v>3250.5</v>
      </c>
      <c r="K606" t="s">
        <v>45</v>
      </c>
      <c r="L606">
        <v>20210924</v>
      </c>
      <c r="M606" t="s">
        <v>73</v>
      </c>
    </row>
    <row r="607" spans="1:13">
      <c r="A607">
        <v>606</v>
      </c>
      <c r="B607" t="s">
        <v>674</v>
      </c>
      <c r="C607" t="s">
        <v>675</v>
      </c>
      <c r="D607" t="s">
        <v>675</v>
      </c>
      <c r="E607" t="s">
        <v>72</v>
      </c>
      <c r="F607" t="s">
        <v>676</v>
      </c>
      <c r="G607" s="27" t="s">
        <v>837</v>
      </c>
      <c r="H607" s="30">
        <v>10</v>
      </c>
      <c r="I607">
        <v>725.2</v>
      </c>
      <c r="J607">
        <v>7252</v>
      </c>
      <c r="K607" t="s">
        <v>45</v>
      </c>
      <c r="L607">
        <v>20210923</v>
      </c>
      <c r="M607" t="s">
        <v>73</v>
      </c>
    </row>
    <row r="608" spans="1:13">
      <c r="A608">
        <v>607</v>
      </c>
      <c r="B608" t="s">
        <v>746</v>
      </c>
      <c r="C608" t="s">
        <v>747</v>
      </c>
      <c r="D608" t="s">
        <v>747</v>
      </c>
      <c r="E608" t="s">
        <v>72</v>
      </c>
      <c r="F608" t="s">
        <v>748</v>
      </c>
      <c r="G608" s="27" t="s">
        <v>837</v>
      </c>
      <c r="H608" s="30">
        <v>6</v>
      </c>
      <c r="I608">
        <v>620.45000000000005</v>
      </c>
      <c r="J608">
        <v>3722.7000000000003</v>
      </c>
      <c r="K608" t="s">
        <v>45</v>
      </c>
      <c r="L608">
        <v>20210923</v>
      </c>
      <c r="M608" t="s">
        <v>73</v>
      </c>
    </row>
    <row r="609" spans="1:13">
      <c r="A609">
        <v>608</v>
      </c>
      <c r="B609" t="s">
        <v>668</v>
      </c>
      <c r="C609" t="s">
        <v>669</v>
      </c>
      <c r="D609" t="s">
        <v>669</v>
      </c>
      <c r="E609" t="s">
        <v>72</v>
      </c>
      <c r="F609" t="s">
        <v>670</v>
      </c>
      <c r="G609" s="27" t="s">
        <v>838</v>
      </c>
      <c r="H609" s="30">
        <v>1</v>
      </c>
      <c r="I609">
        <v>5177</v>
      </c>
      <c r="J609">
        <v>5177</v>
      </c>
      <c r="K609" t="s">
        <v>45</v>
      </c>
      <c r="L609">
        <v>20210922</v>
      </c>
      <c r="M609" t="s">
        <v>73</v>
      </c>
    </row>
    <row r="610" spans="1:13">
      <c r="A610">
        <v>609</v>
      </c>
      <c r="B610" t="s">
        <v>13</v>
      </c>
      <c r="C610" t="s">
        <v>83</v>
      </c>
      <c r="D610" t="s">
        <v>246</v>
      </c>
      <c r="E610" t="s">
        <v>76</v>
      </c>
      <c r="F610" t="s">
        <v>84</v>
      </c>
      <c r="G610" s="27" t="s">
        <v>838</v>
      </c>
      <c r="H610" s="30">
        <v>2</v>
      </c>
      <c r="I610">
        <v>1277.4000000000001</v>
      </c>
      <c r="J610">
        <v>2554.8000000000002</v>
      </c>
      <c r="K610" t="s">
        <v>45</v>
      </c>
      <c r="L610">
        <v>20210922</v>
      </c>
      <c r="M610" t="s">
        <v>73</v>
      </c>
    </row>
    <row r="611" spans="1:13">
      <c r="A611">
        <v>610</v>
      </c>
      <c r="B611" t="s">
        <v>783</v>
      </c>
      <c r="C611" t="s">
        <v>784</v>
      </c>
      <c r="D611" t="s">
        <v>784</v>
      </c>
      <c r="E611" t="s">
        <v>72</v>
      </c>
      <c r="F611" t="s">
        <v>785</v>
      </c>
      <c r="G611" s="27" t="s">
        <v>839</v>
      </c>
      <c r="H611" s="30">
        <v>12</v>
      </c>
      <c r="I611">
        <v>1384.85</v>
      </c>
      <c r="J611">
        <v>16618.199999999997</v>
      </c>
      <c r="K611" t="s">
        <v>45</v>
      </c>
      <c r="L611">
        <v>20210921</v>
      </c>
      <c r="M611" t="s">
        <v>73</v>
      </c>
    </row>
    <row r="612" spans="1:13">
      <c r="A612">
        <v>611</v>
      </c>
      <c r="B612" t="s">
        <v>674</v>
      </c>
      <c r="C612" t="s">
        <v>675</v>
      </c>
      <c r="D612" t="s">
        <v>675</v>
      </c>
      <c r="E612" t="s">
        <v>72</v>
      </c>
      <c r="F612" t="s">
        <v>676</v>
      </c>
      <c r="G612" s="27" t="s">
        <v>839</v>
      </c>
      <c r="H612" s="30">
        <v>10</v>
      </c>
      <c r="I612">
        <v>731.05</v>
      </c>
      <c r="J612">
        <v>7310.5</v>
      </c>
      <c r="K612" t="s">
        <v>45</v>
      </c>
      <c r="L612">
        <v>20210921</v>
      </c>
      <c r="M612" t="s">
        <v>73</v>
      </c>
    </row>
    <row r="613" spans="1:13">
      <c r="A613">
        <v>612</v>
      </c>
      <c r="B613" t="s">
        <v>485</v>
      </c>
      <c r="C613" t="s">
        <v>486</v>
      </c>
      <c r="D613" t="s">
        <v>486</v>
      </c>
      <c r="E613" t="s">
        <v>72</v>
      </c>
      <c r="F613" t="s">
        <v>590</v>
      </c>
      <c r="G613" s="27" t="s">
        <v>839</v>
      </c>
      <c r="H613" s="30">
        <v>4</v>
      </c>
      <c r="I613">
        <v>2390.5500000000002</v>
      </c>
      <c r="J613">
        <v>9562.2000000000007</v>
      </c>
      <c r="K613" t="s">
        <v>45</v>
      </c>
      <c r="L613">
        <v>20210921</v>
      </c>
      <c r="M613" t="s">
        <v>73</v>
      </c>
    </row>
    <row r="614" spans="1:13">
      <c r="A614">
        <v>613</v>
      </c>
      <c r="B614" t="s">
        <v>533</v>
      </c>
      <c r="C614" t="s">
        <v>534</v>
      </c>
      <c r="D614" t="s">
        <v>534</v>
      </c>
      <c r="E614" t="s">
        <v>72</v>
      </c>
      <c r="F614" t="s">
        <v>535</v>
      </c>
      <c r="G614" s="27" t="s">
        <v>839</v>
      </c>
      <c r="H614" s="30">
        <v>3</v>
      </c>
      <c r="I614">
        <v>3684.65</v>
      </c>
      <c r="J614">
        <v>11053.95</v>
      </c>
      <c r="K614" t="s">
        <v>45</v>
      </c>
      <c r="L614">
        <v>20210921</v>
      </c>
      <c r="M614" t="s">
        <v>73</v>
      </c>
    </row>
    <row r="615" spans="1:13">
      <c r="A615">
        <v>614</v>
      </c>
      <c r="B615" t="s">
        <v>527</v>
      </c>
      <c r="C615" t="s">
        <v>528</v>
      </c>
      <c r="D615" t="s">
        <v>528</v>
      </c>
      <c r="E615" t="s">
        <v>72</v>
      </c>
      <c r="F615" t="s">
        <v>529</v>
      </c>
      <c r="G615" s="27" t="s">
        <v>839</v>
      </c>
      <c r="H615" s="30">
        <v>8</v>
      </c>
      <c r="I615">
        <v>745.18</v>
      </c>
      <c r="J615">
        <v>5961.44</v>
      </c>
      <c r="K615" t="s">
        <v>45</v>
      </c>
      <c r="L615">
        <v>20210921</v>
      </c>
      <c r="M615" t="s">
        <v>73</v>
      </c>
    </row>
    <row r="616" spans="1:13">
      <c r="A616">
        <v>615</v>
      </c>
      <c r="B616" t="s">
        <v>746</v>
      </c>
      <c r="C616" t="s">
        <v>747</v>
      </c>
      <c r="D616" t="s">
        <v>747</v>
      </c>
      <c r="E616" t="s">
        <v>72</v>
      </c>
      <c r="F616" t="s">
        <v>748</v>
      </c>
      <c r="G616" s="27" t="s">
        <v>839</v>
      </c>
      <c r="H616" s="30">
        <v>15</v>
      </c>
      <c r="I616">
        <v>611</v>
      </c>
      <c r="J616">
        <v>9165</v>
      </c>
      <c r="K616" t="s">
        <v>45</v>
      </c>
      <c r="L616">
        <v>20210921</v>
      </c>
      <c r="M616" t="s">
        <v>73</v>
      </c>
    </row>
    <row r="617" spans="1:13">
      <c r="A617">
        <v>616</v>
      </c>
      <c r="B617" t="s">
        <v>27</v>
      </c>
      <c r="C617">
        <v>500288</v>
      </c>
      <c r="D617" t="s">
        <v>104</v>
      </c>
      <c r="E617" t="s">
        <v>72</v>
      </c>
      <c r="F617" t="s">
        <v>105</v>
      </c>
      <c r="G617" s="27" t="s">
        <v>839</v>
      </c>
      <c r="H617" s="30">
        <v>50</v>
      </c>
      <c r="I617">
        <v>57.05</v>
      </c>
      <c r="J617">
        <v>2852.5</v>
      </c>
      <c r="K617" t="s">
        <v>45</v>
      </c>
      <c r="L617">
        <v>20210921</v>
      </c>
      <c r="M617" t="s">
        <v>73</v>
      </c>
    </row>
    <row r="618" spans="1:13">
      <c r="A618">
        <v>617</v>
      </c>
      <c r="B618" t="s">
        <v>740</v>
      </c>
      <c r="C618" t="s">
        <v>740</v>
      </c>
      <c r="D618" t="s">
        <v>740</v>
      </c>
      <c r="E618" t="s">
        <v>72</v>
      </c>
      <c r="F618" t="s">
        <v>741</v>
      </c>
      <c r="G618" s="27" t="s">
        <v>839</v>
      </c>
      <c r="H618" s="30">
        <v>15</v>
      </c>
      <c r="I618">
        <v>350</v>
      </c>
      <c r="J618">
        <v>5250</v>
      </c>
      <c r="K618" t="s">
        <v>45</v>
      </c>
      <c r="L618">
        <v>20210921</v>
      </c>
      <c r="M618" t="s">
        <v>73</v>
      </c>
    </row>
    <row r="619" spans="1:13">
      <c r="A619">
        <v>618</v>
      </c>
      <c r="B619" t="s">
        <v>527</v>
      </c>
      <c r="C619" t="s">
        <v>528</v>
      </c>
      <c r="D619" t="s">
        <v>528</v>
      </c>
      <c r="E619" t="s">
        <v>72</v>
      </c>
      <c r="F619" t="s">
        <v>529</v>
      </c>
      <c r="G619" s="27" t="s">
        <v>841</v>
      </c>
      <c r="H619" s="30">
        <v>11</v>
      </c>
      <c r="I619">
        <v>760.09</v>
      </c>
      <c r="J619">
        <v>8360.99</v>
      </c>
      <c r="K619" t="s">
        <v>45</v>
      </c>
      <c r="L619">
        <v>20210920</v>
      </c>
      <c r="M619" t="s">
        <v>73</v>
      </c>
    </row>
    <row r="620" spans="1:13">
      <c r="A620">
        <v>619</v>
      </c>
      <c r="B620" t="s">
        <v>674</v>
      </c>
      <c r="C620" t="s">
        <v>675</v>
      </c>
      <c r="D620" t="s">
        <v>675</v>
      </c>
      <c r="E620" t="s">
        <v>72</v>
      </c>
      <c r="F620" t="s">
        <v>676</v>
      </c>
      <c r="G620" s="27" t="s">
        <v>841</v>
      </c>
      <c r="H620" s="30">
        <v>4</v>
      </c>
      <c r="I620">
        <v>739</v>
      </c>
      <c r="J620">
        <v>2956</v>
      </c>
      <c r="K620" t="s">
        <v>45</v>
      </c>
      <c r="L620">
        <v>20210920</v>
      </c>
      <c r="M620" t="s">
        <v>73</v>
      </c>
    </row>
    <row r="621" spans="1:13">
      <c r="A621">
        <v>620</v>
      </c>
      <c r="B621" t="s">
        <v>746</v>
      </c>
      <c r="C621" t="s">
        <v>747</v>
      </c>
      <c r="D621" t="s">
        <v>747</v>
      </c>
      <c r="E621" t="s">
        <v>72</v>
      </c>
      <c r="F621" t="s">
        <v>748</v>
      </c>
      <c r="G621" s="27" t="s">
        <v>841</v>
      </c>
      <c r="H621" s="30">
        <v>5</v>
      </c>
      <c r="I621">
        <v>639.20000000000005</v>
      </c>
      <c r="J621">
        <v>3196</v>
      </c>
      <c r="K621" t="s">
        <v>45</v>
      </c>
      <c r="L621">
        <v>20210920</v>
      </c>
      <c r="M621" t="s">
        <v>73</v>
      </c>
    </row>
    <row r="622" spans="1:13">
      <c r="A622">
        <v>621</v>
      </c>
      <c r="B622" t="s">
        <v>749</v>
      </c>
      <c r="C622" t="s">
        <v>742</v>
      </c>
      <c r="D622" t="s">
        <v>742</v>
      </c>
      <c r="E622" t="s">
        <v>72</v>
      </c>
      <c r="F622" t="s">
        <v>750</v>
      </c>
      <c r="G622" s="27" t="s">
        <v>841</v>
      </c>
      <c r="H622" s="30">
        <v>23</v>
      </c>
      <c r="I622">
        <v>109.43</v>
      </c>
      <c r="J622">
        <v>2516.8900000000003</v>
      </c>
      <c r="K622" t="s">
        <v>45</v>
      </c>
      <c r="L622">
        <v>20210920</v>
      </c>
      <c r="M622" t="s">
        <v>73</v>
      </c>
    </row>
    <row r="623" spans="1:13">
      <c r="A623">
        <v>622</v>
      </c>
      <c r="B623" t="s">
        <v>723</v>
      </c>
      <c r="C623" t="s">
        <v>840</v>
      </c>
      <c r="D623" t="s">
        <v>725</v>
      </c>
      <c r="E623" t="s">
        <v>72</v>
      </c>
      <c r="F623" t="s">
        <v>726</v>
      </c>
      <c r="G623" s="27" t="s">
        <v>841</v>
      </c>
      <c r="H623" s="30">
        <v>5</v>
      </c>
      <c r="I623">
        <v>588.5</v>
      </c>
      <c r="J623">
        <v>2942.5</v>
      </c>
      <c r="K623" t="s">
        <v>45</v>
      </c>
      <c r="L623">
        <v>20210920</v>
      </c>
      <c r="M623" t="s">
        <v>73</v>
      </c>
    </row>
    <row r="624" spans="1:13">
      <c r="A624">
        <v>623</v>
      </c>
      <c r="B624" t="s">
        <v>12</v>
      </c>
      <c r="C624" t="s">
        <v>410</v>
      </c>
      <c r="D624" t="s">
        <v>81</v>
      </c>
      <c r="E624" t="s">
        <v>72</v>
      </c>
      <c r="F624" t="s">
        <v>82</v>
      </c>
      <c r="G624" s="27" t="s">
        <v>841</v>
      </c>
      <c r="H624" s="30">
        <v>4</v>
      </c>
      <c r="I624">
        <v>871.65</v>
      </c>
      <c r="J624">
        <v>3486.6</v>
      </c>
      <c r="K624" t="s">
        <v>45</v>
      </c>
      <c r="L624">
        <v>20210920</v>
      </c>
      <c r="M624" t="s">
        <v>73</v>
      </c>
    </row>
    <row r="625" spans="1:13">
      <c r="A625">
        <v>624</v>
      </c>
      <c r="B625" t="s">
        <v>665</v>
      </c>
      <c r="C625" t="s">
        <v>666</v>
      </c>
      <c r="D625" t="s">
        <v>666</v>
      </c>
      <c r="E625" t="s">
        <v>72</v>
      </c>
      <c r="F625" t="s">
        <v>667</v>
      </c>
      <c r="G625" s="27" t="s">
        <v>841</v>
      </c>
      <c r="H625" s="30">
        <v>3</v>
      </c>
      <c r="I625">
        <v>3947.45</v>
      </c>
      <c r="J625">
        <v>11842.349999999999</v>
      </c>
      <c r="K625" t="s">
        <v>45</v>
      </c>
      <c r="L625">
        <v>20210920</v>
      </c>
      <c r="M625" t="s">
        <v>73</v>
      </c>
    </row>
    <row r="626" spans="1:13">
      <c r="A626">
        <v>625</v>
      </c>
      <c r="B626" t="s">
        <v>533</v>
      </c>
      <c r="C626" t="s">
        <v>534</v>
      </c>
      <c r="D626" t="s">
        <v>534</v>
      </c>
      <c r="E626" t="s">
        <v>72</v>
      </c>
      <c r="F626" t="s">
        <v>535</v>
      </c>
      <c r="G626" s="27" t="s">
        <v>841</v>
      </c>
      <c r="H626" s="30">
        <v>1</v>
      </c>
      <c r="I626">
        <v>3867</v>
      </c>
      <c r="J626">
        <v>3867</v>
      </c>
      <c r="K626" t="s">
        <v>45</v>
      </c>
      <c r="L626">
        <v>20210920</v>
      </c>
      <c r="M626" t="s">
        <v>73</v>
      </c>
    </row>
    <row r="627" spans="1:13">
      <c r="A627">
        <v>626</v>
      </c>
      <c r="B627" t="s">
        <v>671</v>
      </c>
      <c r="C627" t="s">
        <v>672</v>
      </c>
      <c r="D627" t="s">
        <v>672</v>
      </c>
      <c r="E627" t="s">
        <v>72</v>
      </c>
      <c r="F627" t="s">
        <v>673</v>
      </c>
      <c r="G627" s="27" t="s">
        <v>841</v>
      </c>
      <c r="H627" s="30">
        <v>1</v>
      </c>
      <c r="I627">
        <v>7390</v>
      </c>
      <c r="J627">
        <v>7390</v>
      </c>
      <c r="K627" t="s">
        <v>45</v>
      </c>
      <c r="L627">
        <v>20210920</v>
      </c>
      <c r="M627" t="s">
        <v>73</v>
      </c>
    </row>
    <row r="628" spans="1:13">
      <c r="A628">
        <v>627</v>
      </c>
      <c r="B628" t="s">
        <v>783</v>
      </c>
      <c r="C628" t="s">
        <v>784</v>
      </c>
      <c r="D628" t="s">
        <v>784</v>
      </c>
      <c r="E628" t="s">
        <v>72</v>
      </c>
      <c r="F628" t="s">
        <v>785</v>
      </c>
      <c r="G628" s="27" t="s">
        <v>841</v>
      </c>
      <c r="H628" s="30">
        <v>3</v>
      </c>
      <c r="I628">
        <v>1440.05</v>
      </c>
      <c r="J628">
        <v>4320.1499999999996</v>
      </c>
      <c r="K628" t="s">
        <v>45</v>
      </c>
      <c r="L628">
        <v>20210920</v>
      </c>
      <c r="M628" t="s">
        <v>73</v>
      </c>
    </row>
    <row r="629" spans="1:13">
      <c r="A629">
        <v>628</v>
      </c>
      <c r="B629" t="s">
        <v>771</v>
      </c>
      <c r="C629" t="s">
        <v>772</v>
      </c>
      <c r="D629" t="s">
        <v>772</v>
      </c>
      <c r="E629" t="s">
        <v>72</v>
      </c>
      <c r="F629" t="s">
        <v>773</v>
      </c>
      <c r="G629" s="27" t="s">
        <v>841</v>
      </c>
      <c r="H629" s="30">
        <v>149</v>
      </c>
      <c r="I629">
        <v>336.55</v>
      </c>
      <c r="J629">
        <v>50145.950000000004</v>
      </c>
      <c r="K629" t="s">
        <v>45</v>
      </c>
      <c r="L629">
        <v>20210920</v>
      </c>
      <c r="M629" t="s">
        <v>73</v>
      </c>
    </row>
    <row r="630" spans="1:13">
      <c r="A630">
        <v>629</v>
      </c>
      <c r="B630" t="s">
        <v>533</v>
      </c>
      <c r="C630" t="s">
        <v>534</v>
      </c>
      <c r="D630" t="s">
        <v>534</v>
      </c>
      <c r="E630" t="s">
        <v>72</v>
      </c>
      <c r="F630" t="s">
        <v>535</v>
      </c>
      <c r="G630" s="27" t="s">
        <v>826</v>
      </c>
      <c r="H630" s="30">
        <v>3</v>
      </c>
      <c r="I630">
        <v>4041.4</v>
      </c>
      <c r="J630">
        <v>12124.2</v>
      </c>
      <c r="K630" t="s">
        <v>45</v>
      </c>
      <c r="L630">
        <v>20210917</v>
      </c>
      <c r="M630" t="s">
        <v>73</v>
      </c>
    </row>
    <row r="631" spans="1:13">
      <c r="A631">
        <v>630</v>
      </c>
      <c r="B631" t="s">
        <v>665</v>
      </c>
      <c r="C631" t="s">
        <v>666</v>
      </c>
      <c r="D631" t="s">
        <v>666</v>
      </c>
      <c r="E631" t="s">
        <v>72</v>
      </c>
      <c r="F631" t="s">
        <v>667</v>
      </c>
      <c r="G631" s="27" t="s">
        <v>826</v>
      </c>
      <c r="H631" s="30">
        <v>3</v>
      </c>
      <c r="I631">
        <v>4005.83</v>
      </c>
      <c r="J631">
        <v>12017.49</v>
      </c>
      <c r="K631" t="s">
        <v>45</v>
      </c>
      <c r="L631">
        <v>20210917</v>
      </c>
      <c r="M631" t="s">
        <v>73</v>
      </c>
    </row>
    <row r="632" spans="1:13">
      <c r="A632">
        <v>631</v>
      </c>
      <c r="B632" t="s">
        <v>533</v>
      </c>
      <c r="C632" t="s">
        <v>534</v>
      </c>
      <c r="D632" t="s">
        <v>534</v>
      </c>
      <c r="E632" t="s">
        <v>72</v>
      </c>
      <c r="F632" t="s">
        <v>535</v>
      </c>
      <c r="G632" s="27" t="s">
        <v>827</v>
      </c>
      <c r="H632" s="30">
        <v>1</v>
      </c>
      <c r="I632">
        <v>4078</v>
      </c>
      <c r="J632">
        <v>4078</v>
      </c>
      <c r="K632" t="s">
        <v>45</v>
      </c>
      <c r="L632">
        <v>20210916</v>
      </c>
      <c r="M632" t="s">
        <v>73</v>
      </c>
    </row>
    <row r="633" spans="1:13">
      <c r="A633">
        <v>632</v>
      </c>
      <c r="B633" t="s">
        <v>665</v>
      </c>
      <c r="C633" t="s">
        <v>666</v>
      </c>
      <c r="D633" t="s">
        <v>666</v>
      </c>
      <c r="E633" t="s">
        <v>72</v>
      </c>
      <c r="F633" t="s">
        <v>667</v>
      </c>
      <c r="G633" s="27" t="s">
        <v>827</v>
      </c>
      <c r="H633" s="30">
        <v>1</v>
      </c>
      <c r="I633">
        <v>4113.25</v>
      </c>
      <c r="J633">
        <v>4113.25</v>
      </c>
      <c r="K633" t="s">
        <v>45</v>
      </c>
      <c r="L633">
        <v>20210916</v>
      </c>
      <c r="M633" t="s">
        <v>73</v>
      </c>
    </row>
    <row r="634" spans="1:13">
      <c r="A634">
        <v>633</v>
      </c>
      <c r="B634" t="s">
        <v>12</v>
      </c>
      <c r="C634" t="s">
        <v>410</v>
      </c>
      <c r="D634" t="s">
        <v>81</v>
      </c>
      <c r="E634" t="s">
        <v>72</v>
      </c>
      <c r="F634" t="s">
        <v>82</v>
      </c>
      <c r="G634" s="27" t="s">
        <v>827</v>
      </c>
      <c r="H634" s="30">
        <v>13</v>
      </c>
      <c r="I634">
        <v>893.67</v>
      </c>
      <c r="J634">
        <v>11617.71</v>
      </c>
      <c r="K634" t="s">
        <v>45</v>
      </c>
      <c r="L634">
        <v>20210916</v>
      </c>
      <c r="M634" t="s">
        <v>73</v>
      </c>
    </row>
    <row r="635" spans="1:13">
      <c r="A635">
        <v>634</v>
      </c>
      <c r="B635" t="s">
        <v>823</v>
      </c>
      <c r="C635" t="s">
        <v>824</v>
      </c>
      <c r="D635" t="s">
        <v>824</v>
      </c>
      <c r="E635" t="s">
        <v>72</v>
      </c>
      <c r="F635" t="s">
        <v>825</v>
      </c>
      <c r="G635" s="27" t="s">
        <v>827</v>
      </c>
      <c r="H635" s="30">
        <v>15</v>
      </c>
      <c r="I635">
        <v>253.45</v>
      </c>
      <c r="J635">
        <v>3801.75</v>
      </c>
      <c r="K635" t="s">
        <v>45</v>
      </c>
      <c r="L635">
        <v>20210916</v>
      </c>
      <c r="M635" t="s">
        <v>73</v>
      </c>
    </row>
    <row r="636" spans="1:13">
      <c r="A636">
        <v>635</v>
      </c>
      <c r="B636" t="s">
        <v>649</v>
      </c>
      <c r="C636" t="s">
        <v>648</v>
      </c>
      <c r="D636" t="s">
        <v>648</v>
      </c>
      <c r="E636" t="s">
        <v>72</v>
      </c>
      <c r="F636" t="s">
        <v>652</v>
      </c>
      <c r="G636" s="27" t="s">
        <v>828</v>
      </c>
      <c r="H636" s="30">
        <v>5</v>
      </c>
      <c r="I636">
        <v>196</v>
      </c>
      <c r="J636">
        <v>980</v>
      </c>
      <c r="K636" t="s">
        <v>45</v>
      </c>
      <c r="L636">
        <v>20210915</v>
      </c>
      <c r="M636" t="s">
        <v>73</v>
      </c>
    </row>
    <row r="637" spans="1:13">
      <c r="A637">
        <v>636</v>
      </c>
      <c r="B637" t="s">
        <v>823</v>
      </c>
      <c r="C637" t="s">
        <v>824</v>
      </c>
      <c r="D637" t="s">
        <v>824</v>
      </c>
      <c r="E637" t="s">
        <v>72</v>
      </c>
      <c r="F637" t="s">
        <v>825</v>
      </c>
      <c r="G637" s="27" t="s">
        <v>828</v>
      </c>
      <c r="H637" s="30">
        <v>250</v>
      </c>
      <c r="I637">
        <v>267.02</v>
      </c>
      <c r="J637">
        <v>66755</v>
      </c>
      <c r="K637" t="s">
        <v>45</v>
      </c>
      <c r="L637">
        <v>20210915</v>
      </c>
      <c r="M637" t="s">
        <v>73</v>
      </c>
    </row>
    <row r="638" spans="1:13">
      <c r="A638">
        <v>637</v>
      </c>
      <c r="B638" t="s">
        <v>771</v>
      </c>
      <c r="C638" t="s">
        <v>772</v>
      </c>
      <c r="D638" t="s">
        <v>772</v>
      </c>
      <c r="E638" t="s">
        <v>72</v>
      </c>
      <c r="F638" t="s">
        <v>773</v>
      </c>
      <c r="G638" s="27" t="s">
        <v>828</v>
      </c>
      <c r="H638" s="30">
        <v>5</v>
      </c>
      <c r="I638">
        <v>346.9</v>
      </c>
      <c r="J638">
        <v>1734.5</v>
      </c>
      <c r="K638" t="s">
        <v>45</v>
      </c>
      <c r="L638">
        <v>20210915</v>
      </c>
      <c r="M638" t="s">
        <v>73</v>
      </c>
    </row>
    <row r="639" spans="1:13">
      <c r="A639">
        <v>638</v>
      </c>
      <c r="B639" t="s">
        <v>414</v>
      </c>
      <c r="C639" t="s">
        <v>414</v>
      </c>
      <c r="D639" t="s">
        <v>414</v>
      </c>
      <c r="E639" t="s">
        <v>72</v>
      </c>
      <c r="F639" t="s">
        <v>415</v>
      </c>
      <c r="G639" s="27" t="s">
        <v>828</v>
      </c>
      <c r="H639" s="30">
        <v>20</v>
      </c>
      <c r="I639">
        <v>746.72199999999998</v>
      </c>
      <c r="J639">
        <v>14934.439999999999</v>
      </c>
      <c r="K639" t="s">
        <v>45</v>
      </c>
      <c r="L639">
        <v>20210915</v>
      </c>
      <c r="M639" t="s">
        <v>73</v>
      </c>
    </row>
    <row r="640" spans="1:13">
      <c r="A640">
        <v>639</v>
      </c>
      <c r="B640" t="s">
        <v>12</v>
      </c>
      <c r="C640" t="s">
        <v>410</v>
      </c>
      <c r="D640" t="s">
        <v>81</v>
      </c>
      <c r="E640" t="s">
        <v>72</v>
      </c>
      <c r="F640" t="s">
        <v>82</v>
      </c>
      <c r="G640" s="27" t="s">
        <v>828</v>
      </c>
      <c r="H640" s="30">
        <v>4</v>
      </c>
      <c r="I640">
        <v>912.8</v>
      </c>
      <c r="J640">
        <v>3651.2</v>
      </c>
      <c r="K640" t="s">
        <v>45</v>
      </c>
      <c r="L640">
        <v>20210915</v>
      </c>
      <c r="M640" t="s">
        <v>73</v>
      </c>
    </row>
    <row r="641" spans="1:13">
      <c r="A641">
        <v>640</v>
      </c>
      <c r="B641" t="s">
        <v>12</v>
      </c>
      <c r="C641" t="s">
        <v>410</v>
      </c>
      <c r="D641" t="s">
        <v>81</v>
      </c>
      <c r="E641" t="s">
        <v>72</v>
      </c>
      <c r="F641" t="s">
        <v>82</v>
      </c>
      <c r="G641" s="27" t="s">
        <v>829</v>
      </c>
      <c r="H641" s="30">
        <v>7</v>
      </c>
      <c r="I641">
        <v>930.29</v>
      </c>
      <c r="J641">
        <v>6512.03</v>
      </c>
      <c r="K641" t="s">
        <v>45</v>
      </c>
      <c r="L641">
        <v>20210914</v>
      </c>
      <c r="M641" t="s">
        <v>73</v>
      </c>
    </row>
    <row r="642" spans="1:13">
      <c r="A642">
        <v>641</v>
      </c>
      <c r="B642" t="s">
        <v>527</v>
      </c>
      <c r="C642" t="s">
        <v>528</v>
      </c>
      <c r="D642" t="s">
        <v>528</v>
      </c>
      <c r="E642" t="s">
        <v>72</v>
      </c>
      <c r="F642" t="s">
        <v>529</v>
      </c>
      <c r="G642" s="27" t="s">
        <v>829</v>
      </c>
      <c r="H642" s="30">
        <v>6</v>
      </c>
      <c r="I642">
        <v>776.09</v>
      </c>
      <c r="J642">
        <v>4656.54</v>
      </c>
      <c r="K642" t="s">
        <v>45</v>
      </c>
      <c r="L642">
        <v>20210914</v>
      </c>
      <c r="M642" t="s">
        <v>73</v>
      </c>
    </row>
    <row r="643" spans="1:13">
      <c r="A643">
        <v>642</v>
      </c>
      <c r="B643" t="s">
        <v>746</v>
      </c>
      <c r="C643" t="s">
        <v>747</v>
      </c>
      <c r="D643" t="s">
        <v>747</v>
      </c>
      <c r="E643" t="s">
        <v>72</v>
      </c>
      <c r="F643" t="s">
        <v>748</v>
      </c>
      <c r="G643" s="27" t="s">
        <v>830</v>
      </c>
      <c r="H643" s="30">
        <v>10</v>
      </c>
      <c r="I643">
        <v>652.85</v>
      </c>
      <c r="J643">
        <v>6528.5</v>
      </c>
      <c r="K643" t="s">
        <v>45</v>
      </c>
      <c r="L643">
        <v>20210913</v>
      </c>
      <c r="M643" t="s">
        <v>73</v>
      </c>
    </row>
    <row r="644" spans="1:13">
      <c r="A644">
        <v>643</v>
      </c>
      <c r="B644" t="s">
        <v>665</v>
      </c>
      <c r="C644" t="s">
        <v>666</v>
      </c>
      <c r="D644" t="s">
        <v>666</v>
      </c>
      <c r="E644" t="s">
        <v>72</v>
      </c>
      <c r="F644" t="s">
        <v>667</v>
      </c>
      <c r="G644" s="27" t="s">
        <v>830</v>
      </c>
      <c r="H644">
        <v>1</v>
      </c>
      <c r="I644">
        <v>4148.3999999999996</v>
      </c>
      <c r="J644">
        <v>4148.3999999999996</v>
      </c>
      <c r="K644" t="s">
        <v>45</v>
      </c>
      <c r="L644">
        <v>20210913</v>
      </c>
      <c r="M644" t="s">
        <v>73</v>
      </c>
    </row>
    <row r="645" spans="1:13">
      <c r="A645">
        <v>644</v>
      </c>
      <c r="B645" t="s">
        <v>674</v>
      </c>
      <c r="C645" t="s">
        <v>675</v>
      </c>
      <c r="D645" t="s">
        <v>675</v>
      </c>
      <c r="E645" t="s">
        <v>72</v>
      </c>
      <c r="F645" t="s">
        <v>676</v>
      </c>
      <c r="G645" s="27" t="s">
        <v>830</v>
      </c>
      <c r="H645">
        <v>5</v>
      </c>
      <c r="I645">
        <v>731.2</v>
      </c>
      <c r="J645">
        <v>3656</v>
      </c>
      <c r="K645" t="s">
        <v>45</v>
      </c>
      <c r="L645">
        <v>20210913</v>
      </c>
      <c r="M645" t="s">
        <v>73</v>
      </c>
    </row>
    <row r="646" spans="1:13">
      <c r="A646">
        <v>645</v>
      </c>
      <c r="B646" t="s">
        <v>812</v>
      </c>
      <c r="C646" t="s">
        <v>813</v>
      </c>
      <c r="D646" t="s">
        <v>813</v>
      </c>
      <c r="E646" t="s">
        <v>72</v>
      </c>
      <c r="F646" t="s">
        <v>814</v>
      </c>
      <c r="G646" s="27" t="s">
        <v>816</v>
      </c>
      <c r="H646">
        <v>350</v>
      </c>
      <c r="I646">
        <v>388.03</v>
      </c>
      <c r="J646">
        <v>135810.5</v>
      </c>
      <c r="K646" t="s">
        <v>45</v>
      </c>
      <c r="L646">
        <v>20210909</v>
      </c>
      <c r="M646" t="s">
        <v>73</v>
      </c>
    </row>
    <row r="647" spans="1:13">
      <c r="A647">
        <v>646</v>
      </c>
      <c r="B647" t="s">
        <v>749</v>
      </c>
      <c r="C647" t="s">
        <v>742</v>
      </c>
      <c r="D647" t="s">
        <v>742</v>
      </c>
      <c r="E647" t="s">
        <v>72</v>
      </c>
      <c r="F647" t="s">
        <v>750</v>
      </c>
      <c r="G647" s="27" t="s">
        <v>817</v>
      </c>
      <c r="H647">
        <v>10</v>
      </c>
      <c r="I647">
        <v>106.95</v>
      </c>
      <c r="J647">
        <v>1069.5</v>
      </c>
      <c r="K647" t="s">
        <v>45</v>
      </c>
      <c r="L647">
        <v>20210908</v>
      </c>
      <c r="M647" t="s">
        <v>73</v>
      </c>
    </row>
    <row r="648" spans="1:13">
      <c r="A648">
        <v>647</v>
      </c>
      <c r="B648" t="s">
        <v>533</v>
      </c>
      <c r="C648" t="s">
        <v>534</v>
      </c>
      <c r="D648" t="s">
        <v>534</v>
      </c>
      <c r="E648" t="s">
        <v>72</v>
      </c>
      <c r="F648" t="s">
        <v>535</v>
      </c>
      <c r="G648" s="27" t="s">
        <v>818</v>
      </c>
      <c r="H648">
        <v>1</v>
      </c>
      <c r="I648">
        <v>4095.1</v>
      </c>
      <c r="J648">
        <v>4095.1</v>
      </c>
      <c r="K648" t="s">
        <v>45</v>
      </c>
      <c r="L648">
        <v>20210907</v>
      </c>
      <c r="M648" t="s">
        <v>73</v>
      </c>
    </row>
    <row r="649" spans="1:13">
      <c r="A649">
        <v>648</v>
      </c>
      <c r="B649" t="s">
        <v>533</v>
      </c>
      <c r="C649" t="s">
        <v>534</v>
      </c>
      <c r="D649" t="s">
        <v>534</v>
      </c>
      <c r="E649" t="s">
        <v>72</v>
      </c>
      <c r="F649" t="s">
        <v>535</v>
      </c>
      <c r="G649" s="27" t="s">
        <v>819</v>
      </c>
      <c r="H649">
        <v>1</v>
      </c>
      <c r="I649">
        <v>4152.3999999999996</v>
      </c>
      <c r="J649">
        <v>4152.3999999999996</v>
      </c>
      <c r="K649" t="s">
        <v>45</v>
      </c>
      <c r="L649">
        <v>20210902</v>
      </c>
      <c r="M649" t="s">
        <v>73</v>
      </c>
    </row>
    <row r="650" spans="1:13">
      <c r="A650">
        <v>649</v>
      </c>
      <c r="B650" t="s">
        <v>194</v>
      </c>
      <c r="C650" t="s">
        <v>195</v>
      </c>
      <c r="D650" t="s">
        <v>195</v>
      </c>
      <c r="E650" t="s">
        <v>72</v>
      </c>
      <c r="F650" t="s">
        <v>196</v>
      </c>
      <c r="G650" s="27" t="s">
        <v>820</v>
      </c>
      <c r="H650">
        <v>10</v>
      </c>
      <c r="I650">
        <v>1682.7</v>
      </c>
      <c r="J650">
        <v>16827</v>
      </c>
      <c r="K650" t="s">
        <v>45</v>
      </c>
      <c r="L650">
        <v>20210901</v>
      </c>
      <c r="M650" t="s">
        <v>73</v>
      </c>
    </row>
    <row r="651" spans="1:13">
      <c r="A651">
        <v>650</v>
      </c>
      <c r="B651" t="s">
        <v>746</v>
      </c>
      <c r="C651" t="s">
        <v>747</v>
      </c>
      <c r="D651" t="s">
        <v>747</v>
      </c>
      <c r="E651" t="s">
        <v>72</v>
      </c>
      <c r="F651" t="s">
        <v>748</v>
      </c>
      <c r="G651" s="27" t="s">
        <v>820</v>
      </c>
      <c r="H651">
        <v>10</v>
      </c>
      <c r="I651">
        <v>664.99</v>
      </c>
      <c r="J651">
        <v>6649.9</v>
      </c>
      <c r="K651" t="s">
        <v>45</v>
      </c>
      <c r="L651">
        <v>20210901</v>
      </c>
      <c r="M651" t="s">
        <v>73</v>
      </c>
    </row>
    <row r="652" spans="1:13">
      <c r="A652">
        <v>651</v>
      </c>
      <c r="B652" t="s">
        <v>665</v>
      </c>
      <c r="C652" t="s">
        <v>666</v>
      </c>
      <c r="D652" t="s">
        <v>666</v>
      </c>
      <c r="E652" t="s">
        <v>72</v>
      </c>
      <c r="F652" t="s">
        <v>667</v>
      </c>
      <c r="G652" s="27" t="s">
        <v>821</v>
      </c>
      <c r="H652">
        <v>1</v>
      </c>
      <c r="I652">
        <v>3960.25</v>
      </c>
      <c r="J652">
        <v>3960.25</v>
      </c>
      <c r="K652" t="s">
        <v>45</v>
      </c>
      <c r="L652">
        <v>20210831</v>
      </c>
      <c r="M652" t="s">
        <v>73</v>
      </c>
    </row>
    <row r="653" spans="1:13">
      <c r="A653">
        <v>652</v>
      </c>
      <c r="B653" t="s">
        <v>29</v>
      </c>
      <c r="C653" t="s">
        <v>107</v>
      </c>
      <c r="D653" t="s">
        <v>107</v>
      </c>
      <c r="E653" t="s">
        <v>72</v>
      </c>
      <c r="F653" t="s">
        <v>108</v>
      </c>
      <c r="G653" s="27" t="s">
        <v>821</v>
      </c>
      <c r="H653">
        <v>1</v>
      </c>
      <c r="I653">
        <v>2273.85</v>
      </c>
      <c r="J653">
        <v>2273.85</v>
      </c>
      <c r="K653" t="s">
        <v>45</v>
      </c>
      <c r="L653">
        <v>20210831</v>
      </c>
      <c r="M653" t="s">
        <v>73</v>
      </c>
    </row>
    <row r="654" spans="1:13">
      <c r="A654">
        <v>653</v>
      </c>
      <c r="B654" t="s">
        <v>13</v>
      </c>
      <c r="C654" t="s">
        <v>83</v>
      </c>
      <c r="D654" t="s">
        <v>246</v>
      </c>
      <c r="E654" t="s">
        <v>76</v>
      </c>
      <c r="F654" t="s">
        <v>84</v>
      </c>
      <c r="G654" s="27" t="s">
        <v>821</v>
      </c>
      <c r="H654">
        <v>2</v>
      </c>
      <c r="I654">
        <v>1329.5</v>
      </c>
      <c r="J654">
        <v>2659</v>
      </c>
      <c r="K654" t="s">
        <v>45</v>
      </c>
      <c r="L654">
        <v>20210831</v>
      </c>
      <c r="M654" t="s">
        <v>73</v>
      </c>
    </row>
    <row r="655" spans="1:13">
      <c r="A655">
        <v>654</v>
      </c>
      <c r="B655" t="s">
        <v>746</v>
      </c>
      <c r="C655" t="s">
        <v>747</v>
      </c>
      <c r="D655" t="s">
        <v>747</v>
      </c>
      <c r="E655" t="s">
        <v>72</v>
      </c>
      <c r="F655" t="s">
        <v>748</v>
      </c>
      <c r="G655" s="27" t="s">
        <v>822</v>
      </c>
      <c r="H655">
        <v>25</v>
      </c>
      <c r="I655">
        <v>653.6</v>
      </c>
      <c r="J655">
        <v>16340</v>
      </c>
      <c r="K655" t="s">
        <v>45</v>
      </c>
      <c r="L655">
        <v>20210830</v>
      </c>
      <c r="M655" t="s">
        <v>73</v>
      </c>
    </row>
    <row r="656" spans="1:13">
      <c r="A656">
        <v>655</v>
      </c>
      <c r="B656" t="s">
        <v>527</v>
      </c>
      <c r="C656" t="s">
        <v>528</v>
      </c>
      <c r="D656" t="s">
        <v>528</v>
      </c>
      <c r="E656" t="s">
        <v>72</v>
      </c>
      <c r="F656" t="s">
        <v>529</v>
      </c>
      <c r="G656" s="27" t="s">
        <v>806</v>
      </c>
      <c r="H656">
        <v>21</v>
      </c>
      <c r="I656">
        <v>778.43</v>
      </c>
      <c r="J656">
        <v>16347.029999999999</v>
      </c>
      <c r="K656" t="s">
        <v>45</v>
      </c>
      <c r="L656">
        <v>20210826</v>
      </c>
      <c r="M656" t="s">
        <v>73</v>
      </c>
    </row>
    <row r="657" spans="1:13">
      <c r="A657">
        <v>656</v>
      </c>
      <c r="B657" t="s">
        <v>783</v>
      </c>
      <c r="C657" t="s">
        <v>784</v>
      </c>
      <c r="D657" t="s">
        <v>784</v>
      </c>
      <c r="E657" t="s">
        <v>72</v>
      </c>
      <c r="F657" t="s">
        <v>785</v>
      </c>
      <c r="G657" s="27" t="s">
        <v>806</v>
      </c>
      <c r="H657">
        <v>4</v>
      </c>
      <c r="I657">
        <v>1451.65</v>
      </c>
      <c r="J657">
        <v>5806.6</v>
      </c>
      <c r="K657" t="s">
        <v>45</v>
      </c>
      <c r="L657">
        <v>20210826</v>
      </c>
      <c r="M657" t="s">
        <v>73</v>
      </c>
    </row>
    <row r="658" spans="1:13">
      <c r="A658">
        <v>657</v>
      </c>
      <c r="B658" t="s">
        <v>29</v>
      </c>
      <c r="C658" t="s">
        <v>107</v>
      </c>
      <c r="D658" t="s">
        <v>107</v>
      </c>
      <c r="E658" t="s">
        <v>72</v>
      </c>
      <c r="F658" t="s">
        <v>108</v>
      </c>
      <c r="G658" s="27" t="s">
        <v>807</v>
      </c>
      <c r="H658">
        <v>2</v>
      </c>
      <c r="I658">
        <v>2216.1999999999998</v>
      </c>
      <c r="J658">
        <v>4432.3999999999996</v>
      </c>
      <c r="K658" t="s">
        <v>45</v>
      </c>
      <c r="L658">
        <v>20210825</v>
      </c>
      <c r="M658" t="s">
        <v>73</v>
      </c>
    </row>
    <row r="659" spans="1:13">
      <c r="A659">
        <v>658</v>
      </c>
      <c r="B659" t="s">
        <v>803</v>
      </c>
      <c r="C659" t="s">
        <v>794</v>
      </c>
      <c r="D659" t="s">
        <v>794</v>
      </c>
      <c r="E659" t="s">
        <v>72</v>
      </c>
      <c r="F659" t="s">
        <v>804</v>
      </c>
      <c r="G659" s="27" t="s">
        <v>807</v>
      </c>
      <c r="H659">
        <v>142</v>
      </c>
      <c r="I659">
        <v>337.71</v>
      </c>
      <c r="J659">
        <v>47954.82</v>
      </c>
      <c r="K659" t="s">
        <v>45</v>
      </c>
      <c r="L659">
        <v>20210825</v>
      </c>
      <c r="M659" t="s">
        <v>73</v>
      </c>
    </row>
    <row r="660" spans="1:13">
      <c r="A660">
        <v>659</v>
      </c>
      <c r="B660" t="s">
        <v>677</v>
      </c>
      <c r="C660" t="s">
        <v>678</v>
      </c>
      <c r="D660" t="s">
        <v>678</v>
      </c>
      <c r="E660" t="s">
        <v>72</v>
      </c>
      <c r="F660" t="s">
        <v>679</v>
      </c>
      <c r="G660" s="27" t="s">
        <v>807</v>
      </c>
      <c r="H660">
        <v>5</v>
      </c>
      <c r="I660">
        <v>556.42999999999995</v>
      </c>
      <c r="J660">
        <v>2782.1499999999996</v>
      </c>
      <c r="K660" t="s">
        <v>45</v>
      </c>
      <c r="L660">
        <v>20210825</v>
      </c>
      <c r="M660" t="s">
        <v>73</v>
      </c>
    </row>
    <row r="661" spans="1:13">
      <c r="A661">
        <v>660</v>
      </c>
      <c r="B661" t="s">
        <v>533</v>
      </c>
      <c r="C661" t="s">
        <v>534</v>
      </c>
      <c r="D661" t="s">
        <v>534</v>
      </c>
      <c r="E661" t="s">
        <v>72</v>
      </c>
      <c r="F661" t="s">
        <v>535</v>
      </c>
      <c r="G661" s="27" t="s">
        <v>807</v>
      </c>
      <c r="H661">
        <v>2</v>
      </c>
      <c r="I661">
        <v>3954</v>
      </c>
      <c r="J661">
        <v>7908</v>
      </c>
      <c r="K661" t="s">
        <v>45</v>
      </c>
      <c r="L661">
        <v>20210825</v>
      </c>
      <c r="M661" t="s">
        <v>73</v>
      </c>
    </row>
    <row r="662" spans="1:13">
      <c r="A662">
        <v>661</v>
      </c>
      <c r="B662" t="s">
        <v>194</v>
      </c>
      <c r="C662" t="s">
        <v>195</v>
      </c>
      <c r="D662" t="s">
        <v>195</v>
      </c>
      <c r="E662" t="s">
        <v>72</v>
      </c>
      <c r="F662" t="s">
        <v>196</v>
      </c>
      <c r="G662" s="27" t="s">
        <v>807</v>
      </c>
      <c r="H662">
        <v>10</v>
      </c>
      <c r="I662">
        <v>1605.3</v>
      </c>
      <c r="J662">
        <v>16053</v>
      </c>
      <c r="K662" t="s">
        <v>45</v>
      </c>
      <c r="L662">
        <v>20210825</v>
      </c>
      <c r="M662" t="s">
        <v>73</v>
      </c>
    </row>
    <row r="663" spans="1:13">
      <c r="A663">
        <v>662</v>
      </c>
      <c r="B663" t="s">
        <v>749</v>
      </c>
      <c r="C663" t="s">
        <v>742</v>
      </c>
      <c r="D663" t="s">
        <v>742</v>
      </c>
      <c r="E663" t="s">
        <v>72</v>
      </c>
      <c r="F663" t="s">
        <v>750</v>
      </c>
      <c r="G663" s="27" t="s">
        <v>808</v>
      </c>
      <c r="H663">
        <v>130</v>
      </c>
      <c r="I663">
        <v>97.93</v>
      </c>
      <c r="J663">
        <v>12730.900000000001</v>
      </c>
      <c r="K663" t="s">
        <v>45</v>
      </c>
      <c r="L663">
        <v>20210823</v>
      </c>
      <c r="M663" t="s">
        <v>73</v>
      </c>
    </row>
    <row r="664" spans="1:13">
      <c r="A664">
        <v>663</v>
      </c>
      <c r="B664" t="s">
        <v>610</v>
      </c>
      <c r="C664" t="s">
        <v>695</v>
      </c>
      <c r="D664" t="s">
        <v>688</v>
      </c>
      <c r="E664" t="s">
        <v>72</v>
      </c>
      <c r="F664" t="s">
        <v>612</v>
      </c>
      <c r="G664" s="27" t="s">
        <v>808</v>
      </c>
      <c r="H664">
        <v>10</v>
      </c>
      <c r="I664">
        <v>301.97500000000002</v>
      </c>
      <c r="J664">
        <v>3019.75</v>
      </c>
      <c r="K664" t="s">
        <v>45</v>
      </c>
      <c r="L664">
        <v>20210823</v>
      </c>
      <c r="M664" t="s">
        <v>73</v>
      </c>
    </row>
    <row r="665" spans="1:13">
      <c r="A665">
        <v>664</v>
      </c>
      <c r="B665" t="s">
        <v>533</v>
      </c>
      <c r="C665" t="s">
        <v>534</v>
      </c>
      <c r="D665" t="s">
        <v>534</v>
      </c>
      <c r="E665" t="s">
        <v>72</v>
      </c>
      <c r="F665" t="s">
        <v>535</v>
      </c>
      <c r="G665" s="27" t="s">
        <v>808</v>
      </c>
      <c r="H665">
        <v>2</v>
      </c>
      <c r="I665">
        <v>4031.5</v>
      </c>
      <c r="J665">
        <v>8063</v>
      </c>
      <c r="K665" t="s">
        <v>45</v>
      </c>
      <c r="L665">
        <v>20210823</v>
      </c>
      <c r="M665" t="s">
        <v>73</v>
      </c>
    </row>
    <row r="666" spans="1:13">
      <c r="A666">
        <v>665</v>
      </c>
      <c r="B666" t="s">
        <v>783</v>
      </c>
      <c r="C666" t="s">
        <v>784</v>
      </c>
      <c r="D666" t="s">
        <v>784</v>
      </c>
      <c r="E666" t="s">
        <v>72</v>
      </c>
      <c r="F666" t="s">
        <v>785</v>
      </c>
      <c r="G666" s="27" t="s">
        <v>789</v>
      </c>
      <c r="H666">
        <v>95</v>
      </c>
      <c r="I666">
        <v>1562.41</v>
      </c>
      <c r="J666">
        <v>148428.95000000001</v>
      </c>
      <c r="K666" t="s">
        <v>45</v>
      </c>
      <c r="L666">
        <v>20210820</v>
      </c>
      <c r="M666" t="s">
        <v>73</v>
      </c>
    </row>
    <row r="667" spans="1:13">
      <c r="A667">
        <v>666</v>
      </c>
      <c r="B667" t="s">
        <v>68</v>
      </c>
      <c r="C667">
        <v>500235</v>
      </c>
      <c r="D667" t="s">
        <v>98</v>
      </c>
      <c r="E667" t="s">
        <v>72</v>
      </c>
      <c r="F667" t="s">
        <v>99</v>
      </c>
      <c r="G667" s="27" t="s">
        <v>790</v>
      </c>
      <c r="H667">
        <v>5</v>
      </c>
      <c r="I667">
        <v>384.26</v>
      </c>
      <c r="J667">
        <v>1921.3</v>
      </c>
      <c r="K667" t="s">
        <v>45</v>
      </c>
      <c r="L667">
        <v>20210820</v>
      </c>
      <c r="M667" t="s">
        <v>73</v>
      </c>
    </row>
    <row r="668" spans="1:13">
      <c r="A668">
        <v>667</v>
      </c>
      <c r="B668" t="s">
        <v>610</v>
      </c>
      <c r="C668" t="s">
        <v>695</v>
      </c>
      <c r="D668" t="s">
        <v>688</v>
      </c>
      <c r="E668" t="s">
        <v>72</v>
      </c>
      <c r="F668" t="s">
        <v>612</v>
      </c>
      <c r="G668" s="27" t="s">
        <v>791</v>
      </c>
      <c r="H668">
        <v>10</v>
      </c>
      <c r="I668">
        <v>333</v>
      </c>
      <c r="J668">
        <v>3330</v>
      </c>
      <c r="K668" t="s">
        <v>45</v>
      </c>
      <c r="L668">
        <v>20210818</v>
      </c>
      <c r="M668" t="s">
        <v>73</v>
      </c>
    </row>
    <row r="669" spans="1:13">
      <c r="A669">
        <v>668</v>
      </c>
      <c r="B669" t="s">
        <v>749</v>
      </c>
      <c r="C669" t="s">
        <v>742</v>
      </c>
      <c r="D669" t="s">
        <v>742</v>
      </c>
      <c r="E669" t="s">
        <v>72</v>
      </c>
      <c r="F669" t="s">
        <v>750</v>
      </c>
      <c r="G669" s="27" t="s">
        <v>791</v>
      </c>
      <c r="H669">
        <v>30</v>
      </c>
      <c r="I669">
        <v>108.45</v>
      </c>
      <c r="J669">
        <v>3253.5</v>
      </c>
      <c r="K669" t="s">
        <v>45</v>
      </c>
      <c r="L669">
        <v>20210818</v>
      </c>
      <c r="M669" t="s">
        <v>73</v>
      </c>
    </row>
    <row r="670" spans="1:13">
      <c r="A670">
        <v>669</v>
      </c>
      <c r="B670" t="s">
        <v>677</v>
      </c>
      <c r="C670" t="s">
        <v>678</v>
      </c>
      <c r="D670" t="s">
        <v>678</v>
      </c>
      <c r="E670" t="s">
        <v>72</v>
      </c>
      <c r="F670" t="s">
        <v>679</v>
      </c>
      <c r="G670" s="27" t="s">
        <v>791</v>
      </c>
      <c r="H670">
        <v>5</v>
      </c>
      <c r="I670">
        <v>596.95000000000005</v>
      </c>
      <c r="J670">
        <v>2984.75</v>
      </c>
      <c r="K670" t="s">
        <v>45</v>
      </c>
      <c r="L670">
        <v>20210818</v>
      </c>
      <c r="M670" t="s">
        <v>73</v>
      </c>
    </row>
    <row r="671" spans="1:13">
      <c r="A671">
        <v>670</v>
      </c>
      <c r="B671" t="s">
        <v>527</v>
      </c>
      <c r="C671" t="s">
        <v>528</v>
      </c>
      <c r="D671" t="s">
        <v>528</v>
      </c>
      <c r="E671" t="s">
        <v>72</v>
      </c>
      <c r="F671" t="s">
        <v>529</v>
      </c>
      <c r="G671" s="27" t="s">
        <v>791</v>
      </c>
      <c r="H671">
        <v>6</v>
      </c>
      <c r="I671">
        <v>790.3</v>
      </c>
      <c r="J671">
        <v>4741.7999999999993</v>
      </c>
      <c r="K671" t="s">
        <v>45</v>
      </c>
      <c r="L671">
        <v>20210818</v>
      </c>
      <c r="M671" t="s">
        <v>73</v>
      </c>
    </row>
    <row r="672" spans="1:13">
      <c r="A672">
        <v>671</v>
      </c>
      <c r="B672" t="s">
        <v>665</v>
      </c>
      <c r="C672" t="s">
        <v>666</v>
      </c>
      <c r="D672" t="s">
        <v>666</v>
      </c>
      <c r="E672" t="s">
        <v>72</v>
      </c>
      <c r="F672" t="s">
        <v>667</v>
      </c>
      <c r="G672" s="27" t="s">
        <v>792</v>
      </c>
      <c r="H672">
        <v>4</v>
      </c>
      <c r="I672">
        <v>3864.41</v>
      </c>
      <c r="J672">
        <v>15457.64</v>
      </c>
      <c r="K672" t="s">
        <v>45</v>
      </c>
      <c r="L672">
        <v>20210816</v>
      </c>
      <c r="M672" t="s">
        <v>73</v>
      </c>
    </row>
    <row r="673" spans="1:13">
      <c r="A673">
        <v>672</v>
      </c>
      <c r="B673" t="s">
        <v>749</v>
      </c>
      <c r="C673" t="s">
        <v>742</v>
      </c>
      <c r="D673" t="s">
        <v>742</v>
      </c>
      <c r="E673" t="s">
        <v>72</v>
      </c>
      <c r="F673" t="s">
        <v>750</v>
      </c>
      <c r="G673" s="27" t="s">
        <v>792</v>
      </c>
      <c r="H673">
        <v>50</v>
      </c>
      <c r="I673">
        <v>112.8</v>
      </c>
      <c r="J673">
        <v>5640</v>
      </c>
      <c r="K673" t="s">
        <v>45</v>
      </c>
      <c r="L673">
        <v>20210816</v>
      </c>
      <c r="M673" t="s">
        <v>73</v>
      </c>
    </row>
    <row r="674" spans="1:13">
      <c r="A674">
        <v>673</v>
      </c>
      <c r="B674" t="s">
        <v>746</v>
      </c>
      <c r="C674" t="s">
        <v>747</v>
      </c>
      <c r="D674" t="s">
        <v>747</v>
      </c>
      <c r="E674" t="s">
        <v>72</v>
      </c>
      <c r="F674" t="s">
        <v>748</v>
      </c>
      <c r="G674" s="27" t="s">
        <v>792</v>
      </c>
      <c r="H674">
        <v>40</v>
      </c>
      <c r="I674">
        <v>693.23</v>
      </c>
      <c r="J674">
        <v>27729.200000000001</v>
      </c>
      <c r="K674" t="s">
        <v>45</v>
      </c>
      <c r="L674">
        <v>20210816</v>
      </c>
      <c r="M674" t="s">
        <v>73</v>
      </c>
    </row>
    <row r="675" spans="1:13">
      <c r="A675">
        <v>674</v>
      </c>
      <c r="B675" t="s">
        <v>677</v>
      </c>
      <c r="C675" t="s">
        <v>678</v>
      </c>
      <c r="D675" t="s">
        <v>678</v>
      </c>
      <c r="E675" t="s">
        <v>72</v>
      </c>
      <c r="F675" t="s">
        <v>679</v>
      </c>
      <c r="G675" s="27" t="s">
        <v>792</v>
      </c>
      <c r="H675">
        <v>27</v>
      </c>
      <c r="I675">
        <v>617.27</v>
      </c>
      <c r="J675">
        <v>16666.29</v>
      </c>
      <c r="K675" t="s">
        <v>45</v>
      </c>
      <c r="L675">
        <v>20210816</v>
      </c>
      <c r="M675" t="s">
        <v>73</v>
      </c>
    </row>
    <row r="676" spans="1:13">
      <c r="A676">
        <v>675</v>
      </c>
      <c r="B676" t="s">
        <v>610</v>
      </c>
      <c r="C676" t="s">
        <v>695</v>
      </c>
      <c r="D676" t="s">
        <v>688</v>
      </c>
      <c r="E676" t="s">
        <v>72</v>
      </c>
      <c r="F676" t="s">
        <v>612</v>
      </c>
      <c r="G676" s="27" t="s">
        <v>792</v>
      </c>
      <c r="H676">
        <v>10</v>
      </c>
      <c r="I676">
        <v>337</v>
      </c>
      <c r="J676">
        <v>3370</v>
      </c>
      <c r="K676" t="s">
        <v>45</v>
      </c>
      <c r="L676">
        <v>20210816</v>
      </c>
      <c r="M676" t="s">
        <v>73</v>
      </c>
    </row>
    <row r="677" spans="1:13">
      <c r="A677">
        <v>676</v>
      </c>
      <c r="B677" t="s">
        <v>610</v>
      </c>
      <c r="C677" t="s">
        <v>695</v>
      </c>
      <c r="D677" t="s">
        <v>688</v>
      </c>
      <c r="E677" t="s">
        <v>72</v>
      </c>
      <c r="F677" t="s">
        <v>612</v>
      </c>
      <c r="G677" s="27" t="s">
        <v>779</v>
      </c>
      <c r="H677">
        <v>30</v>
      </c>
      <c r="I677">
        <v>331.3</v>
      </c>
      <c r="J677">
        <v>9939</v>
      </c>
      <c r="K677" t="s">
        <v>45</v>
      </c>
      <c r="L677">
        <v>20210811</v>
      </c>
      <c r="M677" t="s">
        <v>73</v>
      </c>
    </row>
    <row r="678" spans="1:13">
      <c r="A678">
        <v>677</v>
      </c>
      <c r="B678" t="s">
        <v>740</v>
      </c>
      <c r="C678" t="s">
        <v>740</v>
      </c>
      <c r="D678" t="s">
        <v>740</v>
      </c>
      <c r="E678" t="s">
        <v>72</v>
      </c>
      <c r="F678" t="s">
        <v>741</v>
      </c>
      <c r="G678" s="27" t="s">
        <v>779</v>
      </c>
      <c r="H678">
        <v>10</v>
      </c>
      <c r="I678">
        <v>340.4</v>
      </c>
      <c r="J678">
        <v>3404</v>
      </c>
      <c r="K678" t="s">
        <v>45</v>
      </c>
      <c r="L678">
        <v>20210811</v>
      </c>
      <c r="M678" t="s">
        <v>73</v>
      </c>
    </row>
    <row r="679" spans="1:13">
      <c r="A679">
        <v>678</v>
      </c>
      <c r="B679" t="s">
        <v>424</v>
      </c>
      <c r="C679" t="s">
        <v>425</v>
      </c>
      <c r="D679" t="s">
        <v>425</v>
      </c>
      <c r="E679" t="s">
        <v>72</v>
      </c>
      <c r="F679" t="s">
        <v>92</v>
      </c>
      <c r="G679" s="27" t="s">
        <v>779</v>
      </c>
      <c r="H679">
        <v>15</v>
      </c>
      <c r="I679">
        <v>141.69999999999999</v>
      </c>
      <c r="J679">
        <v>2125.5</v>
      </c>
      <c r="K679" t="s">
        <v>45</v>
      </c>
      <c r="L679">
        <v>20210811</v>
      </c>
      <c r="M679" t="s">
        <v>73</v>
      </c>
    </row>
    <row r="680" spans="1:13">
      <c r="A680">
        <v>679</v>
      </c>
      <c r="B680" t="s">
        <v>29</v>
      </c>
      <c r="C680" t="s">
        <v>107</v>
      </c>
      <c r="D680" t="s">
        <v>107</v>
      </c>
      <c r="E680" t="s">
        <v>72</v>
      </c>
      <c r="F680" t="s">
        <v>108</v>
      </c>
      <c r="G680" s="27" t="s">
        <v>779</v>
      </c>
      <c r="H680">
        <v>4</v>
      </c>
      <c r="I680">
        <v>2189.75</v>
      </c>
      <c r="J680">
        <v>8759</v>
      </c>
      <c r="K680" t="s">
        <v>45</v>
      </c>
      <c r="L680">
        <v>20210811</v>
      </c>
      <c r="M680" t="s">
        <v>73</v>
      </c>
    </row>
    <row r="681" spans="1:13">
      <c r="A681">
        <v>680</v>
      </c>
      <c r="B681" t="s">
        <v>665</v>
      </c>
      <c r="C681" t="s">
        <v>666</v>
      </c>
      <c r="D681" t="s">
        <v>666</v>
      </c>
      <c r="E681" t="s">
        <v>72</v>
      </c>
      <c r="F681" t="s">
        <v>667</v>
      </c>
      <c r="G681" s="27" t="s">
        <v>779</v>
      </c>
      <c r="H681">
        <v>1</v>
      </c>
      <c r="I681">
        <v>3814.4</v>
      </c>
      <c r="J681">
        <v>3814.4</v>
      </c>
      <c r="K681" t="s">
        <v>45</v>
      </c>
      <c r="L681">
        <v>20210811</v>
      </c>
      <c r="M681" t="s">
        <v>73</v>
      </c>
    </row>
    <row r="682" spans="1:13">
      <c r="A682">
        <v>681</v>
      </c>
      <c r="B682" t="s">
        <v>68</v>
      </c>
      <c r="C682">
        <v>500235</v>
      </c>
      <c r="D682" t="s">
        <v>98</v>
      </c>
      <c r="E682" t="s">
        <v>72</v>
      </c>
      <c r="F682" t="s">
        <v>99</v>
      </c>
      <c r="G682" s="27" t="s">
        <v>779</v>
      </c>
      <c r="H682">
        <v>25</v>
      </c>
      <c r="I682">
        <v>407.35</v>
      </c>
      <c r="J682">
        <v>10183.75</v>
      </c>
      <c r="K682" t="s">
        <v>45</v>
      </c>
      <c r="L682">
        <v>20210811</v>
      </c>
      <c r="M682" t="s">
        <v>73</v>
      </c>
    </row>
    <row r="683" spans="1:13">
      <c r="A683">
        <v>682</v>
      </c>
      <c r="B683" t="s">
        <v>539</v>
      </c>
      <c r="C683" t="s">
        <v>540</v>
      </c>
      <c r="D683" t="s">
        <v>540</v>
      </c>
      <c r="E683" t="s">
        <v>72</v>
      </c>
      <c r="F683" t="s">
        <v>541</v>
      </c>
      <c r="G683" s="27" t="s">
        <v>779</v>
      </c>
      <c r="H683">
        <v>2</v>
      </c>
      <c r="I683">
        <v>1137.7</v>
      </c>
      <c r="J683">
        <v>2275.4</v>
      </c>
      <c r="K683" t="s">
        <v>45</v>
      </c>
      <c r="L683">
        <v>20210811</v>
      </c>
      <c r="M683" t="s">
        <v>73</v>
      </c>
    </row>
    <row r="684" spans="1:13">
      <c r="A684">
        <v>683</v>
      </c>
      <c r="B684" t="s">
        <v>610</v>
      </c>
      <c r="C684" t="s">
        <v>695</v>
      </c>
      <c r="D684" t="s">
        <v>688</v>
      </c>
      <c r="E684" t="s">
        <v>72</v>
      </c>
      <c r="F684" t="s">
        <v>612</v>
      </c>
      <c r="G684" s="27" t="s">
        <v>780</v>
      </c>
      <c r="H684">
        <v>10</v>
      </c>
      <c r="I684">
        <v>346.35</v>
      </c>
      <c r="J684">
        <v>3463.5</v>
      </c>
      <c r="K684" t="s">
        <v>45</v>
      </c>
      <c r="L684">
        <v>20210810</v>
      </c>
      <c r="M684" t="s">
        <v>73</v>
      </c>
    </row>
    <row r="685" spans="1:13">
      <c r="A685">
        <v>684</v>
      </c>
      <c r="B685" t="s">
        <v>746</v>
      </c>
      <c r="C685" t="s">
        <v>747</v>
      </c>
      <c r="D685" t="s">
        <v>747</v>
      </c>
      <c r="E685" t="s">
        <v>72</v>
      </c>
      <c r="F685" t="s">
        <v>748</v>
      </c>
      <c r="G685" s="27" t="s">
        <v>780</v>
      </c>
      <c r="H685">
        <v>20</v>
      </c>
      <c r="I685">
        <v>705.7</v>
      </c>
      <c r="J685">
        <v>14114</v>
      </c>
      <c r="K685" t="s">
        <v>45</v>
      </c>
      <c r="L685">
        <v>20210810</v>
      </c>
      <c r="M685" t="s">
        <v>73</v>
      </c>
    </row>
    <row r="686" spans="1:13">
      <c r="A686">
        <v>685</v>
      </c>
      <c r="B686" t="s">
        <v>533</v>
      </c>
      <c r="C686" t="s">
        <v>534</v>
      </c>
      <c r="D686" t="s">
        <v>534</v>
      </c>
      <c r="E686" t="s">
        <v>72</v>
      </c>
      <c r="F686" t="s">
        <v>535</v>
      </c>
      <c r="G686" s="27" t="s">
        <v>780</v>
      </c>
      <c r="H686">
        <v>1</v>
      </c>
      <c r="I686">
        <v>4242.7</v>
      </c>
      <c r="J686">
        <v>4242.7</v>
      </c>
      <c r="K686" t="s">
        <v>45</v>
      </c>
      <c r="L686">
        <v>20210810</v>
      </c>
      <c r="M686" t="s">
        <v>73</v>
      </c>
    </row>
    <row r="687" spans="1:13">
      <c r="A687">
        <v>686</v>
      </c>
      <c r="B687" t="s">
        <v>29</v>
      </c>
      <c r="C687" t="s">
        <v>107</v>
      </c>
      <c r="D687" t="s">
        <v>107</v>
      </c>
      <c r="E687" t="s">
        <v>72</v>
      </c>
      <c r="F687" t="s">
        <v>108</v>
      </c>
      <c r="G687" s="27" t="s">
        <v>780</v>
      </c>
      <c r="H687">
        <v>2</v>
      </c>
      <c r="I687">
        <v>2239.4</v>
      </c>
      <c r="J687">
        <v>4478.8</v>
      </c>
      <c r="K687" t="s">
        <v>45</v>
      </c>
      <c r="L687">
        <v>20210810</v>
      </c>
      <c r="M687" t="s">
        <v>73</v>
      </c>
    </row>
    <row r="688" spans="1:13">
      <c r="A688">
        <v>687</v>
      </c>
      <c r="B688" t="s">
        <v>527</v>
      </c>
      <c r="C688" t="s">
        <v>528</v>
      </c>
      <c r="D688" t="s">
        <v>528</v>
      </c>
      <c r="E688" t="s">
        <v>72</v>
      </c>
      <c r="F688" t="s">
        <v>529</v>
      </c>
      <c r="G688" s="27" t="s">
        <v>780</v>
      </c>
      <c r="H688">
        <v>8</v>
      </c>
      <c r="I688">
        <v>750.5</v>
      </c>
      <c r="J688">
        <v>6004</v>
      </c>
      <c r="K688" t="s">
        <v>45</v>
      </c>
      <c r="L688">
        <v>20210810</v>
      </c>
      <c r="M688" t="s">
        <v>73</v>
      </c>
    </row>
    <row r="689" spans="1:13">
      <c r="A689">
        <v>688</v>
      </c>
      <c r="B689" t="s">
        <v>771</v>
      </c>
      <c r="C689" t="s">
        <v>772</v>
      </c>
      <c r="D689" t="s">
        <v>772</v>
      </c>
      <c r="E689" t="s">
        <v>72</v>
      </c>
      <c r="F689" t="s">
        <v>773</v>
      </c>
      <c r="G689" s="27" t="s">
        <v>780</v>
      </c>
      <c r="H689">
        <v>35</v>
      </c>
      <c r="I689">
        <v>323.18</v>
      </c>
      <c r="J689">
        <v>11311.300000000001</v>
      </c>
      <c r="K689" t="s">
        <v>45</v>
      </c>
      <c r="L689">
        <v>20210810</v>
      </c>
      <c r="M689" t="s">
        <v>73</v>
      </c>
    </row>
    <row r="690" spans="1:13">
      <c r="A690">
        <v>689</v>
      </c>
      <c r="B690" t="s">
        <v>27</v>
      </c>
      <c r="C690">
        <v>500288</v>
      </c>
      <c r="D690" t="s">
        <v>104</v>
      </c>
      <c r="E690" t="s">
        <v>72</v>
      </c>
      <c r="F690" t="s">
        <v>105</v>
      </c>
      <c r="G690" s="27" t="s">
        <v>781</v>
      </c>
      <c r="H690">
        <v>110</v>
      </c>
      <c r="I690">
        <v>58.14</v>
      </c>
      <c r="J690" s="463">
        <v>6395.4</v>
      </c>
      <c r="K690" t="s">
        <v>45</v>
      </c>
      <c r="L690">
        <v>20210809</v>
      </c>
      <c r="M690" t="s">
        <v>73</v>
      </c>
    </row>
    <row r="691" spans="1:13">
      <c r="A691">
        <v>690</v>
      </c>
      <c r="B691" t="s">
        <v>37</v>
      </c>
      <c r="C691" t="s">
        <v>119</v>
      </c>
      <c r="D691" t="s">
        <v>216</v>
      </c>
      <c r="E691" t="s">
        <v>76</v>
      </c>
      <c r="F691" t="s">
        <v>120</v>
      </c>
      <c r="G691" s="27" t="s">
        <v>781</v>
      </c>
      <c r="H691">
        <v>94</v>
      </c>
      <c r="I691">
        <v>202.06</v>
      </c>
      <c r="J691">
        <v>18993.64</v>
      </c>
      <c r="K691" t="s">
        <v>45</v>
      </c>
      <c r="L691">
        <v>20210809</v>
      </c>
      <c r="M691" t="s">
        <v>73</v>
      </c>
    </row>
    <row r="692" spans="1:13">
      <c r="A692">
        <v>691</v>
      </c>
      <c r="B692" t="s">
        <v>566</v>
      </c>
      <c r="C692" t="s">
        <v>567</v>
      </c>
      <c r="D692" t="s">
        <v>567</v>
      </c>
      <c r="E692" t="s">
        <v>72</v>
      </c>
      <c r="F692" t="s">
        <v>585</v>
      </c>
      <c r="G692" s="27" t="s">
        <v>781</v>
      </c>
      <c r="H692">
        <v>47</v>
      </c>
      <c r="I692">
        <v>542.98</v>
      </c>
      <c r="J692">
        <v>25520.06</v>
      </c>
      <c r="K692" t="s">
        <v>45</v>
      </c>
      <c r="L692">
        <v>20210809</v>
      </c>
      <c r="M692" t="s">
        <v>73</v>
      </c>
    </row>
    <row r="693" spans="1:13">
      <c r="A693">
        <v>692</v>
      </c>
      <c r="B693" t="s">
        <v>751</v>
      </c>
      <c r="C693" t="s">
        <v>763</v>
      </c>
      <c r="D693" t="s">
        <v>752</v>
      </c>
      <c r="E693" t="s">
        <v>72</v>
      </c>
      <c r="F693" t="s">
        <v>754</v>
      </c>
      <c r="G693" s="27" t="s">
        <v>781</v>
      </c>
      <c r="H693">
        <v>4</v>
      </c>
      <c r="I693">
        <v>1142.5</v>
      </c>
      <c r="J693">
        <v>4570</v>
      </c>
      <c r="K693" t="s">
        <v>45</v>
      </c>
      <c r="L693">
        <v>20210809</v>
      </c>
      <c r="M693" t="s">
        <v>73</v>
      </c>
    </row>
    <row r="694" spans="1:13">
      <c r="A694">
        <v>693</v>
      </c>
      <c r="B694" t="s">
        <v>610</v>
      </c>
      <c r="C694" t="s">
        <v>695</v>
      </c>
      <c r="D694" t="s">
        <v>688</v>
      </c>
      <c r="E694" t="s">
        <v>72</v>
      </c>
      <c r="F694" t="s">
        <v>612</v>
      </c>
      <c r="G694" s="27" t="s">
        <v>781</v>
      </c>
      <c r="H694">
        <v>10</v>
      </c>
      <c r="I694">
        <v>348.6</v>
      </c>
      <c r="J694">
        <v>3486</v>
      </c>
      <c r="K694" t="s">
        <v>45</v>
      </c>
      <c r="L694">
        <v>20210809</v>
      </c>
      <c r="M694" t="s">
        <v>73</v>
      </c>
    </row>
    <row r="695" spans="1:13">
      <c r="A695">
        <v>694</v>
      </c>
      <c r="B695" t="s">
        <v>512</v>
      </c>
      <c r="C695" t="s">
        <v>511</v>
      </c>
      <c r="D695" t="s">
        <v>511</v>
      </c>
      <c r="E695" t="s">
        <v>72</v>
      </c>
      <c r="F695" t="s">
        <v>513</v>
      </c>
      <c r="G695" s="27" t="s">
        <v>766</v>
      </c>
      <c r="H695">
        <v>1</v>
      </c>
      <c r="I695">
        <v>2984.6</v>
      </c>
      <c r="J695" s="463">
        <v>2984.6</v>
      </c>
      <c r="K695" t="s">
        <v>45</v>
      </c>
      <c r="L695">
        <v>20210806</v>
      </c>
      <c r="M695" t="s">
        <v>73</v>
      </c>
    </row>
    <row r="696" spans="1:13">
      <c r="A696">
        <v>695</v>
      </c>
      <c r="B696" t="s">
        <v>771</v>
      </c>
      <c r="C696" t="s">
        <v>772</v>
      </c>
      <c r="D696" t="s">
        <v>772</v>
      </c>
      <c r="E696" t="s">
        <v>72</v>
      </c>
      <c r="F696" t="s">
        <v>773</v>
      </c>
      <c r="G696" s="27" t="s">
        <v>766</v>
      </c>
      <c r="H696">
        <v>50</v>
      </c>
      <c r="I696">
        <v>349.99</v>
      </c>
      <c r="J696">
        <v>17499.5</v>
      </c>
      <c r="K696" t="s">
        <v>45</v>
      </c>
      <c r="L696">
        <v>20210806</v>
      </c>
      <c r="M696" t="s">
        <v>73</v>
      </c>
    </row>
    <row r="697" spans="1:13">
      <c r="A697">
        <v>696</v>
      </c>
      <c r="B697" t="s">
        <v>746</v>
      </c>
      <c r="C697" t="s">
        <v>747</v>
      </c>
      <c r="D697" t="s">
        <v>747</v>
      </c>
      <c r="E697" t="s">
        <v>72</v>
      </c>
      <c r="F697" t="s">
        <v>748</v>
      </c>
      <c r="G697" s="27" t="s">
        <v>766</v>
      </c>
      <c r="H697">
        <v>10</v>
      </c>
      <c r="I697">
        <v>683.5</v>
      </c>
      <c r="J697">
        <v>6835</v>
      </c>
      <c r="K697" t="s">
        <v>45</v>
      </c>
      <c r="L697">
        <v>20210806</v>
      </c>
      <c r="M697" t="s">
        <v>73</v>
      </c>
    </row>
    <row r="698" spans="1:13">
      <c r="A698">
        <v>697</v>
      </c>
      <c r="B698" t="s">
        <v>723</v>
      </c>
      <c r="C698" t="s">
        <v>724</v>
      </c>
      <c r="D698" t="s">
        <v>725</v>
      </c>
      <c r="E698" t="s">
        <v>72</v>
      </c>
      <c r="F698" t="s">
        <v>726</v>
      </c>
      <c r="G698" s="27" t="s">
        <v>766</v>
      </c>
      <c r="H698">
        <v>18</v>
      </c>
      <c r="I698">
        <v>556.29999999999995</v>
      </c>
      <c r="J698">
        <v>10013.4</v>
      </c>
      <c r="K698" t="s">
        <v>45</v>
      </c>
      <c r="L698">
        <v>20210806</v>
      </c>
      <c r="M698" t="s">
        <v>73</v>
      </c>
    </row>
    <row r="699" spans="1:13">
      <c r="A699">
        <v>698</v>
      </c>
      <c r="B699" t="s">
        <v>13</v>
      </c>
      <c r="C699" t="s">
        <v>83</v>
      </c>
      <c r="D699" t="s">
        <v>246</v>
      </c>
      <c r="E699" t="s">
        <v>76</v>
      </c>
      <c r="F699" t="s">
        <v>84</v>
      </c>
      <c r="G699" s="27" t="s">
        <v>766</v>
      </c>
      <c r="H699">
        <v>2</v>
      </c>
      <c r="I699">
        <v>1401.7</v>
      </c>
      <c r="J699">
        <v>2803.4</v>
      </c>
      <c r="K699" t="s">
        <v>45</v>
      </c>
      <c r="L699">
        <v>20210806</v>
      </c>
      <c r="M699" t="s">
        <v>73</v>
      </c>
    </row>
    <row r="700" spans="1:13">
      <c r="A700">
        <v>699</v>
      </c>
      <c r="B700" t="s">
        <v>740</v>
      </c>
      <c r="C700" t="s">
        <v>740</v>
      </c>
      <c r="D700" t="s">
        <v>740</v>
      </c>
      <c r="E700" t="s">
        <v>72</v>
      </c>
      <c r="F700" t="s">
        <v>741</v>
      </c>
      <c r="G700" s="27" t="s">
        <v>766</v>
      </c>
      <c r="H700">
        <v>10</v>
      </c>
      <c r="I700">
        <v>360.05</v>
      </c>
      <c r="J700">
        <v>3600.5</v>
      </c>
      <c r="K700" t="s">
        <v>45</v>
      </c>
      <c r="L700">
        <v>20210806</v>
      </c>
      <c r="M700" t="s">
        <v>73</v>
      </c>
    </row>
    <row r="701" spans="1:13">
      <c r="A701">
        <v>700</v>
      </c>
      <c r="B701" t="s">
        <v>751</v>
      </c>
      <c r="C701" t="s">
        <v>763</v>
      </c>
      <c r="D701" t="s">
        <v>752</v>
      </c>
      <c r="E701" t="s">
        <v>72</v>
      </c>
      <c r="F701" t="s">
        <v>754</v>
      </c>
      <c r="G701" s="27" t="s">
        <v>766</v>
      </c>
      <c r="H701">
        <v>5</v>
      </c>
      <c r="I701">
        <v>1153</v>
      </c>
      <c r="J701">
        <v>5765</v>
      </c>
      <c r="K701" t="s">
        <v>45</v>
      </c>
      <c r="L701">
        <v>20210806</v>
      </c>
      <c r="M701" t="s">
        <v>73</v>
      </c>
    </row>
    <row r="702" spans="1:13">
      <c r="A702">
        <v>701</v>
      </c>
      <c r="B702" t="s">
        <v>610</v>
      </c>
      <c r="C702" t="s">
        <v>695</v>
      </c>
      <c r="D702" t="s">
        <v>688</v>
      </c>
      <c r="E702" t="s">
        <v>72</v>
      </c>
      <c r="F702" t="s">
        <v>612</v>
      </c>
      <c r="G702" s="27" t="s">
        <v>767</v>
      </c>
      <c r="H702">
        <v>10</v>
      </c>
      <c r="I702">
        <v>339.7</v>
      </c>
      <c r="J702">
        <v>3397</v>
      </c>
      <c r="K702" t="s">
        <v>45</v>
      </c>
      <c r="L702">
        <v>20210805</v>
      </c>
      <c r="M702" t="s">
        <v>73</v>
      </c>
    </row>
    <row r="703" spans="1:13">
      <c r="A703">
        <v>702</v>
      </c>
      <c r="B703" t="s">
        <v>751</v>
      </c>
      <c r="C703" t="s">
        <v>763</v>
      </c>
      <c r="D703" t="s">
        <v>752</v>
      </c>
      <c r="E703" t="s">
        <v>72</v>
      </c>
      <c r="F703" t="s">
        <v>754</v>
      </c>
      <c r="G703" s="27" t="s">
        <v>767</v>
      </c>
      <c r="H703">
        <v>12</v>
      </c>
      <c r="I703">
        <v>1205.7</v>
      </c>
      <c r="J703">
        <v>14468.400000000001</v>
      </c>
      <c r="K703" t="s">
        <v>45</v>
      </c>
      <c r="L703">
        <v>20210805</v>
      </c>
      <c r="M703" t="s">
        <v>73</v>
      </c>
    </row>
    <row r="704" spans="1:13">
      <c r="A704">
        <v>703</v>
      </c>
      <c r="B704" t="s">
        <v>527</v>
      </c>
      <c r="C704" t="s">
        <v>528</v>
      </c>
      <c r="D704" t="s">
        <v>528</v>
      </c>
      <c r="E704" t="s">
        <v>72</v>
      </c>
      <c r="F704" t="s">
        <v>529</v>
      </c>
      <c r="G704" s="27" t="s">
        <v>767</v>
      </c>
      <c r="H704">
        <v>4</v>
      </c>
      <c r="I704">
        <v>803.31</v>
      </c>
      <c r="J704">
        <v>3213.24</v>
      </c>
      <c r="K704" t="s">
        <v>45</v>
      </c>
      <c r="L704">
        <v>20210805</v>
      </c>
      <c r="M704" t="s">
        <v>73</v>
      </c>
    </row>
    <row r="705" spans="1:13">
      <c r="A705">
        <v>704</v>
      </c>
      <c r="B705" t="s">
        <v>27</v>
      </c>
      <c r="C705">
        <v>500288</v>
      </c>
      <c r="D705" t="s">
        <v>104</v>
      </c>
      <c r="E705" t="s">
        <v>72</v>
      </c>
      <c r="F705" t="s">
        <v>105</v>
      </c>
      <c r="G705" s="27" t="s">
        <v>767</v>
      </c>
      <c r="H705">
        <v>50</v>
      </c>
      <c r="I705">
        <v>59.9</v>
      </c>
      <c r="J705">
        <v>2995</v>
      </c>
      <c r="K705" t="s">
        <v>45</v>
      </c>
      <c r="L705">
        <v>20210805</v>
      </c>
      <c r="M705" t="s">
        <v>73</v>
      </c>
    </row>
    <row r="706" spans="1:13">
      <c r="A706">
        <v>705</v>
      </c>
      <c r="B706" t="s">
        <v>512</v>
      </c>
      <c r="C706" t="s">
        <v>511</v>
      </c>
      <c r="D706" t="s">
        <v>511</v>
      </c>
      <c r="E706" t="s">
        <v>72</v>
      </c>
      <c r="F706" t="s">
        <v>513</v>
      </c>
      <c r="G706" s="27" t="s">
        <v>767</v>
      </c>
      <c r="H706">
        <v>1</v>
      </c>
      <c r="I706">
        <v>3003</v>
      </c>
      <c r="J706">
        <v>3003</v>
      </c>
      <c r="K706" t="s">
        <v>45</v>
      </c>
      <c r="L706">
        <v>20210805</v>
      </c>
      <c r="M706" t="s">
        <v>73</v>
      </c>
    </row>
    <row r="707" spans="1:13">
      <c r="A707">
        <v>706</v>
      </c>
      <c r="B707" t="s">
        <v>740</v>
      </c>
      <c r="C707" t="s">
        <v>740</v>
      </c>
      <c r="D707" t="s">
        <v>740</v>
      </c>
      <c r="E707" t="s">
        <v>72</v>
      </c>
      <c r="F707" t="s">
        <v>741</v>
      </c>
      <c r="G707" s="27" t="s">
        <v>767</v>
      </c>
      <c r="H707">
        <v>20</v>
      </c>
      <c r="I707">
        <v>360.4</v>
      </c>
      <c r="J707">
        <v>7208</v>
      </c>
      <c r="K707" t="s">
        <v>45</v>
      </c>
      <c r="L707">
        <v>20210805</v>
      </c>
      <c r="M707" t="s">
        <v>73</v>
      </c>
    </row>
    <row r="708" spans="1:13">
      <c r="A708">
        <v>707</v>
      </c>
      <c r="B708" t="s">
        <v>677</v>
      </c>
      <c r="C708" t="s">
        <v>678</v>
      </c>
      <c r="D708" t="s">
        <v>678</v>
      </c>
      <c r="E708" t="s">
        <v>72</v>
      </c>
      <c r="F708" t="s">
        <v>679</v>
      </c>
      <c r="G708" s="27" t="s">
        <v>767</v>
      </c>
      <c r="H708">
        <v>5</v>
      </c>
      <c r="I708">
        <v>655.55</v>
      </c>
      <c r="J708">
        <v>3277.75</v>
      </c>
      <c r="K708" t="s">
        <v>45</v>
      </c>
      <c r="L708">
        <v>20210805</v>
      </c>
      <c r="M708" t="s">
        <v>73</v>
      </c>
    </row>
    <row r="709" spans="1:13">
      <c r="A709">
        <v>708</v>
      </c>
      <c r="B709" t="s">
        <v>533</v>
      </c>
      <c r="C709" t="s">
        <v>534</v>
      </c>
      <c r="D709" t="s">
        <v>534</v>
      </c>
      <c r="E709" t="s">
        <v>72</v>
      </c>
      <c r="F709" t="s">
        <v>535</v>
      </c>
      <c r="G709" s="27" t="s">
        <v>767</v>
      </c>
      <c r="H709">
        <v>1</v>
      </c>
      <c r="I709">
        <v>4150</v>
      </c>
      <c r="J709">
        <v>4150</v>
      </c>
      <c r="K709" t="s">
        <v>45</v>
      </c>
      <c r="L709">
        <v>20210805</v>
      </c>
      <c r="M709" t="s">
        <v>73</v>
      </c>
    </row>
    <row r="710" spans="1:13">
      <c r="A710">
        <v>709</v>
      </c>
      <c r="B710" t="s">
        <v>723</v>
      </c>
      <c r="C710" t="s">
        <v>724</v>
      </c>
      <c r="D710" t="s">
        <v>725</v>
      </c>
      <c r="E710" t="s">
        <v>72</v>
      </c>
      <c r="F710" t="s">
        <v>726</v>
      </c>
      <c r="G710" s="27" t="s">
        <v>767</v>
      </c>
      <c r="H710">
        <v>11</v>
      </c>
      <c r="I710">
        <v>567.14</v>
      </c>
      <c r="J710">
        <v>6238.54</v>
      </c>
      <c r="K710" t="s">
        <v>45</v>
      </c>
      <c r="L710">
        <v>20210805</v>
      </c>
      <c r="M710" t="s">
        <v>73</v>
      </c>
    </row>
    <row r="711" spans="1:13">
      <c r="A711">
        <v>710</v>
      </c>
      <c r="B711" t="s">
        <v>610</v>
      </c>
      <c r="C711" t="s">
        <v>695</v>
      </c>
      <c r="D711" t="s">
        <v>688</v>
      </c>
      <c r="E711" t="s">
        <v>72</v>
      </c>
      <c r="F711" t="s">
        <v>612</v>
      </c>
      <c r="G711" s="27" t="s">
        <v>768</v>
      </c>
      <c r="H711">
        <v>10</v>
      </c>
      <c r="I711">
        <v>349.5</v>
      </c>
      <c r="J711">
        <v>3495</v>
      </c>
      <c r="K711" t="s">
        <v>45</v>
      </c>
      <c r="L711">
        <v>20210804</v>
      </c>
      <c r="M711" t="s">
        <v>73</v>
      </c>
    </row>
    <row r="712" spans="1:13">
      <c r="A712">
        <v>711</v>
      </c>
      <c r="B712" t="s">
        <v>12</v>
      </c>
      <c r="C712" t="s">
        <v>410</v>
      </c>
      <c r="D712" t="s">
        <v>81</v>
      </c>
      <c r="E712" t="s">
        <v>72</v>
      </c>
      <c r="F712" t="s">
        <v>82</v>
      </c>
      <c r="G712" s="27" t="s">
        <v>768</v>
      </c>
      <c r="H712">
        <v>4</v>
      </c>
      <c r="I712">
        <v>869.41</v>
      </c>
      <c r="J712">
        <v>3477.64</v>
      </c>
      <c r="K712" t="s">
        <v>45</v>
      </c>
      <c r="L712">
        <v>20210804</v>
      </c>
      <c r="M712" t="s">
        <v>73</v>
      </c>
    </row>
    <row r="713" spans="1:13">
      <c r="A713">
        <v>712</v>
      </c>
      <c r="B713" t="s">
        <v>27</v>
      </c>
      <c r="C713">
        <v>500288</v>
      </c>
      <c r="D713" t="s">
        <v>104</v>
      </c>
      <c r="E713" t="s">
        <v>72</v>
      </c>
      <c r="F713" t="s">
        <v>105</v>
      </c>
      <c r="G713" s="27" t="s">
        <v>768</v>
      </c>
      <c r="H713">
        <v>150</v>
      </c>
      <c r="I713">
        <v>63.62</v>
      </c>
      <c r="J713">
        <v>9543</v>
      </c>
      <c r="K713" t="s">
        <v>45</v>
      </c>
      <c r="L713">
        <v>20210804</v>
      </c>
      <c r="M713" t="s">
        <v>73</v>
      </c>
    </row>
    <row r="714" spans="1:13">
      <c r="A714">
        <v>713</v>
      </c>
      <c r="B714" t="s">
        <v>12</v>
      </c>
      <c r="C714" t="s">
        <v>410</v>
      </c>
      <c r="D714" t="s">
        <v>81</v>
      </c>
      <c r="E714" t="s">
        <v>72</v>
      </c>
      <c r="F714" t="s">
        <v>82</v>
      </c>
      <c r="G714" s="27" t="s">
        <v>769</v>
      </c>
      <c r="H714">
        <v>3</v>
      </c>
      <c r="I714">
        <v>893.5</v>
      </c>
      <c r="J714">
        <v>2680.5</v>
      </c>
      <c r="K714" t="s">
        <v>45</v>
      </c>
      <c r="L714">
        <v>20210803</v>
      </c>
      <c r="M714" t="s">
        <v>73</v>
      </c>
    </row>
    <row r="715" spans="1:13">
      <c r="A715">
        <v>714</v>
      </c>
      <c r="B715" t="s">
        <v>527</v>
      </c>
      <c r="C715" t="s">
        <v>528</v>
      </c>
      <c r="D715" t="s">
        <v>528</v>
      </c>
      <c r="E715" t="s">
        <v>72</v>
      </c>
      <c r="F715" t="s">
        <v>529</v>
      </c>
      <c r="G715" s="27" t="s">
        <v>770</v>
      </c>
      <c r="H715">
        <v>4</v>
      </c>
      <c r="I715">
        <v>811.3</v>
      </c>
      <c r="J715">
        <v>3245.2</v>
      </c>
      <c r="K715" t="s">
        <v>45</v>
      </c>
      <c r="L715">
        <v>20210802</v>
      </c>
      <c r="M715" t="s">
        <v>73</v>
      </c>
    </row>
    <row r="716" spans="1:13">
      <c r="A716">
        <v>715</v>
      </c>
      <c r="B716" t="s">
        <v>610</v>
      </c>
      <c r="C716" t="s">
        <v>695</v>
      </c>
      <c r="D716" t="s">
        <v>688</v>
      </c>
      <c r="E716" t="s">
        <v>72</v>
      </c>
      <c r="F716" t="s">
        <v>612</v>
      </c>
      <c r="G716" s="27" t="s">
        <v>770</v>
      </c>
      <c r="H716">
        <v>10</v>
      </c>
      <c r="I716">
        <v>350.5</v>
      </c>
      <c r="J716">
        <v>3505</v>
      </c>
      <c r="K716" t="s">
        <v>45</v>
      </c>
      <c r="L716">
        <v>20210802</v>
      </c>
      <c r="M716" t="s">
        <v>73</v>
      </c>
    </row>
    <row r="717" spans="1:13">
      <c r="A717">
        <v>716</v>
      </c>
      <c r="B717" t="s">
        <v>512</v>
      </c>
      <c r="C717" t="s">
        <v>511</v>
      </c>
      <c r="D717" t="s">
        <v>511</v>
      </c>
      <c r="E717" t="s">
        <v>72</v>
      </c>
      <c r="F717" t="s">
        <v>513</v>
      </c>
      <c r="G717" s="27" t="s">
        <v>755</v>
      </c>
      <c r="H717">
        <v>1</v>
      </c>
      <c r="I717">
        <v>2994.9</v>
      </c>
      <c r="J717">
        <v>2994.9</v>
      </c>
      <c r="K717" t="s">
        <v>45</v>
      </c>
      <c r="L717">
        <v>20210730</v>
      </c>
      <c r="M717" t="s">
        <v>73</v>
      </c>
    </row>
    <row r="718" spans="1:13">
      <c r="A718">
        <v>717</v>
      </c>
      <c r="B718" t="s">
        <v>539</v>
      </c>
      <c r="C718" t="s">
        <v>540</v>
      </c>
      <c r="D718" t="s">
        <v>540</v>
      </c>
      <c r="E718" t="s">
        <v>72</v>
      </c>
      <c r="F718" t="s">
        <v>541</v>
      </c>
      <c r="G718" s="27" t="s">
        <v>755</v>
      </c>
      <c r="H718">
        <v>4</v>
      </c>
      <c r="I718">
        <v>1150.3</v>
      </c>
      <c r="J718">
        <v>4601.2</v>
      </c>
      <c r="K718" t="s">
        <v>45</v>
      </c>
      <c r="L718">
        <v>20210730</v>
      </c>
      <c r="M718" t="s">
        <v>73</v>
      </c>
    </row>
    <row r="719" spans="1:13">
      <c r="A719">
        <v>718</v>
      </c>
      <c r="B719" t="s">
        <v>746</v>
      </c>
      <c r="C719" t="s">
        <v>747</v>
      </c>
      <c r="D719" t="s">
        <v>747</v>
      </c>
      <c r="E719" t="s">
        <v>72</v>
      </c>
      <c r="F719" t="s">
        <v>748</v>
      </c>
      <c r="G719" s="27" t="s">
        <v>757</v>
      </c>
      <c r="H719">
        <v>10</v>
      </c>
      <c r="I719">
        <v>608.79999999999995</v>
      </c>
      <c r="J719">
        <v>6088</v>
      </c>
      <c r="K719" t="s">
        <v>45</v>
      </c>
      <c r="L719">
        <v>20210729</v>
      </c>
      <c r="M719" t="s">
        <v>73</v>
      </c>
    </row>
    <row r="720" spans="1:13">
      <c r="A720">
        <v>719</v>
      </c>
      <c r="B720" t="s">
        <v>723</v>
      </c>
      <c r="C720" t="s">
        <v>724</v>
      </c>
      <c r="D720" t="s">
        <v>725</v>
      </c>
      <c r="E720" t="s">
        <v>72</v>
      </c>
      <c r="F720" t="s">
        <v>726</v>
      </c>
      <c r="G720" s="27" t="s">
        <v>758</v>
      </c>
      <c r="H720">
        <v>20</v>
      </c>
      <c r="I720">
        <v>606.75</v>
      </c>
      <c r="J720">
        <v>12135</v>
      </c>
      <c r="K720" t="s">
        <v>45</v>
      </c>
      <c r="L720">
        <v>20210728</v>
      </c>
      <c r="M720" t="s">
        <v>73</v>
      </c>
    </row>
    <row r="721" spans="1:13">
      <c r="A721">
        <v>720</v>
      </c>
      <c r="B721" t="s">
        <v>751</v>
      </c>
      <c r="C721" t="s">
        <v>752</v>
      </c>
      <c r="D721" t="s">
        <v>753</v>
      </c>
      <c r="E721" t="s">
        <v>72</v>
      </c>
      <c r="F721" t="s">
        <v>754</v>
      </c>
      <c r="G721" s="27" t="s">
        <v>758</v>
      </c>
      <c r="H721">
        <v>70</v>
      </c>
      <c r="I721">
        <v>1262.8599999999999</v>
      </c>
      <c r="J721">
        <v>88400.2</v>
      </c>
      <c r="K721" t="s">
        <v>45</v>
      </c>
      <c r="L721">
        <v>20210728</v>
      </c>
      <c r="M721" t="s">
        <v>73</v>
      </c>
    </row>
    <row r="722" spans="1:13">
      <c r="A722">
        <v>721</v>
      </c>
      <c r="B722" t="s">
        <v>512</v>
      </c>
      <c r="C722" t="s">
        <v>511</v>
      </c>
      <c r="D722" t="s">
        <v>511</v>
      </c>
      <c r="E722" t="s">
        <v>72</v>
      </c>
      <c r="F722" t="s">
        <v>513</v>
      </c>
      <c r="G722" s="27" t="s">
        <v>758</v>
      </c>
      <c r="H722">
        <v>1</v>
      </c>
      <c r="I722">
        <v>3026.25</v>
      </c>
      <c r="J722">
        <v>3026.25</v>
      </c>
      <c r="K722" t="s">
        <v>45</v>
      </c>
      <c r="L722">
        <v>20210728</v>
      </c>
      <c r="M722" t="s">
        <v>73</v>
      </c>
    </row>
    <row r="723" spans="1:13">
      <c r="A723">
        <v>722</v>
      </c>
      <c r="B723" t="s">
        <v>746</v>
      </c>
      <c r="C723" t="s">
        <v>747</v>
      </c>
      <c r="D723" t="s">
        <v>747</v>
      </c>
      <c r="E723" t="s">
        <v>72</v>
      </c>
      <c r="F723" t="s">
        <v>748</v>
      </c>
      <c r="G723" s="27" t="s">
        <v>758</v>
      </c>
      <c r="H723">
        <v>100</v>
      </c>
      <c r="I723">
        <v>627.15</v>
      </c>
      <c r="J723">
        <v>62715</v>
      </c>
      <c r="K723" t="s">
        <v>45</v>
      </c>
      <c r="L723">
        <v>20210728</v>
      </c>
      <c r="M723" t="s">
        <v>73</v>
      </c>
    </row>
    <row r="724" spans="1:13">
      <c r="A724">
        <v>723</v>
      </c>
      <c r="B724" t="s">
        <v>749</v>
      </c>
      <c r="C724" t="s">
        <v>742</v>
      </c>
      <c r="D724" t="s">
        <v>742</v>
      </c>
      <c r="E724" t="s">
        <v>72</v>
      </c>
      <c r="F724" t="s">
        <v>750</v>
      </c>
      <c r="G724" s="27" t="s">
        <v>759</v>
      </c>
      <c r="H724">
        <v>50</v>
      </c>
      <c r="I724">
        <v>116.75</v>
      </c>
      <c r="J724" s="54">
        <v>5837.5</v>
      </c>
      <c r="K724" t="s">
        <v>45</v>
      </c>
      <c r="L724">
        <v>20210728</v>
      </c>
      <c r="M724" t="s">
        <v>73</v>
      </c>
    </row>
    <row r="725" spans="1:13">
      <c r="A725">
        <v>724</v>
      </c>
      <c r="B725" t="s">
        <v>512</v>
      </c>
      <c r="C725" t="s">
        <v>511</v>
      </c>
      <c r="D725" t="s">
        <v>511</v>
      </c>
      <c r="E725" t="s">
        <v>72</v>
      </c>
      <c r="F725" t="s">
        <v>513</v>
      </c>
      <c r="G725" s="27" t="s">
        <v>760</v>
      </c>
      <c r="H725">
        <v>1</v>
      </c>
      <c r="I725">
        <v>3044.5</v>
      </c>
      <c r="J725" s="54">
        <v>3044.5</v>
      </c>
      <c r="K725" t="s">
        <v>45</v>
      </c>
      <c r="L725">
        <v>20210727</v>
      </c>
      <c r="M725" t="s">
        <v>73</v>
      </c>
    </row>
    <row r="726" spans="1:13">
      <c r="A726">
        <v>725</v>
      </c>
      <c r="B726" t="s">
        <v>743</v>
      </c>
      <c r="C726" t="s">
        <v>744</v>
      </c>
      <c r="D726" t="s">
        <v>744</v>
      </c>
      <c r="E726" t="s">
        <v>72</v>
      </c>
      <c r="F726" t="s">
        <v>745</v>
      </c>
      <c r="G726" s="27" t="s">
        <v>760</v>
      </c>
      <c r="H726">
        <v>60</v>
      </c>
      <c r="I726">
        <v>400.38</v>
      </c>
      <c r="J726">
        <v>24022.799999999999</v>
      </c>
      <c r="K726" t="s">
        <v>45</v>
      </c>
      <c r="L726">
        <v>20210727</v>
      </c>
      <c r="M726" t="s">
        <v>73</v>
      </c>
    </row>
    <row r="727" spans="1:13">
      <c r="A727">
        <v>726</v>
      </c>
      <c r="B727" t="s">
        <v>740</v>
      </c>
      <c r="C727" t="s">
        <v>740</v>
      </c>
      <c r="D727" t="s">
        <v>740</v>
      </c>
      <c r="E727" t="s">
        <v>72</v>
      </c>
      <c r="F727" t="s">
        <v>741</v>
      </c>
      <c r="G727" s="27" t="s">
        <v>760</v>
      </c>
      <c r="H727">
        <v>15</v>
      </c>
      <c r="I727">
        <v>371.9</v>
      </c>
      <c r="J727">
        <v>5578.5</v>
      </c>
      <c r="K727" t="s">
        <v>45</v>
      </c>
      <c r="L727">
        <v>20210727</v>
      </c>
      <c r="M727" t="s">
        <v>73</v>
      </c>
    </row>
    <row r="728" spans="1:13">
      <c r="A728">
        <v>727</v>
      </c>
      <c r="B728" t="s">
        <v>13</v>
      </c>
      <c r="C728" t="s">
        <v>83</v>
      </c>
      <c r="D728" t="s">
        <v>246</v>
      </c>
      <c r="E728" t="s">
        <v>76</v>
      </c>
      <c r="F728" t="s">
        <v>84</v>
      </c>
      <c r="G728" s="27" t="s">
        <v>760</v>
      </c>
      <c r="H728">
        <v>1</v>
      </c>
      <c r="I728">
        <v>1367.05</v>
      </c>
      <c r="J728">
        <v>1367.05</v>
      </c>
      <c r="K728" t="s">
        <v>45</v>
      </c>
      <c r="L728">
        <v>20210727</v>
      </c>
      <c r="M728" t="s">
        <v>73</v>
      </c>
    </row>
    <row r="729" spans="1:13">
      <c r="A729">
        <v>728</v>
      </c>
      <c r="B729" t="s">
        <v>723</v>
      </c>
      <c r="C729" t="s">
        <v>724</v>
      </c>
      <c r="D729" t="s">
        <v>725</v>
      </c>
      <c r="E729" t="s">
        <v>72</v>
      </c>
      <c r="F729" t="s">
        <v>726</v>
      </c>
      <c r="G729" s="27" t="s">
        <v>761</v>
      </c>
      <c r="H729">
        <v>10</v>
      </c>
      <c r="I729">
        <v>626.5</v>
      </c>
      <c r="J729">
        <v>6265</v>
      </c>
      <c r="K729" t="s">
        <v>45</v>
      </c>
      <c r="L729">
        <v>20210727</v>
      </c>
      <c r="M729" t="s">
        <v>73</v>
      </c>
    </row>
    <row r="730" spans="1:13">
      <c r="A730">
        <v>729</v>
      </c>
      <c r="B730" t="s">
        <v>749</v>
      </c>
      <c r="C730" t="s">
        <v>742</v>
      </c>
      <c r="D730" t="s">
        <v>742</v>
      </c>
      <c r="E730" t="s">
        <v>72</v>
      </c>
      <c r="F730" t="s">
        <v>750</v>
      </c>
      <c r="G730" s="27" t="s">
        <v>760</v>
      </c>
      <c r="H730">
        <v>100</v>
      </c>
      <c r="I730">
        <v>126.45</v>
      </c>
      <c r="J730" s="54">
        <v>12645</v>
      </c>
      <c r="K730" t="s">
        <v>45</v>
      </c>
      <c r="L730">
        <v>20210727</v>
      </c>
      <c r="M730" t="s">
        <v>73</v>
      </c>
    </row>
    <row r="731" spans="1:13">
      <c r="A731">
        <v>730</v>
      </c>
      <c r="B731" t="s">
        <v>651</v>
      </c>
      <c r="C731" t="s">
        <v>653</v>
      </c>
      <c r="D731" t="s">
        <v>653</v>
      </c>
      <c r="E731" t="s">
        <v>72</v>
      </c>
      <c r="F731" t="s">
        <v>654</v>
      </c>
      <c r="G731" s="27" t="s">
        <v>760</v>
      </c>
      <c r="H731">
        <v>3</v>
      </c>
      <c r="I731">
        <v>959.75</v>
      </c>
      <c r="J731">
        <v>2879.25</v>
      </c>
      <c r="K731" t="s">
        <v>45</v>
      </c>
      <c r="L731">
        <v>20210727</v>
      </c>
      <c r="M731" t="s">
        <v>73</v>
      </c>
    </row>
    <row r="732" spans="1:13">
      <c r="A732">
        <v>731</v>
      </c>
      <c r="B732" t="s">
        <v>749</v>
      </c>
      <c r="C732" t="s">
        <v>742</v>
      </c>
      <c r="D732" t="s">
        <v>742</v>
      </c>
      <c r="E732" t="s">
        <v>72</v>
      </c>
      <c r="F732" t="s">
        <v>750</v>
      </c>
      <c r="G732" s="27" t="s">
        <v>762</v>
      </c>
      <c r="H732">
        <v>700</v>
      </c>
      <c r="I732">
        <v>132.36000000000001</v>
      </c>
      <c r="J732" s="54">
        <v>92652.000000000015</v>
      </c>
      <c r="K732" t="s">
        <v>45</v>
      </c>
      <c r="L732">
        <v>20210726</v>
      </c>
      <c r="M732" t="s">
        <v>73</v>
      </c>
    </row>
    <row r="733" spans="1:13">
      <c r="A733">
        <v>732</v>
      </c>
      <c r="B733" t="s">
        <v>723</v>
      </c>
      <c r="C733" t="s">
        <v>724</v>
      </c>
      <c r="D733" t="s">
        <v>725</v>
      </c>
      <c r="E733" t="s">
        <v>72</v>
      </c>
      <c r="F733" t="s">
        <v>726</v>
      </c>
      <c r="G733" s="27" t="s">
        <v>762</v>
      </c>
      <c r="H733">
        <v>30</v>
      </c>
      <c r="I733">
        <v>630.29999999999995</v>
      </c>
      <c r="J733">
        <v>18909</v>
      </c>
      <c r="K733" t="s">
        <v>45</v>
      </c>
      <c r="L733">
        <v>20210726</v>
      </c>
      <c r="M733" t="s">
        <v>73</v>
      </c>
    </row>
    <row r="734" spans="1:13">
      <c r="A734">
        <v>733</v>
      </c>
      <c r="B734" t="s">
        <v>740</v>
      </c>
      <c r="C734" t="s">
        <v>740</v>
      </c>
      <c r="D734" t="s">
        <v>740</v>
      </c>
      <c r="E734" t="s">
        <v>72</v>
      </c>
      <c r="F734" t="s">
        <v>741</v>
      </c>
      <c r="G734" s="27" t="s">
        <v>762</v>
      </c>
      <c r="H734">
        <v>300</v>
      </c>
      <c r="I734">
        <v>383.14</v>
      </c>
      <c r="J734">
        <v>114942</v>
      </c>
      <c r="K734" t="s">
        <v>45</v>
      </c>
      <c r="L734">
        <v>20210726</v>
      </c>
      <c r="M734" t="s">
        <v>73</v>
      </c>
    </row>
    <row r="735" spans="1:13">
      <c r="A735">
        <v>734</v>
      </c>
      <c r="B735" t="s">
        <v>651</v>
      </c>
      <c r="C735" t="s">
        <v>653</v>
      </c>
      <c r="D735" t="s">
        <v>653</v>
      </c>
      <c r="E735" t="s">
        <v>72</v>
      </c>
      <c r="F735" t="s">
        <v>654</v>
      </c>
      <c r="G735" s="27" t="s">
        <v>762</v>
      </c>
      <c r="H735">
        <v>5</v>
      </c>
      <c r="I735">
        <v>963</v>
      </c>
      <c r="J735">
        <v>4815</v>
      </c>
      <c r="K735" t="s">
        <v>45</v>
      </c>
      <c r="L735">
        <v>20210726</v>
      </c>
      <c r="M735" t="s">
        <v>73</v>
      </c>
    </row>
    <row r="736" spans="1:13">
      <c r="A736">
        <v>735</v>
      </c>
      <c r="B736" t="s">
        <v>651</v>
      </c>
      <c r="C736" t="s">
        <v>653</v>
      </c>
      <c r="D736" t="s">
        <v>653</v>
      </c>
      <c r="E736" t="s">
        <v>72</v>
      </c>
      <c r="F736" t="s">
        <v>654</v>
      </c>
      <c r="G736" s="27" t="s">
        <v>736</v>
      </c>
      <c r="H736">
        <v>3</v>
      </c>
      <c r="I736" s="54">
        <v>976.3</v>
      </c>
      <c r="J736" s="54">
        <v>2928.8999999999996</v>
      </c>
      <c r="K736" t="s">
        <v>45</v>
      </c>
      <c r="L736">
        <v>20210723</v>
      </c>
      <c r="M736" t="s">
        <v>73</v>
      </c>
    </row>
    <row r="737" spans="1:13">
      <c r="A737">
        <v>736</v>
      </c>
      <c r="B737" t="s">
        <v>27</v>
      </c>
      <c r="C737">
        <v>500288</v>
      </c>
      <c r="D737" t="s">
        <v>104</v>
      </c>
      <c r="E737" t="s">
        <v>72</v>
      </c>
      <c r="F737" t="s">
        <v>105</v>
      </c>
      <c r="G737" s="27" t="s">
        <v>736</v>
      </c>
      <c r="H737">
        <v>25</v>
      </c>
      <c r="I737">
        <v>65.75</v>
      </c>
      <c r="J737">
        <v>1643.75</v>
      </c>
      <c r="K737" t="s">
        <v>45</v>
      </c>
      <c r="L737">
        <v>20210723</v>
      </c>
      <c r="M737" t="s">
        <v>73</v>
      </c>
    </row>
    <row r="738" spans="1:13">
      <c r="A738">
        <v>737</v>
      </c>
      <c r="B738" t="s">
        <v>674</v>
      </c>
      <c r="C738" t="s">
        <v>675</v>
      </c>
      <c r="D738" t="s">
        <v>675</v>
      </c>
      <c r="E738" t="s">
        <v>72</v>
      </c>
      <c r="F738" t="s">
        <v>676</v>
      </c>
      <c r="G738" s="27" t="s">
        <v>737</v>
      </c>
      <c r="H738">
        <v>4</v>
      </c>
      <c r="I738">
        <v>668.4</v>
      </c>
      <c r="J738">
        <v>2673.6</v>
      </c>
      <c r="K738" t="s">
        <v>45</v>
      </c>
      <c r="L738">
        <v>20210722</v>
      </c>
      <c r="M738" t="s">
        <v>73</v>
      </c>
    </row>
    <row r="739" spans="1:13">
      <c r="A739">
        <v>738</v>
      </c>
      <c r="B739" t="s">
        <v>723</v>
      </c>
      <c r="C739" t="s">
        <v>724</v>
      </c>
      <c r="D739" t="s">
        <v>725</v>
      </c>
      <c r="E739" t="s">
        <v>72</v>
      </c>
      <c r="F739" t="s">
        <v>726</v>
      </c>
      <c r="G739" s="27" t="s">
        <v>737</v>
      </c>
      <c r="H739">
        <v>10</v>
      </c>
      <c r="I739">
        <v>632.9</v>
      </c>
      <c r="J739">
        <v>6329</v>
      </c>
      <c r="K739" t="s">
        <v>45</v>
      </c>
      <c r="L739">
        <v>20210722</v>
      </c>
      <c r="M739" t="s">
        <v>73</v>
      </c>
    </row>
    <row r="740" spans="1:13">
      <c r="A740">
        <v>739</v>
      </c>
      <c r="B740" t="s">
        <v>651</v>
      </c>
      <c r="C740" t="s">
        <v>653</v>
      </c>
      <c r="D740" t="s">
        <v>653</v>
      </c>
      <c r="E740" t="s">
        <v>72</v>
      </c>
      <c r="F740" t="s">
        <v>654</v>
      </c>
      <c r="G740" s="27" t="s">
        <v>737</v>
      </c>
      <c r="H740">
        <v>10</v>
      </c>
      <c r="I740">
        <v>984.9</v>
      </c>
      <c r="J740">
        <v>9849</v>
      </c>
      <c r="K740" t="s">
        <v>45</v>
      </c>
      <c r="L740">
        <v>20210722</v>
      </c>
      <c r="M740" t="s">
        <v>73</v>
      </c>
    </row>
    <row r="741" spans="1:13">
      <c r="A741">
        <v>740</v>
      </c>
      <c r="B741" t="s">
        <v>651</v>
      </c>
      <c r="C741" t="s">
        <v>653</v>
      </c>
      <c r="D741" t="s">
        <v>653</v>
      </c>
      <c r="E741" t="s">
        <v>72</v>
      </c>
      <c r="F741" t="s">
        <v>654</v>
      </c>
      <c r="G741" s="27" t="s">
        <v>738</v>
      </c>
      <c r="H741">
        <v>20</v>
      </c>
      <c r="I741">
        <v>1011.3</v>
      </c>
      <c r="J741">
        <v>20226</v>
      </c>
      <c r="K741" t="s">
        <v>45</v>
      </c>
      <c r="L741">
        <v>20210720</v>
      </c>
      <c r="M741" t="s">
        <v>73</v>
      </c>
    </row>
    <row r="742" spans="1:13">
      <c r="A742">
        <v>741</v>
      </c>
      <c r="B742" t="s">
        <v>674</v>
      </c>
      <c r="C742" t="s">
        <v>675</v>
      </c>
      <c r="D742" t="s">
        <v>675</v>
      </c>
      <c r="E742" t="s">
        <v>72</v>
      </c>
      <c r="F742" t="s">
        <v>676</v>
      </c>
      <c r="G742" s="27" t="s">
        <v>738</v>
      </c>
      <c r="H742">
        <v>5</v>
      </c>
      <c r="I742">
        <v>677.5</v>
      </c>
      <c r="J742">
        <v>3387.5</v>
      </c>
      <c r="K742" t="s">
        <v>45</v>
      </c>
      <c r="L742">
        <v>20210720</v>
      </c>
      <c r="M742" t="s">
        <v>73</v>
      </c>
    </row>
    <row r="743" spans="1:13">
      <c r="A743">
        <v>742</v>
      </c>
      <c r="B743" t="s">
        <v>610</v>
      </c>
      <c r="C743" t="s">
        <v>695</v>
      </c>
      <c r="D743" t="s">
        <v>688</v>
      </c>
      <c r="E743" t="s">
        <v>72</v>
      </c>
      <c r="F743" t="s">
        <v>612</v>
      </c>
      <c r="G743" s="27" t="s">
        <v>738</v>
      </c>
      <c r="H743">
        <v>10</v>
      </c>
      <c r="I743">
        <v>320.95299999999997</v>
      </c>
      <c r="J743">
        <v>3209.5299999999997</v>
      </c>
      <c r="K743" t="s">
        <v>45</v>
      </c>
      <c r="L743">
        <v>20210720</v>
      </c>
      <c r="M743" t="s">
        <v>73</v>
      </c>
    </row>
    <row r="744" spans="1:13">
      <c r="A744">
        <v>743</v>
      </c>
      <c r="B744" t="s">
        <v>674</v>
      </c>
      <c r="C744" t="s">
        <v>675</v>
      </c>
      <c r="D744" t="s">
        <v>675</v>
      </c>
      <c r="E744" t="s">
        <v>72</v>
      </c>
      <c r="F744" t="s">
        <v>676</v>
      </c>
      <c r="G744" s="27" t="s">
        <v>739</v>
      </c>
      <c r="H744">
        <v>5</v>
      </c>
      <c r="I744">
        <v>690.2</v>
      </c>
      <c r="J744">
        <v>3451</v>
      </c>
      <c r="K744" t="s">
        <v>45</v>
      </c>
      <c r="L744">
        <v>20210719</v>
      </c>
      <c r="M744" t="s">
        <v>73</v>
      </c>
    </row>
    <row r="745" spans="1:13">
      <c r="A745">
        <v>744</v>
      </c>
      <c r="B745" t="s">
        <v>539</v>
      </c>
      <c r="C745" t="s">
        <v>540</v>
      </c>
      <c r="D745" t="s">
        <v>540</v>
      </c>
      <c r="E745" t="s">
        <v>72</v>
      </c>
      <c r="F745" t="s">
        <v>541</v>
      </c>
      <c r="G745" s="27" t="s">
        <v>739</v>
      </c>
      <c r="H745">
        <v>3</v>
      </c>
      <c r="I745">
        <v>1162.1500000000001</v>
      </c>
      <c r="J745">
        <v>3486.4500000000003</v>
      </c>
      <c r="K745" t="s">
        <v>45</v>
      </c>
      <c r="L745">
        <v>20210719</v>
      </c>
      <c r="M745" t="s">
        <v>73</v>
      </c>
    </row>
    <row r="746" spans="1:13">
      <c r="A746">
        <v>745</v>
      </c>
      <c r="B746" t="s">
        <v>610</v>
      </c>
      <c r="C746" t="s">
        <v>695</v>
      </c>
      <c r="D746" t="s">
        <v>688</v>
      </c>
      <c r="E746" t="s">
        <v>72</v>
      </c>
      <c r="F746" t="s">
        <v>612</v>
      </c>
      <c r="G746" s="27" t="s">
        <v>739</v>
      </c>
      <c r="H746">
        <v>10</v>
      </c>
      <c r="I746">
        <v>330.5</v>
      </c>
      <c r="J746">
        <v>3305</v>
      </c>
      <c r="K746" t="s">
        <v>45</v>
      </c>
      <c r="L746">
        <v>20210719</v>
      </c>
      <c r="M746" t="s">
        <v>73</v>
      </c>
    </row>
    <row r="747" spans="1:13">
      <c r="A747">
        <v>746</v>
      </c>
      <c r="B747" t="s">
        <v>13</v>
      </c>
      <c r="C747" t="s">
        <v>83</v>
      </c>
      <c r="D747" t="s">
        <v>246</v>
      </c>
      <c r="E747" t="s">
        <v>76</v>
      </c>
      <c r="F747" t="s">
        <v>84</v>
      </c>
      <c r="G747" s="27" t="s">
        <v>739</v>
      </c>
      <c r="H747">
        <v>1</v>
      </c>
      <c r="I747">
        <v>1446.15</v>
      </c>
      <c r="J747">
        <v>1446.15</v>
      </c>
      <c r="K747" t="s">
        <v>45</v>
      </c>
      <c r="L747">
        <v>20210719</v>
      </c>
      <c r="M747" t="s">
        <v>73</v>
      </c>
    </row>
    <row r="748" spans="1:13">
      <c r="A748">
        <v>747</v>
      </c>
      <c r="B748" t="s">
        <v>723</v>
      </c>
      <c r="C748" t="s">
        <v>724</v>
      </c>
      <c r="D748" t="s">
        <v>725</v>
      </c>
      <c r="E748" t="s">
        <v>72</v>
      </c>
      <c r="F748" t="s">
        <v>726</v>
      </c>
      <c r="G748" s="27" t="s">
        <v>730</v>
      </c>
      <c r="H748">
        <v>100</v>
      </c>
      <c r="I748">
        <v>700.15</v>
      </c>
      <c r="J748">
        <v>70015</v>
      </c>
      <c r="K748" t="s">
        <v>45</v>
      </c>
      <c r="L748">
        <v>20210716</v>
      </c>
      <c r="M748" t="s">
        <v>73</v>
      </c>
    </row>
    <row r="749" spans="1:13">
      <c r="A749">
        <v>748</v>
      </c>
      <c r="B749" t="s">
        <v>727</v>
      </c>
      <c r="C749" t="s">
        <v>728</v>
      </c>
      <c r="D749" t="s">
        <v>728</v>
      </c>
      <c r="E749" t="s">
        <v>72</v>
      </c>
      <c r="F749" t="s">
        <v>729</v>
      </c>
      <c r="G749" s="27" t="s">
        <v>730</v>
      </c>
      <c r="H749">
        <v>44</v>
      </c>
      <c r="I749">
        <v>1701.4</v>
      </c>
      <c r="J749">
        <v>74861.600000000006</v>
      </c>
      <c r="K749" t="s">
        <v>45</v>
      </c>
      <c r="L749">
        <v>20210716</v>
      </c>
      <c r="M749" t="s">
        <v>73</v>
      </c>
    </row>
    <row r="750" spans="1:13">
      <c r="A750">
        <v>749</v>
      </c>
      <c r="B750" t="s">
        <v>218</v>
      </c>
      <c r="C750">
        <v>500408</v>
      </c>
      <c r="D750" t="s">
        <v>219</v>
      </c>
      <c r="E750" t="s">
        <v>72</v>
      </c>
      <c r="F750" t="s">
        <v>220</v>
      </c>
      <c r="G750" s="27" t="s">
        <v>730</v>
      </c>
      <c r="H750">
        <v>1</v>
      </c>
      <c r="I750">
        <v>4330.8500000000004</v>
      </c>
      <c r="J750">
        <v>4330.8500000000004</v>
      </c>
      <c r="K750" t="s">
        <v>45</v>
      </c>
      <c r="L750">
        <v>20210716</v>
      </c>
      <c r="M750" t="s">
        <v>73</v>
      </c>
    </row>
    <row r="751" spans="1:13">
      <c r="A751">
        <v>750</v>
      </c>
      <c r="B751" t="s">
        <v>27</v>
      </c>
      <c r="C751">
        <v>500288</v>
      </c>
      <c r="D751" t="s">
        <v>104</v>
      </c>
      <c r="E751" t="s">
        <v>72</v>
      </c>
      <c r="F751" t="s">
        <v>105</v>
      </c>
      <c r="G751" s="27" t="s">
        <v>731</v>
      </c>
      <c r="H751">
        <v>40</v>
      </c>
      <c r="I751">
        <v>67.63</v>
      </c>
      <c r="J751">
        <v>2705.2</v>
      </c>
      <c r="K751" t="s">
        <v>45</v>
      </c>
      <c r="L751">
        <v>20210715</v>
      </c>
      <c r="M751" t="s">
        <v>73</v>
      </c>
    </row>
    <row r="752" spans="1:13">
      <c r="A752">
        <v>751</v>
      </c>
      <c r="B752" t="s">
        <v>610</v>
      </c>
      <c r="C752" t="s">
        <v>695</v>
      </c>
      <c r="D752" t="s">
        <v>688</v>
      </c>
      <c r="E752" t="s">
        <v>72</v>
      </c>
      <c r="F752" t="s">
        <v>612</v>
      </c>
      <c r="G752" s="27" t="s">
        <v>732</v>
      </c>
      <c r="H752">
        <v>60</v>
      </c>
      <c r="I752">
        <v>313.23700000000002</v>
      </c>
      <c r="J752">
        <v>18794.22</v>
      </c>
      <c r="K752" t="s">
        <v>45</v>
      </c>
      <c r="L752">
        <v>20210714</v>
      </c>
      <c r="M752" t="s">
        <v>73</v>
      </c>
    </row>
    <row r="753" spans="1:13">
      <c r="A753">
        <v>752</v>
      </c>
      <c r="B753" t="s">
        <v>27</v>
      </c>
      <c r="C753">
        <v>500288</v>
      </c>
      <c r="D753" t="s">
        <v>104</v>
      </c>
      <c r="E753" t="s">
        <v>72</v>
      </c>
      <c r="F753" t="s">
        <v>105</v>
      </c>
      <c r="G753" s="27" t="s">
        <v>732</v>
      </c>
      <c r="H753">
        <v>75</v>
      </c>
      <c r="I753">
        <v>69.150000000000006</v>
      </c>
      <c r="J753">
        <v>5186.25</v>
      </c>
      <c r="K753" t="s">
        <v>45</v>
      </c>
      <c r="L753">
        <v>20210714</v>
      </c>
      <c r="M753" t="s">
        <v>73</v>
      </c>
    </row>
    <row r="754" spans="1:13">
      <c r="A754">
        <v>753</v>
      </c>
      <c r="B754" t="s">
        <v>539</v>
      </c>
      <c r="C754" t="s">
        <v>540</v>
      </c>
      <c r="D754" t="s">
        <v>540</v>
      </c>
      <c r="E754" t="s">
        <v>72</v>
      </c>
      <c r="F754" t="s">
        <v>541</v>
      </c>
      <c r="G754" s="27" t="s">
        <v>732</v>
      </c>
      <c r="H754">
        <v>2</v>
      </c>
      <c r="I754">
        <v>1169.75</v>
      </c>
      <c r="J754">
        <v>2339.5</v>
      </c>
      <c r="K754" t="s">
        <v>45</v>
      </c>
      <c r="L754">
        <v>20210714</v>
      </c>
      <c r="M754" t="s">
        <v>73</v>
      </c>
    </row>
    <row r="755" spans="1:13">
      <c r="A755">
        <v>754</v>
      </c>
      <c r="B755" t="s">
        <v>610</v>
      </c>
      <c r="C755" t="s">
        <v>695</v>
      </c>
      <c r="D755" t="s">
        <v>688</v>
      </c>
      <c r="E755" t="s">
        <v>72</v>
      </c>
      <c r="F755" t="s">
        <v>612</v>
      </c>
      <c r="G755" s="27" t="s">
        <v>733</v>
      </c>
      <c r="H755">
        <v>30</v>
      </c>
      <c r="I755">
        <v>336.52699999999999</v>
      </c>
      <c r="J755">
        <v>10095.81</v>
      </c>
      <c r="K755" t="s">
        <v>45</v>
      </c>
      <c r="L755">
        <v>20210713</v>
      </c>
      <c r="M755" t="s">
        <v>73</v>
      </c>
    </row>
    <row r="756" spans="1:13">
      <c r="A756">
        <v>755</v>
      </c>
      <c r="B756" t="s">
        <v>610</v>
      </c>
      <c r="C756" t="s">
        <v>695</v>
      </c>
      <c r="D756" t="s">
        <v>688</v>
      </c>
      <c r="E756" t="s">
        <v>72</v>
      </c>
      <c r="F756" t="s">
        <v>612</v>
      </c>
      <c r="G756" s="27" t="s">
        <v>734</v>
      </c>
      <c r="H756">
        <v>20</v>
      </c>
      <c r="I756">
        <v>350.84800000000001</v>
      </c>
      <c r="J756">
        <v>7016.96</v>
      </c>
      <c r="K756" t="s">
        <v>45</v>
      </c>
      <c r="L756">
        <v>20210712</v>
      </c>
      <c r="M756" t="s">
        <v>73</v>
      </c>
    </row>
    <row r="757" spans="1:13">
      <c r="A757">
        <v>756</v>
      </c>
      <c r="B757" t="s">
        <v>218</v>
      </c>
      <c r="C757">
        <v>500408</v>
      </c>
      <c r="D757" t="s">
        <v>219</v>
      </c>
      <c r="E757" t="s">
        <v>72</v>
      </c>
      <c r="F757" t="s">
        <v>220</v>
      </c>
      <c r="G757" s="27" t="s">
        <v>718</v>
      </c>
      <c r="H757">
        <v>1</v>
      </c>
      <c r="I757" s="54">
        <v>4257.95</v>
      </c>
      <c r="J757" s="54">
        <v>4257.95</v>
      </c>
      <c r="K757" t="s">
        <v>45</v>
      </c>
      <c r="L757">
        <v>20210707</v>
      </c>
      <c r="M757" t="s">
        <v>73</v>
      </c>
    </row>
    <row r="758" spans="1:13">
      <c r="A758">
        <v>757</v>
      </c>
      <c r="B758" t="s">
        <v>539</v>
      </c>
      <c r="C758" t="s">
        <v>540</v>
      </c>
      <c r="D758" t="s">
        <v>540</v>
      </c>
      <c r="E758" t="s">
        <v>72</v>
      </c>
      <c r="F758" t="s">
        <v>541</v>
      </c>
      <c r="G758" s="27" t="s">
        <v>719</v>
      </c>
      <c r="H758">
        <v>3</v>
      </c>
      <c r="I758">
        <v>1187.58</v>
      </c>
      <c r="J758">
        <v>3562.74</v>
      </c>
      <c r="K758" t="s">
        <v>45</v>
      </c>
      <c r="L758">
        <v>20210706</v>
      </c>
      <c r="M758" t="s">
        <v>73</v>
      </c>
    </row>
    <row r="759" spans="1:13">
      <c r="A759">
        <v>758</v>
      </c>
      <c r="B759" t="s">
        <v>674</v>
      </c>
      <c r="C759" t="s">
        <v>675</v>
      </c>
      <c r="D759" t="s">
        <v>675</v>
      </c>
      <c r="E759" t="s">
        <v>72</v>
      </c>
      <c r="F759" t="s">
        <v>676</v>
      </c>
      <c r="G759" s="27" t="s">
        <v>719</v>
      </c>
      <c r="H759">
        <v>8</v>
      </c>
      <c r="I759">
        <v>681.48</v>
      </c>
      <c r="J759">
        <v>5451.84</v>
      </c>
      <c r="K759" t="s">
        <v>45</v>
      </c>
      <c r="L759">
        <v>20210706</v>
      </c>
      <c r="M759" t="s">
        <v>73</v>
      </c>
    </row>
    <row r="760" spans="1:13">
      <c r="A760">
        <v>759</v>
      </c>
      <c r="B760" t="s">
        <v>218</v>
      </c>
      <c r="C760">
        <v>500408</v>
      </c>
      <c r="D760" t="s">
        <v>219</v>
      </c>
      <c r="E760" t="s">
        <v>72</v>
      </c>
      <c r="F760" t="s">
        <v>220</v>
      </c>
      <c r="G760" s="27" t="s">
        <v>720</v>
      </c>
      <c r="H760">
        <v>2</v>
      </c>
      <c r="I760">
        <v>4400.5</v>
      </c>
      <c r="J760">
        <v>8801</v>
      </c>
      <c r="K760" t="s">
        <v>45</v>
      </c>
      <c r="L760">
        <v>20210705</v>
      </c>
      <c r="M760" t="s">
        <v>73</v>
      </c>
    </row>
    <row r="761" spans="1:13">
      <c r="A761">
        <v>760</v>
      </c>
      <c r="B761" t="s">
        <v>712</v>
      </c>
      <c r="C761" t="s">
        <v>713</v>
      </c>
      <c r="D761" t="s">
        <v>714</v>
      </c>
      <c r="E761" t="s">
        <v>72</v>
      </c>
      <c r="F761" t="s">
        <v>715</v>
      </c>
      <c r="G761" s="27" t="s">
        <v>720</v>
      </c>
      <c r="H761">
        <v>109</v>
      </c>
      <c r="I761">
        <v>915.8</v>
      </c>
      <c r="J761">
        <v>99822.2</v>
      </c>
      <c r="K761" t="s">
        <v>45</v>
      </c>
      <c r="L761">
        <v>20210705</v>
      </c>
      <c r="M761" t="s">
        <v>73</v>
      </c>
    </row>
    <row r="762" spans="1:13">
      <c r="A762">
        <v>761</v>
      </c>
      <c r="B762" t="s">
        <v>674</v>
      </c>
      <c r="C762" t="s">
        <v>675</v>
      </c>
      <c r="D762" t="s">
        <v>675</v>
      </c>
      <c r="E762" t="s">
        <v>72</v>
      </c>
      <c r="F762" t="s">
        <v>676</v>
      </c>
      <c r="G762" s="27" t="s">
        <v>704</v>
      </c>
      <c r="H762">
        <v>5</v>
      </c>
      <c r="I762">
        <v>684.2</v>
      </c>
      <c r="J762">
        <v>3421</v>
      </c>
      <c r="K762" t="s">
        <v>45</v>
      </c>
      <c r="L762">
        <v>20210702</v>
      </c>
      <c r="M762" t="s">
        <v>73</v>
      </c>
    </row>
    <row r="763" spans="1:13">
      <c r="A763">
        <v>762</v>
      </c>
      <c r="B763" t="s">
        <v>539</v>
      </c>
      <c r="C763" t="s">
        <v>540</v>
      </c>
      <c r="D763" t="s">
        <v>540</v>
      </c>
      <c r="E763" t="s">
        <v>72</v>
      </c>
      <c r="F763" t="s">
        <v>541</v>
      </c>
      <c r="G763" s="27" t="s">
        <v>710</v>
      </c>
      <c r="H763">
        <v>3</v>
      </c>
      <c r="I763">
        <v>1146.05</v>
      </c>
      <c r="J763">
        <v>3438.1499999999996</v>
      </c>
      <c r="K763" t="s">
        <v>45</v>
      </c>
      <c r="L763">
        <v>20210701</v>
      </c>
      <c r="M763" t="s">
        <v>73</v>
      </c>
    </row>
    <row r="764" spans="1:13">
      <c r="A764">
        <v>763</v>
      </c>
      <c r="B764" t="s">
        <v>674</v>
      </c>
      <c r="C764" t="s">
        <v>675</v>
      </c>
      <c r="D764" t="s">
        <v>675</v>
      </c>
      <c r="E764" t="s">
        <v>72</v>
      </c>
      <c r="F764" t="s">
        <v>676</v>
      </c>
      <c r="G764" s="27" t="s">
        <v>707</v>
      </c>
      <c r="H764">
        <v>5</v>
      </c>
      <c r="I764">
        <v>693.7</v>
      </c>
      <c r="J764">
        <v>3468.5</v>
      </c>
      <c r="K764" t="s">
        <v>45</v>
      </c>
      <c r="L764">
        <v>20210630</v>
      </c>
      <c r="M764" t="s">
        <v>73</v>
      </c>
    </row>
    <row r="765" spans="1:13">
      <c r="A765">
        <v>764</v>
      </c>
      <c r="B765" t="s">
        <v>539</v>
      </c>
      <c r="C765" t="s">
        <v>540</v>
      </c>
      <c r="D765" t="s">
        <v>540</v>
      </c>
      <c r="E765" t="s">
        <v>72</v>
      </c>
      <c r="F765" t="s">
        <v>541</v>
      </c>
      <c r="G765" s="27" t="s">
        <v>709</v>
      </c>
      <c r="H765">
        <v>6</v>
      </c>
      <c r="I765">
        <v>1166.8699999999999</v>
      </c>
      <c r="J765">
        <v>7001.2199999999993</v>
      </c>
      <c r="K765" t="s">
        <v>45</v>
      </c>
      <c r="L765">
        <v>20210629</v>
      </c>
      <c r="M765" t="s">
        <v>73</v>
      </c>
    </row>
    <row r="766" spans="1:13">
      <c r="A766">
        <v>765</v>
      </c>
      <c r="B766" t="s">
        <v>717</v>
      </c>
      <c r="C766" t="s">
        <v>705</v>
      </c>
      <c r="D766" t="s">
        <v>705</v>
      </c>
      <c r="E766" t="s">
        <v>72</v>
      </c>
      <c r="F766" t="s">
        <v>706</v>
      </c>
      <c r="G766" s="27" t="s">
        <v>708</v>
      </c>
      <c r="H766">
        <v>14</v>
      </c>
      <c r="I766">
        <v>961.3</v>
      </c>
      <c r="J766">
        <v>13458.199999999999</v>
      </c>
      <c r="K766" t="s">
        <v>45</v>
      </c>
      <c r="L766">
        <v>20210628</v>
      </c>
      <c r="M766" t="s">
        <v>73</v>
      </c>
    </row>
    <row r="767" spans="1:13">
      <c r="A767">
        <v>766</v>
      </c>
      <c r="B767" t="s">
        <v>674</v>
      </c>
      <c r="C767" t="s">
        <v>675</v>
      </c>
      <c r="D767" t="s">
        <v>675</v>
      </c>
      <c r="E767" t="s">
        <v>72</v>
      </c>
      <c r="F767" t="s">
        <v>676</v>
      </c>
      <c r="G767" s="27" t="s">
        <v>708</v>
      </c>
      <c r="H767">
        <v>4</v>
      </c>
      <c r="I767">
        <v>706.75</v>
      </c>
      <c r="J767">
        <v>2827</v>
      </c>
      <c r="K767" t="s">
        <v>45</v>
      </c>
      <c r="L767">
        <v>20210628</v>
      </c>
      <c r="M767" t="s">
        <v>73</v>
      </c>
    </row>
    <row r="768" spans="1:13">
      <c r="A768">
        <v>767</v>
      </c>
      <c r="B768" t="s">
        <v>697</v>
      </c>
      <c r="C768" t="s">
        <v>698</v>
      </c>
      <c r="D768" t="s">
        <v>698</v>
      </c>
      <c r="E768" t="s">
        <v>72</v>
      </c>
      <c r="F768" t="s">
        <v>699</v>
      </c>
      <c r="G768" s="27" t="s">
        <v>700</v>
      </c>
      <c r="H768">
        <v>200</v>
      </c>
      <c r="I768">
        <v>291.02999999999997</v>
      </c>
      <c r="J768">
        <v>58205.999999999993</v>
      </c>
      <c r="K768" t="s">
        <v>45</v>
      </c>
      <c r="L768">
        <v>20210624</v>
      </c>
      <c r="M768" t="s">
        <v>73</v>
      </c>
    </row>
    <row r="769" spans="1:13">
      <c r="A769">
        <v>768</v>
      </c>
      <c r="B769" t="s">
        <v>527</v>
      </c>
      <c r="C769" t="s">
        <v>528</v>
      </c>
      <c r="D769" t="s">
        <v>528</v>
      </c>
      <c r="E769" t="s">
        <v>72</v>
      </c>
      <c r="F769" t="s">
        <v>529</v>
      </c>
      <c r="G769" s="27" t="s">
        <v>692</v>
      </c>
      <c r="H769">
        <v>11</v>
      </c>
      <c r="I769">
        <v>704.6</v>
      </c>
      <c r="J769">
        <v>7750.6</v>
      </c>
      <c r="K769" t="s">
        <v>45</v>
      </c>
      <c r="L769">
        <v>20210618</v>
      </c>
      <c r="M769" t="s">
        <v>73</v>
      </c>
    </row>
    <row r="770" spans="1:13">
      <c r="A770">
        <v>769</v>
      </c>
      <c r="B770" t="s">
        <v>689</v>
      </c>
      <c r="C770" t="s">
        <v>690</v>
      </c>
      <c r="D770" t="s">
        <v>690</v>
      </c>
      <c r="E770" t="s">
        <v>72</v>
      </c>
      <c r="F770" t="s">
        <v>691</v>
      </c>
      <c r="G770" s="27" t="s">
        <v>693</v>
      </c>
      <c r="H770">
        <v>36</v>
      </c>
      <c r="I770">
        <v>3048.46</v>
      </c>
      <c r="J770">
        <v>109744.56</v>
      </c>
      <c r="K770" t="s">
        <v>45</v>
      </c>
      <c r="L770">
        <v>20210616</v>
      </c>
      <c r="M770" t="s">
        <v>73</v>
      </c>
    </row>
    <row r="771" spans="1:13">
      <c r="A771">
        <v>770</v>
      </c>
      <c r="B771" t="s">
        <v>527</v>
      </c>
      <c r="C771" t="s">
        <v>528</v>
      </c>
      <c r="D771" t="s">
        <v>528</v>
      </c>
      <c r="E771" t="s">
        <v>72</v>
      </c>
      <c r="F771" t="s">
        <v>529</v>
      </c>
      <c r="G771" s="27" t="s">
        <v>694</v>
      </c>
      <c r="H771">
        <v>5</v>
      </c>
      <c r="I771">
        <v>756.75</v>
      </c>
      <c r="J771">
        <v>3783.75</v>
      </c>
      <c r="K771" t="s">
        <v>45</v>
      </c>
      <c r="L771">
        <v>20210614</v>
      </c>
      <c r="M771" t="s">
        <v>73</v>
      </c>
    </row>
    <row r="772" spans="1:13">
      <c r="A772">
        <v>771</v>
      </c>
      <c r="B772" t="s">
        <v>627</v>
      </c>
      <c r="C772" t="s">
        <v>683</v>
      </c>
      <c r="D772" t="s">
        <v>628</v>
      </c>
      <c r="E772" t="s">
        <v>72</v>
      </c>
      <c r="F772" t="s">
        <v>629</v>
      </c>
      <c r="G772" s="27" t="s">
        <v>687</v>
      </c>
      <c r="H772">
        <v>54</v>
      </c>
      <c r="I772">
        <v>379.5</v>
      </c>
      <c r="J772">
        <v>20493</v>
      </c>
      <c r="K772" t="s">
        <v>45</v>
      </c>
      <c r="L772">
        <v>20210611</v>
      </c>
      <c r="M772" t="s">
        <v>73</v>
      </c>
    </row>
    <row r="773" spans="1:13">
      <c r="A773">
        <v>772</v>
      </c>
      <c r="B773" t="s">
        <v>671</v>
      </c>
      <c r="C773" t="s">
        <v>672</v>
      </c>
      <c r="D773" t="s">
        <v>672</v>
      </c>
      <c r="E773" t="s">
        <v>72</v>
      </c>
      <c r="F773" t="s">
        <v>673</v>
      </c>
      <c r="G773" s="27" t="s">
        <v>684</v>
      </c>
      <c r="H773">
        <v>1</v>
      </c>
      <c r="I773">
        <v>5670.2</v>
      </c>
      <c r="J773">
        <v>5670.2</v>
      </c>
      <c r="K773" t="s">
        <v>45</v>
      </c>
      <c r="L773">
        <v>20210609</v>
      </c>
      <c r="M773" t="s">
        <v>73</v>
      </c>
    </row>
    <row r="774" spans="1:13">
      <c r="A774">
        <v>773</v>
      </c>
      <c r="B774" t="s">
        <v>627</v>
      </c>
      <c r="C774" t="s">
        <v>683</v>
      </c>
      <c r="D774" t="s">
        <v>628</v>
      </c>
      <c r="E774" t="s">
        <v>72</v>
      </c>
      <c r="F774" t="s">
        <v>629</v>
      </c>
      <c r="G774" s="27" t="s">
        <v>685</v>
      </c>
      <c r="H774">
        <v>8</v>
      </c>
      <c r="I774">
        <v>387.38</v>
      </c>
      <c r="J774">
        <v>3099.04</v>
      </c>
      <c r="K774" t="s">
        <v>45</v>
      </c>
      <c r="L774">
        <v>20210608</v>
      </c>
      <c r="M774" t="s">
        <v>73</v>
      </c>
    </row>
    <row r="775" spans="1:13">
      <c r="A775">
        <v>774</v>
      </c>
      <c r="B775" t="s">
        <v>530</v>
      </c>
      <c r="C775" t="s">
        <v>531</v>
      </c>
      <c r="D775" t="s">
        <v>531</v>
      </c>
      <c r="E775" t="s">
        <v>72</v>
      </c>
      <c r="F775" t="s">
        <v>532</v>
      </c>
      <c r="G775" s="27" t="s">
        <v>686</v>
      </c>
      <c r="H775">
        <v>3</v>
      </c>
      <c r="I775">
        <v>558.4</v>
      </c>
      <c r="J775">
        <v>1675.1999999999998</v>
      </c>
      <c r="K775" t="s">
        <v>45</v>
      </c>
      <c r="L775">
        <v>20210607</v>
      </c>
      <c r="M775" t="s">
        <v>73</v>
      </c>
    </row>
    <row r="776" spans="1:13">
      <c r="A776">
        <v>775</v>
      </c>
      <c r="B776" t="s">
        <v>671</v>
      </c>
      <c r="C776" t="s">
        <v>672</v>
      </c>
      <c r="D776" t="s">
        <v>672</v>
      </c>
      <c r="E776" t="s">
        <v>72</v>
      </c>
      <c r="F776" t="s">
        <v>673</v>
      </c>
      <c r="G776" s="27" t="s">
        <v>686</v>
      </c>
      <c r="H776">
        <v>1</v>
      </c>
      <c r="I776">
        <v>5743</v>
      </c>
      <c r="J776">
        <v>5743</v>
      </c>
      <c r="K776" t="s">
        <v>45</v>
      </c>
      <c r="L776">
        <v>20210607</v>
      </c>
      <c r="M776" t="s">
        <v>73</v>
      </c>
    </row>
    <row r="777" spans="1:13">
      <c r="A777">
        <v>776</v>
      </c>
      <c r="B777" t="s">
        <v>677</v>
      </c>
      <c r="C777" t="s">
        <v>678</v>
      </c>
      <c r="D777" t="s">
        <v>678</v>
      </c>
      <c r="E777" t="s">
        <v>72</v>
      </c>
      <c r="F777" t="s">
        <v>679</v>
      </c>
      <c r="G777" s="27" t="s">
        <v>680</v>
      </c>
      <c r="H777">
        <v>100</v>
      </c>
      <c r="I777">
        <v>714.15</v>
      </c>
      <c r="J777">
        <v>71415</v>
      </c>
      <c r="K777" t="s">
        <v>45</v>
      </c>
      <c r="L777">
        <v>20210603</v>
      </c>
      <c r="M777" t="s">
        <v>73</v>
      </c>
    </row>
    <row r="778" spans="1:13">
      <c r="A778">
        <v>777</v>
      </c>
      <c r="B778" t="s">
        <v>668</v>
      </c>
      <c r="C778" t="s">
        <v>669</v>
      </c>
      <c r="D778" t="s">
        <v>669</v>
      </c>
      <c r="E778" t="s">
        <v>72</v>
      </c>
      <c r="F778" t="s">
        <v>670</v>
      </c>
      <c r="G778" s="27" t="s">
        <v>681</v>
      </c>
      <c r="H778">
        <v>8</v>
      </c>
      <c r="I778">
        <v>4256</v>
      </c>
      <c r="J778">
        <v>34048</v>
      </c>
      <c r="K778" t="s">
        <v>45</v>
      </c>
      <c r="L778">
        <v>20210602</v>
      </c>
      <c r="M778" t="s">
        <v>73</v>
      </c>
    </row>
    <row r="779" spans="1:13">
      <c r="A779">
        <v>778</v>
      </c>
      <c r="B779" t="s">
        <v>674</v>
      </c>
      <c r="C779" t="s">
        <v>675</v>
      </c>
      <c r="D779" t="s">
        <v>675</v>
      </c>
      <c r="E779" t="s">
        <v>72</v>
      </c>
      <c r="F779" t="s">
        <v>676</v>
      </c>
      <c r="G779" s="27" t="s">
        <v>681</v>
      </c>
      <c r="H779">
        <v>88</v>
      </c>
      <c r="I779">
        <v>675.25</v>
      </c>
      <c r="J779">
        <v>59422</v>
      </c>
      <c r="K779" t="s">
        <v>45</v>
      </c>
      <c r="L779">
        <v>20210602</v>
      </c>
      <c r="M779" t="s">
        <v>73</v>
      </c>
    </row>
    <row r="780" spans="1:13">
      <c r="A780">
        <v>779</v>
      </c>
      <c r="B780" t="s">
        <v>671</v>
      </c>
      <c r="C780" t="s">
        <v>672</v>
      </c>
      <c r="D780" t="s">
        <v>672</v>
      </c>
      <c r="E780" t="s">
        <v>72</v>
      </c>
      <c r="F780" t="s">
        <v>673</v>
      </c>
      <c r="G780" s="27" t="s">
        <v>681</v>
      </c>
      <c r="H780">
        <v>10</v>
      </c>
      <c r="I780">
        <v>5773.85</v>
      </c>
      <c r="J780">
        <v>57738.5</v>
      </c>
      <c r="K780" t="s">
        <v>45</v>
      </c>
      <c r="L780">
        <v>20210602</v>
      </c>
      <c r="M780" t="s">
        <v>73</v>
      </c>
    </row>
    <row r="781" spans="1:13">
      <c r="A781">
        <v>780</v>
      </c>
      <c r="B781" t="s">
        <v>665</v>
      </c>
      <c r="C781" t="s">
        <v>666</v>
      </c>
      <c r="D781" t="s">
        <v>666</v>
      </c>
      <c r="E781" t="s">
        <v>72</v>
      </c>
      <c r="F781" t="s">
        <v>667</v>
      </c>
      <c r="G781" s="27" t="s">
        <v>682</v>
      </c>
      <c r="H781">
        <v>5</v>
      </c>
      <c r="I781">
        <v>2925.9</v>
      </c>
      <c r="J781">
        <v>14629.5</v>
      </c>
      <c r="K781" t="s">
        <v>45</v>
      </c>
      <c r="L781">
        <v>20210601</v>
      </c>
      <c r="M781" t="s">
        <v>73</v>
      </c>
    </row>
    <row r="782" spans="1:13">
      <c r="A782">
        <v>781</v>
      </c>
      <c r="B782" t="s">
        <v>649</v>
      </c>
      <c r="C782" t="s">
        <v>648</v>
      </c>
      <c r="D782" t="s">
        <v>648</v>
      </c>
      <c r="E782" t="s">
        <v>72</v>
      </c>
      <c r="F782" t="s">
        <v>652</v>
      </c>
      <c r="G782" s="27" t="s">
        <v>658</v>
      </c>
      <c r="H782">
        <v>650</v>
      </c>
      <c r="I782">
        <v>86.82</v>
      </c>
      <c r="J782">
        <v>56432.999999999993</v>
      </c>
      <c r="K782" t="s">
        <v>45</v>
      </c>
      <c r="L782">
        <v>20210527</v>
      </c>
      <c r="M782" t="s">
        <v>73</v>
      </c>
    </row>
    <row r="783" spans="1:13">
      <c r="A783">
        <v>782</v>
      </c>
      <c r="B783" t="s">
        <v>650</v>
      </c>
      <c r="C783" t="s">
        <v>655</v>
      </c>
      <c r="D783" t="s">
        <v>655</v>
      </c>
      <c r="E783" t="s">
        <v>72</v>
      </c>
      <c r="F783" t="s">
        <v>656</v>
      </c>
      <c r="G783" s="27" t="s">
        <v>662</v>
      </c>
      <c r="H783">
        <v>6</v>
      </c>
      <c r="I783">
        <v>7687.88</v>
      </c>
      <c r="J783">
        <v>46127.28</v>
      </c>
      <c r="K783" t="s">
        <v>45</v>
      </c>
      <c r="L783">
        <v>20210525</v>
      </c>
      <c r="M783" t="s">
        <v>73</v>
      </c>
    </row>
    <row r="784" spans="1:13">
      <c r="A784">
        <v>783</v>
      </c>
      <c r="B784" t="s">
        <v>627</v>
      </c>
      <c r="C784" t="s">
        <v>628</v>
      </c>
      <c r="D784" t="s">
        <v>628</v>
      </c>
      <c r="E784" t="s">
        <v>72</v>
      </c>
      <c r="F784" t="s">
        <v>629</v>
      </c>
      <c r="G784" s="27" t="s">
        <v>661</v>
      </c>
      <c r="H784">
        <v>19</v>
      </c>
      <c r="I784">
        <v>334.45</v>
      </c>
      <c r="J784">
        <v>6354.55</v>
      </c>
      <c r="K784" t="s">
        <v>45</v>
      </c>
      <c r="L784">
        <v>20210524</v>
      </c>
      <c r="M784" t="s">
        <v>73</v>
      </c>
    </row>
    <row r="785" spans="1:13">
      <c r="A785">
        <v>784</v>
      </c>
      <c r="B785" t="s">
        <v>19</v>
      </c>
      <c r="C785" t="s">
        <v>90</v>
      </c>
      <c r="D785" t="s">
        <v>90</v>
      </c>
      <c r="E785" t="s">
        <v>72</v>
      </c>
      <c r="F785" t="s">
        <v>91</v>
      </c>
      <c r="G785" s="27" t="s">
        <v>661</v>
      </c>
      <c r="H785">
        <v>1</v>
      </c>
      <c r="I785">
        <v>333.1</v>
      </c>
      <c r="J785">
        <v>333.1</v>
      </c>
      <c r="K785" t="s">
        <v>45</v>
      </c>
      <c r="L785">
        <v>20210524</v>
      </c>
      <c r="M785" t="s">
        <v>73</v>
      </c>
    </row>
    <row r="786" spans="1:13">
      <c r="A786">
        <v>785</v>
      </c>
      <c r="B786" t="s">
        <v>651</v>
      </c>
      <c r="C786" t="s">
        <v>653</v>
      </c>
      <c r="D786" t="s">
        <v>653</v>
      </c>
      <c r="E786" t="s">
        <v>72</v>
      </c>
      <c r="F786" t="s">
        <v>654</v>
      </c>
      <c r="G786" s="27" t="s">
        <v>660</v>
      </c>
      <c r="H786">
        <v>93</v>
      </c>
      <c r="I786">
        <v>791.12</v>
      </c>
      <c r="J786">
        <v>73574.16</v>
      </c>
      <c r="K786" t="s">
        <v>45</v>
      </c>
      <c r="L786">
        <v>20210524</v>
      </c>
      <c r="M786" t="s">
        <v>73</v>
      </c>
    </row>
    <row r="787" spans="1:13">
      <c r="A787">
        <v>786</v>
      </c>
      <c r="B787" t="s">
        <v>627</v>
      </c>
      <c r="C787" t="s">
        <v>628</v>
      </c>
      <c r="D787" t="s">
        <v>628</v>
      </c>
      <c r="E787" t="s">
        <v>72</v>
      </c>
      <c r="F787" t="s">
        <v>629</v>
      </c>
      <c r="G787" s="27" t="s">
        <v>640</v>
      </c>
      <c r="H787">
        <v>50</v>
      </c>
      <c r="I787">
        <v>361.24</v>
      </c>
      <c r="J787" s="54">
        <v>18062</v>
      </c>
      <c r="K787" t="s">
        <v>45</v>
      </c>
      <c r="L787">
        <v>20210521</v>
      </c>
      <c r="M787" t="s">
        <v>73</v>
      </c>
    </row>
    <row r="788" spans="1:13">
      <c r="A788">
        <v>787</v>
      </c>
      <c r="B788" t="s">
        <v>610</v>
      </c>
      <c r="C788" t="s">
        <v>611</v>
      </c>
      <c r="D788" t="s">
        <v>611</v>
      </c>
      <c r="E788" t="s">
        <v>72</v>
      </c>
      <c r="F788" t="s">
        <v>612</v>
      </c>
      <c r="G788" s="27" t="s">
        <v>640</v>
      </c>
      <c r="H788">
        <v>100</v>
      </c>
      <c r="I788">
        <v>247.07300000000001</v>
      </c>
      <c r="J788">
        <v>24707.3</v>
      </c>
      <c r="K788" t="s">
        <v>45</v>
      </c>
      <c r="L788">
        <v>20210521</v>
      </c>
      <c r="M788" t="s">
        <v>73</v>
      </c>
    </row>
    <row r="789" spans="1:13">
      <c r="A789">
        <v>788</v>
      </c>
      <c r="B789" t="s">
        <v>645</v>
      </c>
      <c r="C789" t="s">
        <v>646</v>
      </c>
      <c r="D789" t="s">
        <v>646</v>
      </c>
      <c r="E789" t="s">
        <v>72</v>
      </c>
      <c r="F789" t="s">
        <v>647</v>
      </c>
      <c r="G789" s="27" t="s">
        <v>641</v>
      </c>
      <c r="H789">
        <v>33</v>
      </c>
      <c r="I789">
        <v>2228.83</v>
      </c>
      <c r="J789">
        <v>73551.39</v>
      </c>
      <c r="K789" t="s">
        <v>45</v>
      </c>
      <c r="L789">
        <v>20210520</v>
      </c>
      <c r="M789" t="s">
        <v>73</v>
      </c>
    </row>
    <row r="790" spans="1:13">
      <c r="A790">
        <v>789</v>
      </c>
      <c r="B790" t="s">
        <v>627</v>
      </c>
      <c r="C790" t="s">
        <v>628</v>
      </c>
      <c r="D790" t="s">
        <v>628</v>
      </c>
      <c r="E790" t="s">
        <v>72</v>
      </c>
      <c r="F790" t="s">
        <v>629</v>
      </c>
      <c r="G790" s="27" t="s">
        <v>641</v>
      </c>
      <c r="H790">
        <v>30</v>
      </c>
      <c r="I790">
        <v>380.22</v>
      </c>
      <c r="J790">
        <v>11406.6</v>
      </c>
      <c r="K790" t="s">
        <v>45</v>
      </c>
      <c r="L790">
        <v>20210520</v>
      </c>
      <c r="M790" t="s">
        <v>73</v>
      </c>
    </row>
    <row r="791" spans="1:13">
      <c r="A791">
        <v>790</v>
      </c>
      <c r="B791" t="s">
        <v>610</v>
      </c>
      <c r="C791" t="s">
        <v>611</v>
      </c>
      <c r="D791" t="s">
        <v>611</v>
      </c>
      <c r="E791" t="s">
        <v>72</v>
      </c>
      <c r="F791" t="s">
        <v>612</v>
      </c>
      <c r="G791" s="27" t="s">
        <v>643</v>
      </c>
      <c r="H791">
        <v>20</v>
      </c>
      <c r="I791">
        <v>236.44499999999999</v>
      </c>
      <c r="J791" s="54">
        <v>4728.8999999999996</v>
      </c>
      <c r="K791" t="s">
        <v>45</v>
      </c>
      <c r="L791">
        <v>20210519</v>
      </c>
      <c r="M791" t="s">
        <v>73</v>
      </c>
    </row>
    <row r="792" spans="1:13">
      <c r="A792">
        <v>791</v>
      </c>
      <c r="B792" t="s">
        <v>424</v>
      </c>
      <c r="C792" t="s">
        <v>425</v>
      </c>
      <c r="D792" t="s">
        <v>425</v>
      </c>
      <c r="E792" t="s">
        <v>72</v>
      </c>
      <c r="F792" t="s">
        <v>92</v>
      </c>
      <c r="G792" s="27" t="s">
        <v>643</v>
      </c>
      <c r="H792">
        <v>20</v>
      </c>
      <c r="I792">
        <v>143.80000000000001</v>
      </c>
      <c r="J792">
        <v>2876</v>
      </c>
      <c r="K792" t="s">
        <v>45</v>
      </c>
      <c r="L792">
        <v>20210519</v>
      </c>
      <c r="M792" t="s">
        <v>73</v>
      </c>
    </row>
    <row r="793" spans="1:13">
      <c r="A793">
        <v>792</v>
      </c>
      <c r="B793" t="s">
        <v>610</v>
      </c>
      <c r="C793" t="s">
        <v>611</v>
      </c>
      <c r="D793" t="s">
        <v>611</v>
      </c>
      <c r="E793" t="s">
        <v>72</v>
      </c>
      <c r="F793" t="s">
        <v>612</v>
      </c>
      <c r="G793" s="27" t="s">
        <v>644</v>
      </c>
      <c r="H793">
        <v>10</v>
      </c>
      <c r="I793">
        <v>232.495</v>
      </c>
      <c r="J793">
        <v>2324.9499999999998</v>
      </c>
      <c r="K793" t="s">
        <v>45</v>
      </c>
      <c r="L793">
        <v>20210518</v>
      </c>
      <c r="M793" t="s">
        <v>73</v>
      </c>
    </row>
    <row r="794" spans="1:13">
      <c r="A794">
        <v>793</v>
      </c>
      <c r="B794" t="s">
        <v>463</v>
      </c>
      <c r="C794" t="s">
        <v>463</v>
      </c>
      <c r="D794" t="s">
        <v>463</v>
      </c>
      <c r="E794" t="s">
        <v>72</v>
      </c>
      <c r="F794" t="s">
        <v>466</v>
      </c>
      <c r="G794" s="27" t="s">
        <v>642</v>
      </c>
      <c r="H794">
        <v>36</v>
      </c>
      <c r="I794">
        <v>125.81666666666666</v>
      </c>
      <c r="J794">
        <v>4529.3999999999996</v>
      </c>
      <c r="K794" t="s">
        <v>45</v>
      </c>
      <c r="L794">
        <v>20210517</v>
      </c>
      <c r="M794" t="s">
        <v>73</v>
      </c>
    </row>
    <row r="795" spans="1:13">
      <c r="A795">
        <v>794</v>
      </c>
      <c r="B795" t="s">
        <v>630</v>
      </c>
      <c r="C795" t="s">
        <v>631</v>
      </c>
      <c r="D795" t="s">
        <v>631</v>
      </c>
      <c r="E795" t="s">
        <v>72</v>
      </c>
      <c r="F795" t="s">
        <v>632</v>
      </c>
      <c r="G795" s="27" t="s">
        <v>637</v>
      </c>
      <c r="H795">
        <v>21</v>
      </c>
      <c r="I795">
        <v>2647.62</v>
      </c>
      <c r="J795">
        <v>55600.02</v>
      </c>
      <c r="K795" t="s">
        <v>45</v>
      </c>
      <c r="L795">
        <v>20210514</v>
      </c>
      <c r="M795" t="s">
        <v>73</v>
      </c>
    </row>
    <row r="796" spans="1:13">
      <c r="A796">
        <v>795</v>
      </c>
      <c r="B796" t="s">
        <v>627</v>
      </c>
      <c r="C796" t="s">
        <v>628</v>
      </c>
      <c r="D796" t="s">
        <v>628</v>
      </c>
      <c r="E796" t="s">
        <v>72</v>
      </c>
      <c r="F796" t="s">
        <v>629</v>
      </c>
      <c r="G796" s="27" t="s">
        <v>637</v>
      </c>
      <c r="H796">
        <v>10</v>
      </c>
      <c r="I796">
        <v>309.2</v>
      </c>
      <c r="J796">
        <v>3092</v>
      </c>
      <c r="K796" t="s">
        <v>45</v>
      </c>
      <c r="L796">
        <v>20210514</v>
      </c>
      <c r="M796" t="s">
        <v>73</v>
      </c>
    </row>
    <row r="797" spans="1:13">
      <c r="A797">
        <v>796</v>
      </c>
      <c r="B797" t="s">
        <v>463</v>
      </c>
      <c r="C797" t="s">
        <v>463</v>
      </c>
      <c r="D797" t="s">
        <v>463</v>
      </c>
      <c r="E797" t="s">
        <v>72</v>
      </c>
      <c r="F797" t="s">
        <v>466</v>
      </c>
      <c r="G797" s="27" t="s">
        <v>637</v>
      </c>
      <c r="H797">
        <v>15</v>
      </c>
      <c r="I797">
        <v>128.98333333333332</v>
      </c>
      <c r="J797">
        <v>1934.7499999999998</v>
      </c>
      <c r="K797" t="s">
        <v>45</v>
      </c>
      <c r="L797">
        <v>20210514</v>
      </c>
      <c r="M797" t="s">
        <v>73</v>
      </c>
    </row>
    <row r="798" spans="1:13">
      <c r="A798">
        <v>797</v>
      </c>
      <c r="B798" t="s">
        <v>635</v>
      </c>
      <c r="C798" t="s">
        <v>633</v>
      </c>
      <c r="D798" t="s">
        <v>633</v>
      </c>
      <c r="E798" t="s">
        <v>72</v>
      </c>
      <c r="F798" t="s">
        <v>634</v>
      </c>
      <c r="G798" s="27" t="s">
        <v>639</v>
      </c>
      <c r="H798">
        <v>4</v>
      </c>
      <c r="I798">
        <v>3238.7</v>
      </c>
      <c r="J798">
        <v>12954.8</v>
      </c>
      <c r="K798" t="s">
        <v>45</v>
      </c>
      <c r="L798">
        <v>20210511</v>
      </c>
      <c r="M798" t="s">
        <v>73</v>
      </c>
    </row>
    <row r="799" spans="1:13">
      <c r="A799">
        <v>798</v>
      </c>
      <c r="B799" t="s">
        <v>627</v>
      </c>
      <c r="C799" t="s">
        <v>628</v>
      </c>
      <c r="D799" t="s">
        <v>628</v>
      </c>
      <c r="E799" t="s">
        <v>72</v>
      </c>
      <c r="F799" t="s">
        <v>629</v>
      </c>
      <c r="G799" s="27" t="s">
        <v>636</v>
      </c>
      <c r="H799">
        <v>300</v>
      </c>
      <c r="I799">
        <v>292.05</v>
      </c>
      <c r="J799">
        <v>87615</v>
      </c>
      <c r="K799" t="s">
        <v>45</v>
      </c>
      <c r="L799">
        <v>20210510</v>
      </c>
      <c r="M799" t="s">
        <v>73</v>
      </c>
    </row>
    <row r="800" spans="1:13">
      <c r="A800">
        <v>799</v>
      </c>
      <c r="B800" t="s">
        <v>424</v>
      </c>
      <c r="C800" t="s">
        <v>425</v>
      </c>
      <c r="D800" t="s">
        <v>425</v>
      </c>
      <c r="E800" t="s">
        <v>72</v>
      </c>
      <c r="F800" t="s">
        <v>92</v>
      </c>
      <c r="G800" s="27" t="s">
        <v>636</v>
      </c>
      <c r="H800">
        <v>10</v>
      </c>
      <c r="I800">
        <v>146.25</v>
      </c>
      <c r="J800">
        <v>1462.5</v>
      </c>
      <c r="K800" t="s">
        <v>45</v>
      </c>
      <c r="L800">
        <v>20210510</v>
      </c>
      <c r="M800" t="s">
        <v>73</v>
      </c>
    </row>
    <row r="801" spans="1:13">
      <c r="A801">
        <v>800</v>
      </c>
      <c r="B801" t="s">
        <v>623</v>
      </c>
      <c r="C801" t="s">
        <v>624</v>
      </c>
      <c r="D801" t="s">
        <v>624</v>
      </c>
      <c r="E801" t="s">
        <v>72</v>
      </c>
      <c r="F801" t="s">
        <v>625</v>
      </c>
      <c r="G801" s="27" t="s">
        <v>626</v>
      </c>
      <c r="H801">
        <v>33</v>
      </c>
      <c r="I801">
        <v>1552.97</v>
      </c>
      <c r="J801">
        <v>51248.01</v>
      </c>
      <c r="K801" t="s">
        <v>45</v>
      </c>
      <c r="L801">
        <v>20210506</v>
      </c>
      <c r="M801" t="s">
        <v>73</v>
      </c>
    </row>
    <row r="802" spans="1:13">
      <c r="A802">
        <v>801</v>
      </c>
      <c r="B802" t="s">
        <v>610</v>
      </c>
      <c r="C802" t="s">
        <v>611</v>
      </c>
      <c r="D802" t="s">
        <v>611</v>
      </c>
      <c r="E802" t="s">
        <v>72</v>
      </c>
      <c r="F802" t="s">
        <v>612</v>
      </c>
      <c r="G802" s="27" t="s">
        <v>613</v>
      </c>
      <c r="H802">
        <v>220</v>
      </c>
      <c r="I802">
        <v>174.583</v>
      </c>
      <c r="J802">
        <v>38408.26</v>
      </c>
      <c r="K802" t="s">
        <v>45</v>
      </c>
      <c r="L802">
        <v>20210423</v>
      </c>
      <c r="M802" t="s">
        <v>73</v>
      </c>
    </row>
    <row r="803" spans="1:13">
      <c r="A803">
        <v>802</v>
      </c>
      <c r="B803" t="s">
        <v>530</v>
      </c>
      <c r="C803" t="s">
        <v>531</v>
      </c>
      <c r="D803" t="s">
        <v>531</v>
      </c>
      <c r="E803" t="s">
        <v>72</v>
      </c>
      <c r="F803" t="s">
        <v>603</v>
      </c>
      <c r="G803" s="27" t="s">
        <v>607</v>
      </c>
      <c r="H803">
        <v>35</v>
      </c>
      <c r="I803">
        <v>323.43</v>
      </c>
      <c r="J803">
        <v>11320.050000000001</v>
      </c>
      <c r="K803" t="s">
        <v>45</v>
      </c>
      <c r="L803">
        <v>20210415</v>
      </c>
      <c r="M803" t="s">
        <v>73</v>
      </c>
    </row>
    <row r="804" spans="1:13">
      <c r="A804">
        <v>803</v>
      </c>
      <c r="B804" t="s">
        <v>441</v>
      </c>
      <c r="C804" t="s">
        <v>445</v>
      </c>
      <c r="D804" t="s">
        <v>445</v>
      </c>
      <c r="E804" t="s">
        <v>72</v>
      </c>
      <c r="F804" t="s">
        <v>604</v>
      </c>
      <c r="G804" s="27" t="s">
        <v>608</v>
      </c>
      <c r="H804">
        <v>1</v>
      </c>
      <c r="I804">
        <v>1373.14</v>
      </c>
      <c r="J804">
        <v>1373.14</v>
      </c>
      <c r="K804" t="s">
        <v>45</v>
      </c>
      <c r="L804">
        <v>20210412</v>
      </c>
      <c r="M804" t="s">
        <v>73</v>
      </c>
    </row>
    <row r="805" spans="1:13">
      <c r="A805">
        <v>804</v>
      </c>
      <c r="B805" t="s">
        <v>463</v>
      </c>
      <c r="C805" t="s">
        <v>463</v>
      </c>
      <c r="D805" t="s">
        <v>463</v>
      </c>
      <c r="E805" t="s">
        <v>72</v>
      </c>
      <c r="F805" t="s">
        <v>605</v>
      </c>
      <c r="G805" s="27" t="s">
        <v>608</v>
      </c>
      <c r="H805">
        <v>105</v>
      </c>
      <c r="I805">
        <v>108.76666666666667</v>
      </c>
      <c r="J805">
        <v>11420.5</v>
      </c>
      <c r="K805" t="s">
        <v>45</v>
      </c>
      <c r="L805">
        <v>20210412</v>
      </c>
      <c r="M805" t="s">
        <v>73</v>
      </c>
    </row>
    <row r="806" spans="1:13">
      <c r="A806">
        <v>805</v>
      </c>
      <c r="B806" t="s">
        <v>530</v>
      </c>
      <c r="C806" t="s">
        <v>531</v>
      </c>
      <c r="D806" t="s">
        <v>531</v>
      </c>
      <c r="E806" t="s">
        <v>72</v>
      </c>
      <c r="F806" t="s">
        <v>603</v>
      </c>
      <c r="G806" s="27" t="s">
        <v>608</v>
      </c>
      <c r="H806">
        <v>15</v>
      </c>
      <c r="I806">
        <v>336</v>
      </c>
      <c r="J806">
        <v>5040</v>
      </c>
      <c r="K806" t="s">
        <v>45</v>
      </c>
      <c r="L806">
        <v>20210412</v>
      </c>
      <c r="M806" t="s">
        <v>73</v>
      </c>
    </row>
    <row r="807" spans="1:13">
      <c r="A807">
        <v>806</v>
      </c>
      <c r="B807" t="s">
        <v>25</v>
      </c>
      <c r="C807" t="s">
        <v>100</v>
      </c>
      <c r="D807" t="s">
        <v>100</v>
      </c>
      <c r="E807" t="s">
        <v>72</v>
      </c>
      <c r="F807" t="s">
        <v>606</v>
      </c>
      <c r="G807" s="27" t="s">
        <v>608</v>
      </c>
      <c r="H807">
        <v>76</v>
      </c>
      <c r="I807">
        <v>385.77</v>
      </c>
      <c r="J807">
        <v>29318.519999999997</v>
      </c>
      <c r="K807" t="s">
        <v>45</v>
      </c>
      <c r="L807">
        <v>20210412</v>
      </c>
      <c r="M807" t="s">
        <v>73</v>
      </c>
    </row>
    <row r="808" spans="1:13">
      <c r="A808">
        <v>807</v>
      </c>
      <c r="B808" t="s">
        <v>594</v>
      </c>
      <c r="C808" t="s">
        <v>595</v>
      </c>
      <c r="D808" t="s">
        <v>595</v>
      </c>
      <c r="E808" t="s">
        <v>72</v>
      </c>
      <c r="F808" t="s">
        <v>596</v>
      </c>
      <c r="G808" s="27" t="s">
        <v>597</v>
      </c>
      <c r="H808">
        <v>36</v>
      </c>
      <c r="I808">
        <v>984</v>
      </c>
      <c r="J808">
        <v>35424</v>
      </c>
      <c r="K808" t="s">
        <v>45</v>
      </c>
      <c r="L808">
        <v>20210401</v>
      </c>
      <c r="M808" t="s">
        <v>73</v>
      </c>
    </row>
    <row r="809" spans="1:13">
      <c r="A809">
        <v>808</v>
      </c>
      <c r="B809" t="s">
        <v>522</v>
      </c>
      <c r="C809" t="s">
        <v>523</v>
      </c>
      <c r="D809" t="s">
        <v>523</v>
      </c>
      <c r="E809" t="s">
        <v>72</v>
      </c>
      <c r="F809" t="s">
        <v>524</v>
      </c>
      <c r="G809" s="27" t="s">
        <v>563</v>
      </c>
      <c r="H809">
        <v>65</v>
      </c>
      <c r="I809">
        <v>127.03</v>
      </c>
      <c r="J809">
        <v>8256.9500000000007</v>
      </c>
      <c r="K809" t="s">
        <v>45</v>
      </c>
      <c r="L809">
        <v>20210326</v>
      </c>
      <c r="M809" t="s">
        <v>73</v>
      </c>
    </row>
    <row r="810" spans="1:13">
      <c r="A810">
        <v>809</v>
      </c>
      <c r="B810" t="s">
        <v>463</v>
      </c>
      <c r="C810" t="s">
        <v>463</v>
      </c>
      <c r="D810" t="s">
        <v>463</v>
      </c>
      <c r="E810" t="s">
        <v>72</v>
      </c>
      <c r="F810" t="s">
        <v>466</v>
      </c>
      <c r="G810" s="27" t="s">
        <v>564</v>
      </c>
      <c r="H810">
        <v>30</v>
      </c>
      <c r="I810">
        <v>116.48333333333333</v>
      </c>
      <c r="J810">
        <v>3494.5</v>
      </c>
      <c r="K810" t="s">
        <v>45</v>
      </c>
      <c r="L810">
        <v>20210324</v>
      </c>
      <c r="M810" t="s">
        <v>73</v>
      </c>
    </row>
    <row r="811" spans="1:13">
      <c r="A811">
        <v>810</v>
      </c>
      <c r="B811" t="s">
        <v>441</v>
      </c>
      <c r="C811" t="s">
        <v>445</v>
      </c>
      <c r="D811" t="s">
        <v>445</v>
      </c>
      <c r="E811" t="s">
        <v>72</v>
      </c>
      <c r="F811" t="s">
        <v>442</v>
      </c>
      <c r="G811" s="27" t="s">
        <v>565</v>
      </c>
      <c r="H811">
        <v>3</v>
      </c>
      <c r="I811">
        <v>1472</v>
      </c>
      <c r="J811">
        <v>4416</v>
      </c>
      <c r="K811" t="s">
        <v>45</v>
      </c>
      <c r="L811">
        <v>20210322</v>
      </c>
      <c r="M811" t="s">
        <v>73</v>
      </c>
    </row>
    <row r="812" spans="1:13">
      <c r="A812">
        <v>811</v>
      </c>
      <c r="B812" t="s">
        <v>463</v>
      </c>
      <c r="C812" t="s">
        <v>463</v>
      </c>
      <c r="D812" t="s">
        <v>463</v>
      </c>
      <c r="E812" t="s">
        <v>72</v>
      </c>
      <c r="F812" t="s">
        <v>466</v>
      </c>
      <c r="G812" s="27" t="s">
        <v>565</v>
      </c>
      <c r="H812">
        <v>60</v>
      </c>
      <c r="I812">
        <v>120.39333333333333</v>
      </c>
      <c r="J812">
        <v>7223.5999999999995</v>
      </c>
      <c r="K812" t="s">
        <v>45</v>
      </c>
      <c r="L812">
        <v>20210322</v>
      </c>
      <c r="M812" t="s">
        <v>73</v>
      </c>
    </row>
    <row r="813" spans="1:13">
      <c r="A813">
        <v>812</v>
      </c>
      <c r="B813" t="s">
        <v>441</v>
      </c>
      <c r="C813" t="s">
        <v>445</v>
      </c>
      <c r="D813" t="s">
        <v>445</v>
      </c>
      <c r="E813" t="s">
        <v>72</v>
      </c>
      <c r="F813" t="s">
        <v>442</v>
      </c>
      <c r="G813" s="27" t="s">
        <v>549</v>
      </c>
      <c r="H813">
        <v>4</v>
      </c>
      <c r="I813">
        <v>1493.6</v>
      </c>
      <c r="J813">
        <v>5974.4</v>
      </c>
      <c r="K813" t="s">
        <v>45</v>
      </c>
      <c r="L813">
        <v>20210319</v>
      </c>
      <c r="M813" t="s">
        <v>73</v>
      </c>
    </row>
    <row r="814" spans="1:13">
      <c r="A814">
        <v>813</v>
      </c>
      <c r="B814" t="s">
        <v>522</v>
      </c>
      <c r="C814" t="s">
        <v>523</v>
      </c>
      <c r="D814" t="s">
        <v>523</v>
      </c>
      <c r="E814" t="s">
        <v>72</v>
      </c>
      <c r="F814" t="s">
        <v>524</v>
      </c>
      <c r="G814" s="27" t="s">
        <v>551</v>
      </c>
      <c r="H814">
        <v>120</v>
      </c>
      <c r="I814">
        <v>129.22999999999999</v>
      </c>
      <c r="J814">
        <v>15507.599999999999</v>
      </c>
      <c r="K814" t="s">
        <v>45</v>
      </c>
      <c r="L814">
        <v>20210318</v>
      </c>
      <c r="M814" t="s">
        <v>73</v>
      </c>
    </row>
    <row r="815" spans="1:13">
      <c r="A815">
        <v>814</v>
      </c>
      <c r="B815" t="s">
        <v>545</v>
      </c>
      <c r="C815" t="s">
        <v>546</v>
      </c>
      <c r="D815" t="s">
        <v>546</v>
      </c>
      <c r="E815" t="s">
        <v>72</v>
      </c>
      <c r="F815" t="s">
        <v>547</v>
      </c>
      <c r="G815" s="27" t="s">
        <v>552</v>
      </c>
      <c r="H815">
        <v>1</v>
      </c>
      <c r="I815">
        <v>962.68</v>
      </c>
      <c r="J815">
        <v>962.68</v>
      </c>
      <c r="K815" t="s">
        <v>45</v>
      </c>
      <c r="L815">
        <v>20210317</v>
      </c>
      <c r="M815" t="s">
        <v>73</v>
      </c>
    </row>
    <row r="816" spans="1:13">
      <c r="A816">
        <v>815</v>
      </c>
      <c r="B816" t="s">
        <v>527</v>
      </c>
      <c r="C816" t="s">
        <v>528</v>
      </c>
      <c r="D816" t="s">
        <v>528</v>
      </c>
      <c r="E816" t="s">
        <v>72</v>
      </c>
      <c r="F816" t="s">
        <v>529</v>
      </c>
      <c r="G816" s="27" t="s">
        <v>552</v>
      </c>
      <c r="H816">
        <v>15</v>
      </c>
      <c r="I816">
        <v>663.35</v>
      </c>
      <c r="J816">
        <v>9950.25</v>
      </c>
      <c r="K816" t="s">
        <v>45</v>
      </c>
      <c r="L816">
        <v>20210317</v>
      </c>
      <c r="M816" t="s">
        <v>73</v>
      </c>
    </row>
    <row r="817" spans="1:13">
      <c r="A817">
        <v>816</v>
      </c>
      <c r="B817" t="s">
        <v>463</v>
      </c>
      <c r="C817" t="s">
        <v>463</v>
      </c>
      <c r="D817" t="s">
        <v>463</v>
      </c>
      <c r="E817" t="s">
        <v>72</v>
      </c>
      <c r="F817" t="s">
        <v>466</v>
      </c>
      <c r="G817" s="27" t="s">
        <v>552</v>
      </c>
      <c r="H817">
        <v>15</v>
      </c>
      <c r="I817">
        <v>118.47666666666667</v>
      </c>
      <c r="J817">
        <v>1777.15</v>
      </c>
      <c r="K817" t="s">
        <v>45</v>
      </c>
      <c r="L817">
        <v>20210317</v>
      </c>
      <c r="M817" t="s">
        <v>73</v>
      </c>
    </row>
    <row r="818" spans="1:13">
      <c r="A818">
        <v>817</v>
      </c>
      <c r="B818" t="s">
        <v>545</v>
      </c>
      <c r="C818" t="s">
        <v>546</v>
      </c>
      <c r="D818" t="s">
        <v>546</v>
      </c>
      <c r="E818" t="s">
        <v>72</v>
      </c>
      <c r="F818" t="s">
        <v>547</v>
      </c>
      <c r="G818" s="27" t="s">
        <v>553</v>
      </c>
      <c r="H818">
        <v>10</v>
      </c>
      <c r="I818">
        <v>1013.68</v>
      </c>
      <c r="J818">
        <v>10136.799999999999</v>
      </c>
      <c r="K818" t="s">
        <v>45</v>
      </c>
      <c r="L818">
        <v>20210316</v>
      </c>
      <c r="M818" t="s">
        <v>73</v>
      </c>
    </row>
    <row r="819" spans="1:13">
      <c r="A819">
        <v>818</v>
      </c>
      <c r="B819" t="s">
        <v>463</v>
      </c>
      <c r="C819" t="s">
        <v>463</v>
      </c>
      <c r="D819" t="s">
        <v>463</v>
      </c>
      <c r="E819" t="s">
        <v>72</v>
      </c>
      <c r="F819" t="s">
        <v>466</v>
      </c>
      <c r="G819" s="27" t="s">
        <v>553</v>
      </c>
      <c r="H819">
        <v>33</v>
      </c>
      <c r="I819">
        <v>113.45333333333333</v>
      </c>
      <c r="J819">
        <v>3743.96</v>
      </c>
      <c r="K819" t="s">
        <v>45</v>
      </c>
      <c r="L819">
        <v>20210316</v>
      </c>
      <c r="M819" t="s">
        <v>73</v>
      </c>
    </row>
    <row r="820" spans="1:13">
      <c r="A820">
        <v>819</v>
      </c>
      <c r="B820" t="s">
        <v>545</v>
      </c>
      <c r="C820" t="s">
        <v>546</v>
      </c>
      <c r="D820" t="s">
        <v>546</v>
      </c>
      <c r="E820" t="s">
        <v>72</v>
      </c>
      <c r="F820" t="s">
        <v>547</v>
      </c>
      <c r="G820" s="27" t="s">
        <v>554</v>
      </c>
      <c r="H820">
        <v>82</v>
      </c>
      <c r="I820">
        <v>1088.97</v>
      </c>
      <c r="J820">
        <v>89295.540000000008</v>
      </c>
      <c r="K820" t="s">
        <v>45</v>
      </c>
      <c r="L820">
        <v>20210315</v>
      </c>
      <c r="M820" t="s">
        <v>73</v>
      </c>
    </row>
    <row r="821" spans="1:13">
      <c r="A821">
        <v>820</v>
      </c>
      <c r="B821" t="s">
        <v>37</v>
      </c>
      <c r="C821" t="s">
        <v>119</v>
      </c>
      <c r="D821" t="s">
        <v>216</v>
      </c>
      <c r="E821" t="s">
        <v>76</v>
      </c>
      <c r="F821" t="s">
        <v>120</v>
      </c>
      <c r="G821" s="27" t="s">
        <v>554</v>
      </c>
      <c r="H821">
        <v>31</v>
      </c>
      <c r="I821">
        <v>181.25</v>
      </c>
      <c r="J821">
        <v>5618.75</v>
      </c>
      <c r="K821" t="s">
        <v>45</v>
      </c>
      <c r="L821">
        <v>20210315</v>
      </c>
      <c r="M821" t="s">
        <v>73</v>
      </c>
    </row>
    <row r="822" spans="1:13">
      <c r="A822">
        <v>821</v>
      </c>
      <c r="B822" t="s">
        <v>441</v>
      </c>
      <c r="C822" t="s">
        <v>445</v>
      </c>
      <c r="D822" t="s">
        <v>445</v>
      </c>
      <c r="E822" t="s">
        <v>72</v>
      </c>
      <c r="F822" t="s">
        <v>442</v>
      </c>
      <c r="G822" s="27" t="s">
        <v>554</v>
      </c>
      <c r="H822">
        <v>14</v>
      </c>
      <c r="I822">
        <v>1516.16</v>
      </c>
      <c r="J822">
        <v>21226.240000000002</v>
      </c>
      <c r="K822" t="s">
        <v>45</v>
      </c>
      <c r="L822">
        <v>20210315</v>
      </c>
      <c r="M822" t="s">
        <v>73</v>
      </c>
    </row>
    <row r="823" spans="1:13">
      <c r="A823">
        <v>822</v>
      </c>
      <c r="B823" t="s">
        <v>522</v>
      </c>
      <c r="C823" t="s">
        <v>523</v>
      </c>
      <c r="D823" t="s">
        <v>523</v>
      </c>
      <c r="E823" t="s">
        <v>72</v>
      </c>
      <c r="F823" t="s">
        <v>524</v>
      </c>
      <c r="G823" s="27" t="s">
        <v>542</v>
      </c>
      <c r="H823">
        <v>20</v>
      </c>
      <c r="I823">
        <v>147.94999999999999</v>
      </c>
      <c r="J823">
        <v>2959</v>
      </c>
      <c r="K823" t="s">
        <v>45</v>
      </c>
      <c r="L823">
        <v>20210312</v>
      </c>
      <c r="M823" t="s">
        <v>73</v>
      </c>
    </row>
    <row r="824" spans="1:13">
      <c r="A824">
        <v>823</v>
      </c>
      <c r="B824" t="s">
        <v>37</v>
      </c>
      <c r="C824" t="s">
        <v>119</v>
      </c>
      <c r="D824" t="s">
        <v>216</v>
      </c>
      <c r="E824" t="s">
        <v>76</v>
      </c>
      <c r="F824" t="s">
        <v>120</v>
      </c>
      <c r="G824" s="27" t="s">
        <v>542</v>
      </c>
      <c r="H824">
        <v>83</v>
      </c>
      <c r="I824">
        <v>191.55</v>
      </c>
      <c r="J824">
        <v>15898.650000000001</v>
      </c>
      <c r="K824" t="s">
        <v>45</v>
      </c>
      <c r="L824">
        <v>20210312</v>
      </c>
      <c r="M824" t="s">
        <v>73</v>
      </c>
    </row>
    <row r="825" spans="1:13">
      <c r="A825">
        <v>824</v>
      </c>
      <c r="B825" t="s">
        <v>230</v>
      </c>
      <c r="C825" t="s">
        <v>117</v>
      </c>
      <c r="D825" t="s">
        <v>117</v>
      </c>
      <c r="E825" t="s">
        <v>72</v>
      </c>
      <c r="F825" t="s">
        <v>118</v>
      </c>
      <c r="G825" s="27" t="s">
        <v>544</v>
      </c>
      <c r="H825">
        <v>47</v>
      </c>
      <c r="I825">
        <v>138.97999999999999</v>
      </c>
      <c r="J825">
        <v>6532.0599999999995</v>
      </c>
      <c r="K825" t="s">
        <v>45</v>
      </c>
      <c r="L825">
        <v>20210310</v>
      </c>
      <c r="M825" t="s">
        <v>73</v>
      </c>
    </row>
    <row r="826" spans="1:13">
      <c r="A826">
        <v>825</v>
      </c>
      <c r="B826" t="s">
        <v>19</v>
      </c>
      <c r="C826" t="s">
        <v>90</v>
      </c>
      <c r="D826" t="s">
        <v>90</v>
      </c>
      <c r="E826" t="s">
        <v>72</v>
      </c>
      <c r="F826" t="s">
        <v>91</v>
      </c>
      <c r="G826" s="27" t="s">
        <v>543</v>
      </c>
      <c r="H826">
        <v>27</v>
      </c>
      <c r="I826">
        <v>309.04000000000002</v>
      </c>
      <c r="J826">
        <v>8344.08</v>
      </c>
      <c r="K826" t="s">
        <v>45</v>
      </c>
      <c r="L826">
        <v>20210308</v>
      </c>
      <c r="M826" t="s">
        <v>73</v>
      </c>
    </row>
    <row r="827" spans="1:13">
      <c r="A827">
        <v>826</v>
      </c>
      <c r="B827" t="s">
        <v>37</v>
      </c>
      <c r="C827" t="s">
        <v>119</v>
      </c>
      <c r="D827" t="s">
        <v>216</v>
      </c>
      <c r="E827" t="s">
        <v>76</v>
      </c>
      <c r="F827" t="s">
        <v>120</v>
      </c>
      <c r="G827" s="27" t="s">
        <v>543</v>
      </c>
      <c r="H827">
        <v>9</v>
      </c>
      <c r="I827">
        <v>212.37</v>
      </c>
      <c r="J827">
        <v>1911.33</v>
      </c>
      <c r="K827" t="s">
        <v>45</v>
      </c>
      <c r="L827">
        <v>20210308</v>
      </c>
      <c r="M827" t="s">
        <v>73</v>
      </c>
    </row>
    <row r="828" spans="1:13">
      <c r="A828">
        <v>827</v>
      </c>
      <c r="B828" t="s">
        <v>527</v>
      </c>
      <c r="C828" t="s">
        <v>528</v>
      </c>
      <c r="D828" t="s">
        <v>528</v>
      </c>
      <c r="E828" t="s">
        <v>72</v>
      </c>
      <c r="F828" t="s">
        <v>529</v>
      </c>
      <c r="G828" s="27" t="s">
        <v>543</v>
      </c>
      <c r="H828">
        <v>15</v>
      </c>
      <c r="I828">
        <v>746.92</v>
      </c>
      <c r="J828">
        <v>11203.8</v>
      </c>
      <c r="K828" t="s">
        <v>45</v>
      </c>
      <c r="L828">
        <v>20210308</v>
      </c>
      <c r="M828" t="s">
        <v>73</v>
      </c>
    </row>
    <row r="829" spans="1:13">
      <c r="A829">
        <v>828</v>
      </c>
      <c r="B829" t="s">
        <v>441</v>
      </c>
      <c r="C829" t="s">
        <v>445</v>
      </c>
      <c r="D829" t="s">
        <v>445</v>
      </c>
      <c r="E829" t="s">
        <v>72</v>
      </c>
      <c r="F829" t="s">
        <v>442</v>
      </c>
      <c r="G829" s="27" t="s">
        <v>520</v>
      </c>
      <c r="H829">
        <v>3</v>
      </c>
      <c r="I829">
        <v>1537.5</v>
      </c>
      <c r="J829">
        <v>4612.5</v>
      </c>
      <c r="K829" t="s">
        <v>45</v>
      </c>
      <c r="L829">
        <v>20210305</v>
      </c>
      <c r="M829" t="s">
        <v>73</v>
      </c>
    </row>
    <row r="830" spans="1:13">
      <c r="A830">
        <v>829</v>
      </c>
      <c r="B830" t="s">
        <v>527</v>
      </c>
      <c r="C830" t="s">
        <v>528</v>
      </c>
      <c r="D830" t="s">
        <v>528</v>
      </c>
      <c r="E830" t="s">
        <v>72</v>
      </c>
      <c r="F830" t="s">
        <v>529</v>
      </c>
      <c r="G830" s="27" t="s">
        <v>520</v>
      </c>
      <c r="H830">
        <v>91</v>
      </c>
      <c r="I830">
        <v>903.39</v>
      </c>
      <c r="J830">
        <v>82208.490000000005</v>
      </c>
      <c r="K830" t="s">
        <v>45</v>
      </c>
      <c r="L830">
        <v>20210305</v>
      </c>
      <c r="M830" t="s">
        <v>73</v>
      </c>
    </row>
    <row r="831" spans="1:13">
      <c r="A831">
        <v>830</v>
      </c>
      <c r="B831" t="s">
        <v>530</v>
      </c>
      <c r="C831" t="s">
        <v>531</v>
      </c>
      <c r="D831" t="s">
        <v>531</v>
      </c>
      <c r="E831" t="s">
        <v>72</v>
      </c>
      <c r="F831" t="s">
        <v>532</v>
      </c>
      <c r="G831" s="27" t="s">
        <v>521</v>
      </c>
      <c r="H831">
        <v>138</v>
      </c>
      <c r="I831">
        <v>339.85</v>
      </c>
      <c r="J831">
        <v>46899.3</v>
      </c>
      <c r="K831" t="s">
        <v>45</v>
      </c>
      <c r="L831">
        <v>20210304</v>
      </c>
      <c r="M831" t="s">
        <v>73</v>
      </c>
    </row>
    <row r="832" spans="1:13">
      <c r="A832">
        <v>831</v>
      </c>
      <c r="B832" t="s">
        <v>533</v>
      </c>
      <c r="C832" t="s">
        <v>534</v>
      </c>
      <c r="D832" t="s">
        <v>534</v>
      </c>
      <c r="E832" t="s">
        <v>72</v>
      </c>
      <c r="F832" t="s">
        <v>535</v>
      </c>
      <c r="G832" s="27" t="s">
        <v>526</v>
      </c>
      <c r="H832">
        <v>30</v>
      </c>
      <c r="I832">
        <v>2124</v>
      </c>
      <c r="J832">
        <v>63720</v>
      </c>
      <c r="K832" t="s">
        <v>45</v>
      </c>
      <c r="L832">
        <v>20210303</v>
      </c>
      <c r="M832" t="s">
        <v>73</v>
      </c>
    </row>
    <row r="833" spans="1:13">
      <c r="A833">
        <v>832</v>
      </c>
      <c r="B833" t="s">
        <v>536</v>
      </c>
      <c r="C833" t="s">
        <v>537</v>
      </c>
      <c r="D833" t="s">
        <v>537</v>
      </c>
      <c r="E833" t="s">
        <v>72</v>
      </c>
      <c r="F833" t="s">
        <v>538</v>
      </c>
      <c r="G833" s="27" t="s">
        <v>526</v>
      </c>
      <c r="H833">
        <v>44</v>
      </c>
      <c r="I833">
        <v>1395.9</v>
      </c>
      <c r="J833">
        <v>61419.600000000006</v>
      </c>
      <c r="K833" t="s">
        <v>45</v>
      </c>
      <c r="L833">
        <v>20210303</v>
      </c>
      <c r="M833" t="s">
        <v>73</v>
      </c>
    </row>
    <row r="834" spans="1:13">
      <c r="A834">
        <v>833</v>
      </c>
      <c r="B834" t="s">
        <v>539</v>
      </c>
      <c r="C834" t="s">
        <v>540</v>
      </c>
      <c r="D834" t="s">
        <v>540</v>
      </c>
      <c r="E834" t="s">
        <v>72</v>
      </c>
      <c r="F834" t="s">
        <v>541</v>
      </c>
      <c r="G834" s="27" t="s">
        <v>526</v>
      </c>
      <c r="H834">
        <v>73</v>
      </c>
      <c r="I834">
        <v>850.06</v>
      </c>
      <c r="J834">
        <v>62054.38</v>
      </c>
      <c r="K834" t="s">
        <v>45</v>
      </c>
      <c r="L834">
        <v>20210303</v>
      </c>
      <c r="M834" t="s">
        <v>73</v>
      </c>
    </row>
    <row r="835" spans="1:13">
      <c r="A835">
        <v>834</v>
      </c>
      <c r="B835" t="s">
        <v>522</v>
      </c>
      <c r="C835" t="s">
        <v>523</v>
      </c>
      <c r="D835" t="s">
        <v>523</v>
      </c>
      <c r="E835" t="s">
        <v>72</v>
      </c>
      <c r="F835" t="s">
        <v>524</v>
      </c>
      <c r="G835" s="27" t="s">
        <v>525</v>
      </c>
      <c r="H835">
        <v>400</v>
      </c>
      <c r="I835">
        <v>138.28</v>
      </c>
      <c r="J835">
        <v>55312</v>
      </c>
      <c r="K835" t="s">
        <v>45</v>
      </c>
      <c r="L835">
        <v>20210301</v>
      </c>
      <c r="M835" t="s">
        <v>73</v>
      </c>
    </row>
    <row r="836" spans="1:13">
      <c r="A836">
        <v>835</v>
      </c>
      <c r="B836" t="s">
        <v>441</v>
      </c>
      <c r="C836" t="s">
        <v>445</v>
      </c>
      <c r="D836" t="s">
        <v>445</v>
      </c>
      <c r="E836" t="s">
        <v>72</v>
      </c>
      <c r="F836" t="s">
        <v>442</v>
      </c>
      <c r="G836" s="27" t="s">
        <v>516</v>
      </c>
      <c r="H836">
        <v>5</v>
      </c>
      <c r="I836">
        <v>1545.65</v>
      </c>
      <c r="J836">
        <v>7728.25</v>
      </c>
      <c r="K836" t="s">
        <v>45</v>
      </c>
      <c r="L836">
        <v>20210226</v>
      </c>
      <c r="M836" t="s">
        <v>73</v>
      </c>
    </row>
    <row r="837" spans="1:13">
      <c r="A837">
        <v>836</v>
      </c>
      <c r="B837" t="s">
        <v>512</v>
      </c>
      <c r="C837" t="s">
        <v>511</v>
      </c>
      <c r="D837" t="s">
        <v>511</v>
      </c>
      <c r="E837" t="s">
        <v>72</v>
      </c>
      <c r="F837" t="s">
        <v>513</v>
      </c>
      <c r="G837" s="27" t="s">
        <v>516</v>
      </c>
      <c r="H837">
        <v>30</v>
      </c>
      <c r="I837">
        <v>2339.7199999999998</v>
      </c>
      <c r="J837">
        <v>70191.599999999991</v>
      </c>
      <c r="K837" t="s">
        <v>45</v>
      </c>
      <c r="L837">
        <v>20210226</v>
      </c>
      <c r="M837" t="s">
        <v>73</v>
      </c>
    </row>
    <row r="838" spans="1:13">
      <c r="A838">
        <v>837</v>
      </c>
      <c r="B838" t="s">
        <v>441</v>
      </c>
      <c r="C838" t="s">
        <v>445</v>
      </c>
      <c r="D838" t="s">
        <v>445</v>
      </c>
      <c r="E838" t="s">
        <v>72</v>
      </c>
      <c r="F838" t="s">
        <v>442</v>
      </c>
      <c r="G838" s="27" t="s">
        <v>518</v>
      </c>
      <c r="H838">
        <v>3</v>
      </c>
      <c r="I838">
        <v>1536.1</v>
      </c>
      <c r="J838">
        <v>4608.2999999999993</v>
      </c>
      <c r="K838" t="s">
        <v>45</v>
      </c>
      <c r="L838">
        <v>20210223</v>
      </c>
      <c r="M838" t="s">
        <v>73</v>
      </c>
    </row>
    <row r="839" spans="1:13">
      <c r="A839">
        <v>838</v>
      </c>
      <c r="B839" t="s">
        <v>37</v>
      </c>
      <c r="C839" t="s">
        <v>119</v>
      </c>
      <c r="D839" t="s">
        <v>216</v>
      </c>
      <c r="E839" t="s">
        <v>76</v>
      </c>
      <c r="F839" t="s">
        <v>120</v>
      </c>
      <c r="G839" s="27" t="s">
        <v>517</v>
      </c>
      <c r="H839">
        <v>25</v>
      </c>
      <c r="I839">
        <v>215.6</v>
      </c>
      <c r="J839">
        <v>5390</v>
      </c>
      <c r="K839" t="s">
        <v>45</v>
      </c>
      <c r="L839">
        <v>20210222</v>
      </c>
      <c r="M839" t="s">
        <v>73</v>
      </c>
    </row>
    <row r="840" spans="1:13">
      <c r="A840">
        <v>839</v>
      </c>
      <c r="B840" t="s">
        <v>441</v>
      </c>
      <c r="C840" t="s">
        <v>445</v>
      </c>
      <c r="D840" t="s">
        <v>445</v>
      </c>
      <c r="E840" t="s">
        <v>72</v>
      </c>
      <c r="F840" t="s">
        <v>442</v>
      </c>
      <c r="G840" s="27" t="s">
        <v>505</v>
      </c>
      <c r="H840">
        <v>5</v>
      </c>
      <c r="I840">
        <v>1542.55</v>
      </c>
      <c r="J840">
        <v>7712.75</v>
      </c>
      <c r="K840" t="s">
        <v>45</v>
      </c>
      <c r="L840">
        <v>20210219</v>
      </c>
      <c r="M840" t="s">
        <v>73</v>
      </c>
    </row>
    <row r="841" spans="1:13">
      <c r="A841">
        <v>840</v>
      </c>
      <c r="B841" t="s">
        <v>441</v>
      </c>
      <c r="C841" t="s">
        <v>445</v>
      </c>
      <c r="D841" t="s">
        <v>445</v>
      </c>
      <c r="E841" t="s">
        <v>72</v>
      </c>
      <c r="F841" t="s">
        <v>442</v>
      </c>
      <c r="G841" s="27" t="s">
        <v>506</v>
      </c>
      <c r="H841">
        <v>3</v>
      </c>
      <c r="I841">
        <v>1560.05</v>
      </c>
      <c r="J841">
        <v>4680.1499999999996</v>
      </c>
      <c r="K841" t="s">
        <v>45</v>
      </c>
      <c r="L841">
        <v>20210218</v>
      </c>
      <c r="M841" t="s">
        <v>73</v>
      </c>
    </row>
    <row r="842" spans="1:13">
      <c r="A842">
        <v>841</v>
      </c>
      <c r="B842" t="s">
        <v>218</v>
      </c>
      <c r="C842">
        <v>500408</v>
      </c>
      <c r="D842" t="s">
        <v>219</v>
      </c>
      <c r="E842" t="s">
        <v>72</v>
      </c>
      <c r="F842" t="s">
        <v>220</v>
      </c>
      <c r="G842" s="27" t="s">
        <v>507</v>
      </c>
      <c r="H842">
        <v>1</v>
      </c>
      <c r="I842">
        <v>2843.58</v>
      </c>
      <c r="J842">
        <v>2843.58</v>
      </c>
      <c r="K842" t="s">
        <v>45</v>
      </c>
      <c r="L842">
        <v>20210217</v>
      </c>
      <c r="M842" t="s">
        <v>73</v>
      </c>
    </row>
    <row r="843" spans="1:13">
      <c r="A843">
        <v>842</v>
      </c>
      <c r="B843" t="s">
        <v>463</v>
      </c>
      <c r="C843" t="s">
        <v>463</v>
      </c>
      <c r="D843" t="s">
        <v>463</v>
      </c>
      <c r="E843" t="s">
        <v>72</v>
      </c>
      <c r="F843" t="s">
        <v>466</v>
      </c>
      <c r="G843" s="27" t="s">
        <v>508</v>
      </c>
      <c r="H843">
        <v>75</v>
      </c>
      <c r="I843">
        <v>94.149999999999991</v>
      </c>
      <c r="J843">
        <v>7061.2499999999991</v>
      </c>
      <c r="K843" t="s">
        <v>45</v>
      </c>
      <c r="L843">
        <v>20210216</v>
      </c>
      <c r="M843" t="s">
        <v>73</v>
      </c>
    </row>
    <row r="844" spans="1:13">
      <c r="A844">
        <v>843</v>
      </c>
      <c r="B844" t="s">
        <v>463</v>
      </c>
      <c r="C844" t="s">
        <v>463</v>
      </c>
      <c r="D844" t="s">
        <v>463</v>
      </c>
      <c r="E844" t="s">
        <v>72</v>
      </c>
      <c r="F844" t="s">
        <v>466</v>
      </c>
      <c r="G844" s="27" t="s">
        <v>509</v>
      </c>
      <c r="H844">
        <v>39</v>
      </c>
      <c r="I844">
        <v>98.46</v>
      </c>
      <c r="J844">
        <v>3839.9399999999996</v>
      </c>
      <c r="K844" t="s">
        <v>45</v>
      </c>
      <c r="L844">
        <v>20210215</v>
      </c>
      <c r="M844" t="s">
        <v>73</v>
      </c>
    </row>
    <row r="845" spans="1:13">
      <c r="A845">
        <v>844</v>
      </c>
      <c r="B845" t="s">
        <v>18</v>
      </c>
      <c r="C845">
        <v>532281</v>
      </c>
      <c r="D845" t="s">
        <v>88</v>
      </c>
      <c r="E845" t="s">
        <v>72</v>
      </c>
      <c r="F845" t="s">
        <v>89</v>
      </c>
      <c r="G845" s="27" t="s">
        <v>494</v>
      </c>
      <c r="H845">
        <v>5</v>
      </c>
      <c r="I845">
        <v>937.81</v>
      </c>
      <c r="J845">
        <v>4689.0499999999993</v>
      </c>
      <c r="K845" t="s">
        <v>45</v>
      </c>
      <c r="L845">
        <v>20210129</v>
      </c>
      <c r="M845" t="s">
        <v>73</v>
      </c>
    </row>
    <row r="846" spans="1:13">
      <c r="A846">
        <v>845</v>
      </c>
      <c r="B846" t="s">
        <v>441</v>
      </c>
      <c r="C846" t="s">
        <v>445</v>
      </c>
      <c r="D846" t="s">
        <v>445</v>
      </c>
      <c r="E846" t="s">
        <v>72</v>
      </c>
      <c r="F846" t="s">
        <v>442</v>
      </c>
      <c r="G846" s="27" t="s">
        <v>495</v>
      </c>
      <c r="H846">
        <v>1</v>
      </c>
      <c r="I846">
        <v>1357.35</v>
      </c>
      <c r="J846">
        <v>1357.35</v>
      </c>
      <c r="K846" t="s">
        <v>45</v>
      </c>
      <c r="L846">
        <v>20210128</v>
      </c>
      <c r="M846" t="s">
        <v>73</v>
      </c>
    </row>
    <row r="847" spans="1:13">
      <c r="A847">
        <v>846</v>
      </c>
      <c r="B847" t="s">
        <v>18</v>
      </c>
      <c r="C847">
        <v>532281</v>
      </c>
      <c r="D847" t="s">
        <v>88</v>
      </c>
      <c r="E847" t="s">
        <v>72</v>
      </c>
      <c r="F847" t="s">
        <v>89</v>
      </c>
      <c r="G847" s="27" t="s">
        <v>496</v>
      </c>
      <c r="H847">
        <v>3</v>
      </c>
      <c r="I847">
        <v>979.45</v>
      </c>
      <c r="J847" s="463">
        <v>2938.3500000000004</v>
      </c>
      <c r="K847" t="s">
        <v>45</v>
      </c>
      <c r="L847">
        <v>20210125</v>
      </c>
      <c r="M847" t="s">
        <v>73</v>
      </c>
    </row>
    <row r="848" spans="1:13">
      <c r="A848">
        <v>847</v>
      </c>
      <c r="B848" t="s">
        <v>218</v>
      </c>
      <c r="C848">
        <v>500408</v>
      </c>
      <c r="D848" t="s">
        <v>219</v>
      </c>
      <c r="E848" t="s">
        <v>72</v>
      </c>
      <c r="F848" t="s">
        <v>220</v>
      </c>
      <c r="G848" s="27" t="s">
        <v>496</v>
      </c>
      <c r="H848">
        <v>1</v>
      </c>
      <c r="I848">
        <v>2475.25</v>
      </c>
      <c r="J848">
        <v>2475.25</v>
      </c>
      <c r="K848" t="s">
        <v>45</v>
      </c>
      <c r="L848">
        <v>20210125</v>
      </c>
      <c r="M848" t="s">
        <v>73</v>
      </c>
    </row>
    <row r="849" spans="1:13">
      <c r="A849">
        <v>848</v>
      </c>
      <c r="B849" t="s">
        <v>37</v>
      </c>
      <c r="C849" t="s">
        <v>119</v>
      </c>
      <c r="D849" t="s">
        <v>216</v>
      </c>
      <c r="E849" t="s">
        <v>76</v>
      </c>
      <c r="F849" t="s">
        <v>120</v>
      </c>
      <c r="G849" s="27" t="s">
        <v>492</v>
      </c>
      <c r="H849">
        <v>81</v>
      </c>
      <c r="I849">
        <v>218.08</v>
      </c>
      <c r="J849">
        <v>17664.48</v>
      </c>
      <c r="K849" t="s">
        <v>45</v>
      </c>
      <c r="L849">
        <v>20210122</v>
      </c>
      <c r="M849" t="s">
        <v>73</v>
      </c>
    </row>
    <row r="850" spans="1:13">
      <c r="A850">
        <v>849</v>
      </c>
      <c r="B850" t="s">
        <v>26</v>
      </c>
      <c r="C850" t="s">
        <v>102</v>
      </c>
      <c r="D850" t="s">
        <v>102</v>
      </c>
      <c r="E850" t="s">
        <v>72</v>
      </c>
      <c r="F850" t="s">
        <v>103</v>
      </c>
      <c r="G850" s="27" t="s">
        <v>493</v>
      </c>
      <c r="H850">
        <v>99</v>
      </c>
      <c r="I850">
        <v>164.8</v>
      </c>
      <c r="J850">
        <v>16315.2</v>
      </c>
      <c r="K850" t="s">
        <v>45</v>
      </c>
      <c r="L850">
        <v>20210118</v>
      </c>
      <c r="M850" t="s">
        <v>73</v>
      </c>
    </row>
    <row r="851" spans="1:13">
      <c r="A851">
        <v>850</v>
      </c>
      <c r="B851" t="s">
        <v>37</v>
      </c>
      <c r="C851" t="s">
        <v>119</v>
      </c>
      <c r="D851" t="s">
        <v>216</v>
      </c>
      <c r="E851" t="s">
        <v>76</v>
      </c>
      <c r="F851" t="s">
        <v>120</v>
      </c>
      <c r="G851" s="27" t="s">
        <v>493</v>
      </c>
      <c r="H851">
        <v>15</v>
      </c>
      <c r="I851">
        <v>222</v>
      </c>
      <c r="J851">
        <v>3330</v>
      </c>
      <c r="K851" t="s">
        <v>45</v>
      </c>
      <c r="L851">
        <v>20210118</v>
      </c>
      <c r="M851" t="s">
        <v>73</v>
      </c>
    </row>
    <row r="852" spans="1:13">
      <c r="A852">
        <v>851</v>
      </c>
      <c r="B852" t="s">
        <v>18</v>
      </c>
      <c r="C852">
        <v>532281</v>
      </c>
      <c r="D852" t="s">
        <v>88</v>
      </c>
      <c r="E852" t="s">
        <v>72</v>
      </c>
      <c r="F852" t="s">
        <v>89</v>
      </c>
      <c r="G852" s="27" t="s">
        <v>493</v>
      </c>
      <c r="H852">
        <v>5</v>
      </c>
      <c r="I852">
        <v>992.4</v>
      </c>
      <c r="J852">
        <v>4962</v>
      </c>
      <c r="K852" t="s">
        <v>45</v>
      </c>
      <c r="L852">
        <v>20210118</v>
      </c>
      <c r="M852" t="s">
        <v>73</v>
      </c>
    </row>
    <row r="853" spans="1:13">
      <c r="A853">
        <v>852</v>
      </c>
      <c r="B853" t="s">
        <v>26</v>
      </c>
      <c r="C853" t="s">
        <v>102</v>
      </c>
      <c r="D853" t="s">
        <v>102</v>
      </c>
      <c r="E853" t="s">
        <v>72</v>
      </c>
      <c r="F853" t="s">
        <v>103</v>
      </c>
      <c r="G853" s="27" t="s">
        <v>487</v>
      </c>
      <c r="H853">
        <v>60</v>
      </c>
      <c r="I853">
        <v>170.55</v>
      </c>
      <c r="J853">
        <v>10233</v>
      </c>
      <c r="K853" t="s">
        <v>45</v>
      </c>
      <c r="L853">
        <v>20210115</v>
      </c>
      <c r="M853" t="s">
        <v>73</v>
      </c>
    </row>
    <row r="854" spans="1:13">
      <c r="A854">
        <v>853</v>
      </c>
      <c r="B854" t="s">
        <v>485</v>
      </c>
      <c r="C854" t="s">
        <v>486</v>
      </c>
      <c r="D854" t="s">
        <v>486</v>
      </c>
      <c r="E854" t="s">
        <v>72</v>
      </c>
      <c r="F854" t="s">
        <v>590</v>
      </c>
      <c r="G854" s="27" t="s">
        <v>488</v>
      </c>
      <c r="H854">
        <v>7</v>
      </c>
      <c r="I854">
        <v>1217.81</v>
      </c>
      <c r="J854">
        <v>8524.67</v>
      </c>
      <c r="K854" t="s">
        <v>45</v>
      </c>
      <c r="L854">
        <v>20210114</v>
      </c>
      <c r="M854" t="s">
        <v>73</v>
      </c>
    </row>
    <row r="855" spans="1:13">
      <c r="A855">
        <v>854</v>
      </c>
      <c r="B855" t="s">
        <v>29</v>
      </c>
      <c r="C855" t="s">
        <v>107</v>
      </c>
      <c r="D855" t="s">
        <v>107</v>
      </c>
      <c r="E855" t="s">
        <v>72</v>
      </c>
      <c r="F855" t="s">
        <v>108</v>
      </c>
      <c r="G855" s="27" t="s">
        <v>489</v>
      </c>
      <c r="H855">
        <v>3</v>
      </c>
      <c r="I855">
        <v>1790.85</v>
      </c>
      <c r="J855">
        <v>5372.5499999999993</v>
      </c>
      <c r="K855" t="s">
        <v>45</v>
      </c>
      <c r="L855">
        <v>20210113</v>
      </c>
      <c r="M855" t="s">
        <v>73</v>
      </c>
    </row>
    <row r="856" spans="1:13">
      <c r="A856">
        <v>855</v>
      </c>
      <c r="B856" t="s">
        <v>37</v>
      </c>
      <c r="C856" t="s">
        <v>119</v>
      </c>
      <c r="D856" t="s">
        <v>216</v>
      </c>
      <c r="E856" t="s">
        <v>76</v>
      </c>
      <c r="F856" t="s">
        <v>120</v>
      </c>
      <c r="G856" s="27" t="s">
        <v>489</v>
      </c>
      <c r="H856">
        <v>10</v>
      </c>
      <c r="I856">
        <v>234.5</v>
      </c>
      <c r="J856">
        <v>2345</v>
      </c>
      <c r="K856" t="s">
        <v>45</v>
      </c>
      <c r="L856">
        <v>20210113</v>
      </c>
      <c r="M856" t="s">
        <v>73</v>
      </c>
    </row>
    <row r="857" spans="1:13">
      <c r="A857">
        <v>856</v>
      </c>
      <c r="B857" t="s">
        <v>26</v>
      </c>
      <c r="C857" t="s">
        <v>102</v>
      </c>
      <c r="D857" t="s">
        <v>102</v>
      </c>
      <c r="E857" t="s">
        <v>72</v>
      </c>
      <c r="F857" t="s">
        <v>103</v>
      </c>
      <c r="G857" s="27" t="s">
        <v>491</v>
      </c>
      <c r="H857">
        <v>60</v>
      </c>
      <c r="I857">
        <v>171.7</v>
      </c>
      <c r="J857">
        <v>10302</v>
      </c>
      <c r="K857" t="s">
        <v>45</v>
      </c>
      <c r="L857">
        <v>20210111</v>
      </c>
      <c r="M857" t="s">
        <v>73</v>
      </c>
    </row>
    <row r="858" spans="1:13">
      <c r="A858">
        <v>857</v>
      </c>
      <c r="B858" t="s">
        <v>469</v>
      </c>
      <c r="C858" t="s">
        <v>467</v>
      </c>
      <c r="D858" t="s">
        <v>478</v>
      </c>
      <c r="E858" t="s">
        <v>72</v>
      </c>
      <c r="F858" t="s">
        <v>589</v>
      </c>
      <c r="G858" s="27" t="s">
        <v>479</v>
      </c>
      <c r="H858">
        <v>6</v>
      </c>
      <c r="I858">
        <v>841.74</v>
      </c>
      <c r="J858">
        <v>5050.4400000000005</v>
      </c>
      <c r="K858" t="s">
        <v>45</v>
      </c>
      <c r="L858">
        <v>20210108</v>
      </c>
      <c r="M858" t="s">
        <v>73</v>
      </c>
    </row>
    <row r="859" spans="1:13">
      <c r="A859">
        <v>858</v>
      </c>
      <c r="B859" t="s">
        <v>26</v>
      </c>
      <c r="C859" t="s">
        <v>102</v>
      </c>
      <c r="D859" t="s">
        <v>102</v>
      </c>
      <c r="E859" t="s">
        <v>72</v>
      </c>
      <c r="F859" t="s">
        <v>103</v>
      </c>
      <c r="G859" s="27" t="s">
        <v>480</v>
      </c>
      <c r="H859">
        <v>60</v>
      </c>
      <c r="I859">
        <v>173.75</v>
      </c>
      <c r="J859">
        <v>10425</v>
      </c>
      <c r="K859" t="s">
        <v>45</v>
      </c>
      <c r="L859">
        <v>20210107</v>
      </c>
      <c r="M859" t="s">
        <v>73</v>
      </c>
    </row>
    <row r="860" spans="1:13">
      <c r="A860">
        <v>859</v>
      </c>
      <c r="B860" t="s">
        <v>26</v>
      </c>
      <c r="C860" t="s">
        <v>102</v>
      </c>
      <c r="D860" t="s">
        <v>102</v>
      </c>
      <c r="E860" t="s">
        <v>72</v>
      </c>
      <c r="F860" t="s">
        <v>103</v>
      </c>
      <c r="G860" s="27" t="s">
        <v>481</v>
      </c>
      <c r="H860">
        <v>405</v>
      </c>
      <c r="I860">
        <v>174.64</v>
      </c>
      <c r="J860">
        <v>70729.2</v>
      </c>
      <c r="K860" t="s">
        <v>45</v>
      </c>
      <c r="L860">
        <v>20210106</v>
      </c>
      <c r="M860" t="s">
        <v>73</v>
      </c>
    </row>
    <row r="861" spans="1:13">
      <c r="A861">
        <v>860</v>
      </c>
      <c r="B861" t="s">
        <v>469</v>
      </c>
      <c r="C861" t="s">
        <v>467</v>
      </c>
      <c r="D861" t="s">
        <v>478</v>
      </c>
      <c r="E861" t="s">
        <v>72</v>
      </c>
      <c r="F861" t="s">
        <v>589</v>
      </c>
      <c r="G861" s="27" t="s">
        <v>481</v>
      </c>
      <c r="H861">
        <v>20</v>
      </c>
      <c r="I861">
        <v>834.28</v>
      </c>
      <c r="J861">
        <v>16685.599999999999</v>
      </c>
      <c r="K861" t="s">
        <v>45</v>
      </c>
      <c r="L861">
        <v>20210106</v>
      </c>
      <c r="M861" t="s">
        <v>73</v>
      </c>
    </row>
    <row r="862" spans="1:13">
      <c r="A862">
        <v>861</v>
      </c>
      <c r="B862" t="s">
        <v>469</v>
      </c>
      <c r="C862" t="s">
        <v>467</v>
      </c>
      <c r="D862" t="s">
        <v>478</v>
      </c>
      <c r="E862" t="s">
        <v>72</v>
      </c>
      <c r="F862" t="s">
        <v>589</v>
      </c>
      <c r="G862" s="27" t="s">
        <v>482</v>
      </c>
      <c r="H862">
        <v>23</v>
      </c>
      <c r="I862">
        <v>854.96</v>
      </c>
      <c r="J862">
        <v>19664.080000000002</v>
      </c>
      <c r="K862" t="s">
        <v>45</v>
      </c>
      <c r="L862">
        <v>20210105</v>
      </c>
      <c r="M862" t="s">
        <v>73</v>
      </c>
    </row>
    <row r="863" spans="1:13">
      <c r="A863">
        <v>862</v>
      </c>
      <c r="B863" t="s">
        <v>483</v>
      </c>
      <c r="C863" t="s">
        <v>474</v>
      </c>
      <c r="D863" t="s">
        <v>473</v>
      </c>
      <c r="E863" t="s">
        <v>72</v>
      </c>
      <c r="F863" t="s">
        <v>587</v>
      </c>
      <c r="G863" s="27" t="s">
        <v>484</v>
      </c>
      <c r="H863">
        <v>155</v>
      </c>
      <c r="I863">
        <v>390.98</v>
      </c>
      <c r="J863">
        <v>60601.9</v>
      </c>
      <c r="K863" t="s">
        <v>45</v>
      </c>
      <c r="L863">
        <v>20210104</v>
      </c>
      <c r="M863" t="s">
        <v>73</v>
      </c>
    </row>
    <row r="864" spans="1:13">
      <c r="A864">
        <v>863</v>
      </c>
      <c r="B864" t="s">
        <v>26</v>
      </c>
      <c r="C864" t="s">
        <v>102</v>
      </c>
      <c r="D864" t="s">
        <v>102</v>
      </c>
      <c r="E864" t="s">
        <v>72</v>
      </c>
      <c r="F864" t="s">
        <v>103</v>
      </c>
      <c r="G864" s="27" t="s">
        <v>484</v>
      </c>
      <c r="H864">
        <v>50</v>
      </c>
      <c r="I864">
        <v>169.2</v>
      </c>
      <c r="J864">
        <v>8460</v>
      </c>
      <c r="K864" t="s">
        <v>45</v>
      </c>
      <c r="L864">
        <v>20210104</v>
      </c>
      <c r="M864" t="s">
        <v>73</v>
      </c>
    </row>
    <row r="865" spans="1:13">
      <c r="A865">
        <v>864</v>
      </c>
      <c r="B865" t="s">
        <v>470</v>
      </c>
      <c r="C865" t="s">
        <v>471</v>
      </c>
      <c r="D865" t="s">
        <v>471</v>
      </c>
      <c r="E865" t="s">
        <v>72</v>
      </c>
      <c r="F865" t="s">
        <v>609</v>
      </c>
      <c r="G865" s="27" t="s">
        <v>484</v>
      </c>
      <c r="H865">
        <v>16</v>
      </c>
      <c r="I865">
        <v>1237.44</v>
      </c>
      <c r="J865">
        <v>19799.04</v>
      </c>
      <c r="K865" t="s">
        <v>45</v>
      </c>
      <c r="L865">
        <v>20210104</v>
      </c>
      <c r="M865" t="s">
        <v>73</v>
      </c>
    </row>
    <row r="866" spans="1:13">
      <c r="A866">
        <v>865</v>
      </c>
      <c r="B866" t="s">
        <v>469</v>
      </c>
      <c r="C866" t="s">
        <v>467</v>
      </c>
      <c r="D866" t="s">
        <v>478</v>
      </c>
      <c r="E866" t="s">
        <v>72</v>
      </c>
      <c r="F866" t="s">
        <v>589</v>
      </c>
      <c r="G866" s="27" t="s">
        <v>484</v>
      </c>
      <c r="H866">
        <v>100</v>
      </c>
      <c r="I866">
        <v>865.15</v>
      </c>
      <c r="J866">
        <v>86515</v>
      </c>
      <c r="K866" t="s">
        <v>45</v>
      </c>
      <c r="L866">
        <v>20210104</v>
      </c>
      <c r="M866" t="s">
        <v>73</v>
      </c>
    </row>
    <row r="867" spans="1:13">
      <c r="A867">
        <v>866</v>
      </c>
      <c r="B867" t="s">
        <v>472</v>
      </c>
      <c r="C867" t="s">
        <v>468</v>
      </c>
      <c r="D867" t="s">
        <v>468</v>
      </c>
      <c r="E867" t="s">
        <v>72</v>
      </c>
      <c r="F867" t="s">
        <v>586</v>
      </c>
      <c r="G867" s="27" t="s">
        <v>484</v>
      </c>
      <c r="H867">
        <v>73</v>
      </c>
      <c r="I867">
        <v>870.15</v>
      </c>
      <c r="J867">
        <v>63520.95</v>
      </c>
      <c r="K867" t="s">
        <v>45</v>
      </c>
      <c r="L867">
        <v>20210104</v>
      </c>
      <c r="M867" t="s">
        <v>73</v>
      </c>
    </row>
    <row r="868" spans="1:13">
      <c r="A868">
        <v>867</v>
      </c>
      <c r="B868" t="s">
        <v>441</v>
      </c>
      <c r="C868" t="s">
        <v>445</v>
      </c>
      <c r="D868" t="s">
        <v>445</v>
      </c>
      <c r="E868" t="s">
        <v>72</v>
      </c>
      <c r="F868" t="s">
        <v>442</v>
      </c>
      <c r="G868" s="27" t="s">
        <v>464</v>
      </c>
      <c r="H868">
        <v>6</v>
      </c>
      <c r="I868">
        <v>1362.95</v>
      </c>
      <c r="J868">
        <v>8177.7000000000007</v>
      </c>
      <c r="K868" t="s">
        <v>45</v>
      </c>
      <c r="L868">
        <v>20201222</v>
      </c>
      <c r="M868" t="s">
        <v>73</v>
      </c>
    </row>
    <row r="869" spans="1:13">
      <c r="A869">
        <v>868</v>
      </c>
      <c r="B869" t="s">
        <v>463</v>
      </c>
      <c r="C869" t="s">
        <v>463</v>
      </c>
      <c r="D869" t="s">
        <v>463</v>
      </c>
      <c r="E869" t="s">
        <v>72</v>
      </c>
      <c r="F869" t="s">
        <v>466</v>
      </c>
      <c r="G869" s="27" t="s">
        <v>465</v>
      </c>
      <c r="H869">
        <v>351</v>
      </c>
      <c r="I869">
        <v>68.570000000000007</v>
      </c>
      <c r="J869">
        <v>24068.070000000003</v>
      </c>
      <c r="K869" t="s">
        <v>45</v>
      </c>
      <c r="L869">
        <v>20201221</v>
      </c>
      <c r="M869" t="s">
        <v>73</v>
      </c>
    </row>
    <row r="870" spans="1:13">
      <c r="A870">
        <v>869</v>
      </c>
      <c r="B870" t="s">
        <v>26</v>
      </c>
      <c r="C870" t="s">
        <v>102</v>
      </c>
      <c r="D870" t="s">
        <v>102</v>
      </c>
      <c r="E870" t="s">
        <v>72</v>
      </c>
      <c r="F870" t="s">
        <v>103</v>
      </c>
      <c r="G870" s="27" t="s">
        <v>465</v>
      </c>
      <c r="H870">
        <v>70</v>
      </c>
      <c r="I870">
        <v>161.99</v>
      </c>
      <c r="J870">
        <v>11339.300000000001</v>
      </c>
      <c r="K870" t="s">
        <v>45</v>
      </c>
      <c r="L870">
        <v>20201221</v>
      </c>
      <c r="M870" t="s">
        <v>73</v>
      </c>
    </row>
    <row r="871" spans="1:13">
      <c r="A871">
        <v>870</v>
      </c>
      <c r="B871" t="s">
        <v>441</v>
      </c>
      <c r="C871" t="s">
        <v>445</v>
      </c>
      <c r="D871" t="s">
        <v>445</v>
      </c>
      <c r="E871" t="s">
        <v>72</v>
      </c>
      <c r="F871" t="s">
        <v>442</v>
      </c>
      <c r="G871" s="27" t="s">
        <v>465</v>
      </c>
      <c r="H871">
        <v>5</v>
      </c>
      <c r="I871">
        <v>1404.11</v>
      </c>
      <c r="J871">
        <v>7020.5499999999993</v>
      </c>
      <c r="K871" t="s">
        <v>45</v>
      </c>
      <c r="L871">
        <v>20201221</v>
      </c>
      <c r="M871" t="s">
        <v>73</v>
      </c>
    </row>
    <row r="872" spans="1:13">
      <c r="A872">
        <v>871</v>
      </c>
      <c r="B872" t="s">
        <v>29</v>
      </c>
      <c r="C872" t="s">
        <v>107</v>
      </c>
      <c r="D872" t="s">
        <v>107</v>
      </c>
      <c r="E872" t="s">
        <v>72</v>
      </c>
      <c r="F872" t="s">
        <v>108</v>
      </c>
      <c r="G872" s="27" t="s">
        <v>465</v>
      </c>
      <c r="H872">
        <v>6</v>
      </c>
      <c r="I872">
        <v>1666.45</v>
      </c>
      <c r="J872">
        <v>9998.7000000000007</v>
      </c>
      <c r="K872" t="s">
        <v>45</v>
      </c>
      <c r="L872">
        <v>20201221</v>
      </c>
      <c r="M872" t="s">
        <v>73</v>
      </c>
    </row>
    <row r="873" spans="1:13">
      <c r="A873">
        <v>872</v>
      </c>
      <c r="B873" t="s">
        <v>37</v>
      </c>
      <c r="C873" t="s">
        <v>119</v>
      </c>
      <c r="D873" t="s">
        <v>216</v>
      </c>
      <c r="E873" t="s">
        <v>76</v>
      </c>
      <c r="F873" t="s">
        <v>120</v>
      </c>
      <c r="G873" s="27" t="s">
        <v>465</v>
      </c>
      <c r="H873">
        <v>1</v>
      </c>
      <c r="I873">
        <v>201.55</v>
      </c>
      <c r="J873">
        <v>201.55</v>
      </c>
      <c r="K873" t="s">
        <v>45</v>
      </c>
      <c r="L873">
        <v>20201221</v>
      </c>
      <c r="M873" t="s">
        <v>73</v>
      </c>
    </row>
    <row r="874" spans="1:13">
      <c r="A874">
        <v>873</v>
      </c>
      <c r="B874" t="s">
        <v>37</v>
      </c>
      <c r="C874" t="s">
        <v>119</v>
      </c>
      <c r="D874" t="s">
        <v>216</v>
      </c>
      <c r="E874" t="s">
        <v>76</v>
      </c>
      <c r="F874" t="s">
        <v>120</v>
      </c>
      <c r="G874" s="27" t="s">
        <v>462</v>
      </c>
      <c r="H874">
        <v>25</v>
      </c>
      <c r="I874">
        <v>211.9</v>
      </c>
      <c r="J874">
        <v>5297.5</v>
      </c>
      <c r="K874" t="s">
        <v>45</v>
      </c>
      <c r="L874">
        <v>20201218</v>
      </c>
      <c r="M874" t="s">
        <v>73</v>
      </c>
    </row>
    <row r="875" spans="1:13">
      <c r="A875">
        <v>874</v>
      </c>
      <c r="B875" t="s">
        <v>441</v>
      </c>
      <c r="C875" t="s">
        <v>445</v>
      </c>
      <c r="D875" t="s">
        <v>445</v>
      </c>
      <c r="E875" t="s">
        <v>72</v>
      </c>
      <c r="F875" t="s">
        <v>442</v>
      </c>
      <c r="G875" s="27" t="s">
        <v>461</v>
      </c>
      <c r="H875">
        <v>3</v>
      </c>
      <c r="I875">
        <v>1368.1</v>
      </c>
      <c r="J875">
        <v>4104.2999999999993</v>
      </c>
      <c r="K875" t="s">
        <v>45</v>
      </c>
      <c r="L875">
        <v>20201207</v>
      </c>
      <c r="M875" t="s">
        <v>73</v>
      </c>
    </row>
    <row r="876" spans="1:13">
      <c r="A876">
        <v>875</v>
      </c>
      <c r="B876" t="s">
        <v>37</v>
      </c>
      <c r="C876" t="s">
        <v>119</v>
      </c>
      <c r="D876" t="s">
        <v>216</v>
      </c>
      <c r="E876" t="s">
        <v>76</v>
      </c>
      <c r="F876" t="s">
        <v>120</v>
      </c>
      <c r="G876" s="27" t="s">
        <v>461</v>
      </c>
      <c r="H876">
        <v>20</v>
      </c>
      <c r="I876">
        <v>220.6</v>
      </c>
      <c r="J876">
        <v>4412</v>
      </c>
      <c r="K876" t="s">
        <v>45</v>
      </c>
      <c r="L876">
        <v>20201207</v>
      </c>
      <c r="M876" t="s">
        <v>73</v>
      </c>
    </row>
    <row r="877" spans="1:13">
      <c r="A877">
        <v>876</v>
      </c>
      <c r="B877" t="s">
        <v>441</v>
      </c>
      <c r="C877" t="s">
        <v>445</v>
      </c>
      <c r="D877" t="s">
        <v>445</v>
      </c>
      <c r="E877" t="s">
        <v>72</v>
      </c>
      <c r="F877" t="s">
        <v>442</v>
      </c>
      <c r="G877" s="27" t="s">
        <v>458</v>
      </c>
      <c r="H877">
        <v>8</v>
      </c>
      <c r="I877">
        <v>1390.34</v>
      </c>
      <c r="J877">
        <v>11122.72</v>
      </c>
      <c r="K877" t="s">
        <v>45</v>
      </c>
      <c r="L877">
        <v>20201203</v>
      </c>
      <c r="M877" t="s">
        <v>73</v>
      </c>
    </row>
    <row r="878" spans="1:13">
      <c r="A878">
        <v>877</v>
      </c>
      <c r="B878" t="s">
        <v>441</v>
      </c>
      <c r="C878" t="s">
        <v>445</v>
      </c>
      <c r="D878" t="s">
        <v>445</v>
      </c>
      <c r="E878" t="s">
        <v>72</v>
      </c>
      <c r="F878" t="s">
        <v>442</v>
      </c>
      <c r="G878" s="27" t="s">
        <v>459</v>
      </c>
      <c r="H878">
        <v>2</v>
      </c>
      <c r="I878">
        <v>1417.5</v>
      </c>
      <c r="J878">
        <v>2835</v>
      </c>
      <c r="K878" t="s">
        <v>45</v>
      </c>
      <c r="L878">
        <v>20201202</v>
      </c>
      <c r="M878" t="s">
        <v>73</v>
      </c>
    </row>
    <row r="879" spans="1:13">
      <c r="A879">
        <v>878</v>
      </c>
      <c r="B879" t="s">
        <v>441</v>
      </c>
      <c r="C879" t="s">
        <v>445</v>
      </c>
      <c r="D879" t="s">
        <v>445</v>
      </c>
      <c r="E879" t="s">
        <v>72</v>
      </c>
      <c r="F879" t="s">
        <v>442</v>
      </c>
      <c r="G879" s="27" t="s">
        <v>460</v>
      </c>
      <c r="H879">
        <v>2</v>
      </c>
      <c r="I879">
        <v>1443.35</v>
      </c>
      <c r="J879">
        <v>2886.7</v>
      </c>
      <c r="K879" t="s">
        <v>45</v>
      </c>
      <c r="L879">
        <v>20201201</v>
      </c>
      <c r="M879" t="s">
        <v>73</v>
      </c>
    </row>
    <row r="880" spans="1:13">
      <c r="A880">
        <v>879</v>
      </c>
      <c r="B880" t="s">
        <v>37</v>
      </c>
      <c r="C880" t="s">
        <v>119</v>
      </c>
      <c r="D880" t="s">
        <v>216</v>
      </c>
      <c r="E880" t="s">
        <v>76</v>
      </c>
      <c r="F880" t="s">
        <v>120</v>
      </c>
      <c r="G880" s="27" t="s">
        <v>455</v>
      </c>
      <c r="H880">
        <v>4</v>
      </c>
      <c r="I880">
        <v>206.6</v>
      </c>
      <c r="J880">
        <v>826.4</v>
      </c>
      <c r="K880" t="s">
        <v>45</v>
      </c>
      <c r="L880">
        <v>20201119</v>
      </c>
      <c r="M880" t="s">
        <v>73</v>
      </c>
    </row>
    <row r="881" spans="1:13">
      <c r="A881">
        <v>880</v>
      </c>
      <c r="B881" t="s">
        <v>37</v>
      </c>
      <c r="C881" t="s">
        <v>119</v>
      </c>
      <c r="D881" t="s">
        <v>216</v>
      </c>
      <c r="E881" t="s">
        <v>76</v>
      </c>
      <c r="F881" t="s">
        <v>120</v>
      </c>
      <c r="G881" s="27" t="s">
        <v>456</v>
      </c>
      <c r="H881">
        <v>20</v>
      </c>
      <c r="I881">
        <v>213.2</v>
      </c>
      <c r="J881">
        <v>4264</v>
      </c>
      <c r="K881" t="s">
        <v>45</v>
      </c>
      <c r="L881">
        <v>20201118</v>
      </c>
      <c r="M881" t="s">
        <v>73</v>
      </c>
    </row>
    <row r="882" spans="1:13">
      <c r="A882">
        <v>881</v>
      </c>
      <c r="B882" t="s">
        <v>29</v>
      </c>
      <c r="C882" t="s">
        <v>107</v>
      </c>
      <c r="D882" t="s">
        <v>107</v>
      </c>
      <c r="E882" t="s">
        <v>72</v>
      </c>
      <c r="F882" t="s">
        <v>108</v>
      </c>
      <c r="G882" s="27" t="s">
        <v>457</v>
      </c>
      <c r="H882">
        <v>2</v>
      </c>
      <c r="I882">
        <v>1562.5</v>
      </c>
      <c r="J882">
        <v>3125</v>
      </c>
      <c r="K882" t="s">
        <v>45</v>
      </c>
      <c r="L882">
        <v>20201111</v>
      </c>
      <c r="M882" t="s">
        <v>73</v>
      </c>
    </row>
    <row r="883" spans="1:13">
      <c r="A883">
        <v>882</v>
      </c>
      <c r="B883" t="s">
        <v>37</v>
      </c>
      <c r="C883" t="s">
        <v>119</v>
      </c>
      <c r="D883" t="s">
        <v>216</v>
      </c>
      <c r="E883" t="s">
        <v>76</v>
      </c>
      <c r="F883" t="s">
        <v>120</v>
      </c>
      <c r="G883" s="27" t="s">
        <v>457</v>
      </c>
      <c r="H883">
        <v>22</v>
      </c>
      <c r="I883">
        <v>226.43</v>
      </c>
      <c r="J883">
        <v>4981.46</v>
      </c>
      <c r="K883" t="s">
        <v>45</v>
      </c>
      <c r="L883">
        <v>20201111</v>
      </c>
      <c r="M883" t="s">
        <v>73</v>
      </c>
    </row>
    <row r="884" spans="1:13">
      <c r="A884">
        <v>883</v>
      </c>
      <c r="B884" t="s">
        <v>414</v>
      </c>
      <c r="C884" t="s">
        <v>414</v>
      </c>
      <c r="D884" t="s">
        <v>414</v>
      </c>
      <c r="E884" t="s">
        <v>72</v>
      </c>
      <c r="F884" t="s">
        <v>415</v>
      </c>
      <c r="G884" s="27" t="s">
        <v>452</v>
      </c>
      <c r="H884">
        <v>40</v>
      </c>
      <c r="I884">
        <v>258.81599999999997</v>
      </c>
      <c r="J884">
        <v>10352.64</v>
      </c>
      <c r="K884" t="s">
        <v>45</v>
      </c>
      <c r="L884">
        <v>20201104</v>
      </c>
      <c r="M884" t="s">
        <v>73</v>
      </c>
    </row>
    <row r="885" spans="1:13">
      <c r="A885">
        <v>884</v>
      </c>
      <c r="B885" t="s">
        <v>37</v>
      </c>
      <c r="C885" t="s">
        <v>119</v>
      </c>
      <c r="D885" t="s">
        <v>216</v>
      </c>
      <c r="E885" t="s">
        <v>76</v>
      </c>
      <c r="F885" t="s">
        <v>120</v>
      </c>
      <c r="G885" s="27" t="s">
        <v>450</v>
      </c>
      <c r="H885">
        <v>3</v>
      </c>
      <c r="I885">
        <v>231</v>
      </c>
      <c r="J885">
        <v>693</v>
      </c>
      <c r="K885" t="s">
        <v>45</v>
      </c>
      <c r="L885">
        <v>20201028</v>
      </c>
      <c r="M885" t="s">
        <v>73</v>
      </c>
    </row>
    <row r="886" spans="1:13">
      <c r="A886">
        <v>885</v>
      </c>
      <c r="B886" t="s">
        <v>37</v>
      </c>
      <c r="C886" t="s">
        <v>119</v>
      </c>
      <c r="D886" t="s">
        <v>216</v>
      </c>
      <c r="E886" t="s">
        <v>76</v>
      </c>
      <c r="F886" t="s">
        <v>120</v>
      </c>
      <c r="G886" s="27" t="s">
        <v>449</v>
      </c>
      <c r="H886">
        <v>11</v>
      </c>
      <c r="I886">
        <v>245.36</v>
      </c>
      <c r="J886">
        <v>2698.96</v>
      </c>
      <c r="K886" t="s">
        <v>45</v>
      </c>
      <c r="L886">
        <v>20201027</v>
      </c>
      <c r="M886" t="s">
        <v>73</v>
      </c>
    </row>
    <row r="887" spans="1:13">
      <c r="A887">
        <v>886</v>
      </c>
      <c r="B887" t="s">
        <v>441</v>
      </c>
      <c r="C887" t="s">
        <v>445</v>
      </c>
      <c r="D887" t="s">
        <v>445</v>
      </c>
      <c r="E887" t="s">
        <v>72</v>
      </c>
      <c r="F887" t="s">
        <v>442</v>
      </c>
      <c r="G887" s="27" t="s">
        <v>451</v>
      </c>
      <c r="H887">
        <v>5</v>
      </c>
      <c r="I887">
        <v>1219</v>
      </c>
      <c r="J887">
        <v>6095</v>
      </c>
      <c r="K887" t="s">
        <v>45</v>
      </c>
      <c r="L887">
        <v>20201026</v>
      </c>
      <c r="M887" t="s">
        <v>73</v>
      </c>
    </row>
    <row r="888" spans="1:13">
      <c r="A888">
        <v>887</v>
      </c>
      <c r="B888" t="s">
        <v>441</v>
      </c>
      <c r="C888" t="s">
        <v>445</v>
      </c>
      <c r="D888" t="s">
        <v>445</v>
      </c>
      <c r="E888" t="s">
        <v>72</v>
      </c>
      <c r="F888" t="s">
        <v>442</v>
      </c>
      <c r="G888" s="27" t="s">
        <v>448</v>
      </c>
      <c r="H888">
        <v>2</v>
      </c>
      <c r="I888">
        <v>1246.1300000000001</v>
      </c>
      <c r="J888">
        <v>2492.2600000000002</v>
      </c>
      <c r="K888" t="s">
        <v>45</v>
      </c>
      <c r="L888">
        <v>20201022</v>
      </c>
      <c r="M888" t="s">
        <v>73</v>
      </c>
    </row>
    <row r="889" spans="1:13">
      <c r="A889">
        <v>888</v>
      </c>
      <c r="B889" t="s">
        <v>441</v>
      </c>
      <c r="C889" t="s">
        <v>445</v>
      </c>
      <c r="D889" t="s">
        <v>445</v>
      </c>
      <c r="E889" t="s">
        <v>72</v>
      </c>
      <c r="F889" t="s">
        <v>442</v>
      </c>
      <c r="G889" s="27" t="s">
        <v>447</v>
      </c>
      <c r="H889">
        <v>10</v>
      </c>
      <c r="I889">
        <v>1169.5</v>
      </c>
      <c r="J889">
        <v>11695</v>
      </c>
      <c r="K889" t="s">
        <v>45</v>
      </c>
      <c r="L889">
        <v>20201015</v>
      </c>
      <c r="M889" t="s">
        <v>73</v>
      </c>
    </row>
    <row r="890" spans="1:13">
      <c r="A890">
        <v>889</v>
      </c>
      <c r="B890" t="s">
        <v>441</v>
      </c>
      <c r="C890" t="s">
        <v>445</v>
      </c>
      <c r="D890" t="s">
        <v>445</v>
      </c>
      <c r="E890" t="s">
        <v>72</v>
      </c>
      <c r="F890" t="s">
        <v>442</v>
      </c>
      <c r="G890" s="27" t="s">
        <v>446</v>
      </c>
      <c r="H890">
        <v>1</v>
      </c>
      <c r="I890">
        <v>1241.6500000000001</v>
      </c>
      <c r="J890">
        <v>1241.6500000000001</v>
      </c>
      <c r="K890" t="s">
        <v>45</v>
      </c>
      <c r="L890">
        <v>20201012</v>
      </c>
      <c r="M890" t="s">
        <v>73</v>
      </c>
    </row>
    <row r="891" spans="1:13">
      <c r="A891">
        <v>890</v>
      </c>
      <c r="B891" t="s">
        <v>441</v>
      </c>
      <c r="C891" t="s">
        <v>445</v>
      </c>
      <c r="D891" t="s">
        <v>445</v>
      </c>
      <c r="E891" t="s">
        <v>72</v>
      </c>
      <c r="F891" t="s">
        <v>442</v>
      </c>
      <c r="G891" s="27" t="s">
        <v>444</v>
      </c>
      <c r="H891">
        <v>4</v>
      </c>
      <c r="I891">
        <v>1203.3</v>
      </c>
      <c r="J891">
        <v>4813.2</v>
      </c>
      <c r="K891" t="s">
        <v>45</v>
      </c>
      <c r="L891">
        <v>20201008</v>
      </c>
      <c r="M891" t="s">
        <v>73</v>
      </c>
    </row>
    <row r="892" spans="1:13">
      <c r="A892">
        <v>891</v>
      </c>
      <c r="B892" t="s">
        <v>194</v>
      </c>
      <c r="C892" t="s">
        <v>195</v>
      </c>
      <c r="D892" t="s">
        <v>195</v>
      </c>
      <c r="E892" t="s">
        <v>72</v>
      </c>
      <c r="F892" t="s">
        <v>196</v>
      </c>
      <c r="G892" s="27" t="s">
        <v>443</v>
      </c>
      <c r="H892">
        <v>10</v>
      </c>
      <c r="I892">
        <v>588.99</v>
      </c>
      <c r="J892">
        <v>5889.9</v>
      </c>
      <c r="K892" t="s">
        <v>45</v>
      </c>
      <c r="L892">
        <v>20201007</v>
      </c>
      <c r="M892" t="s">
        <v>73</v>
      </c>
    </row>
    <row r="893" spans="1:13">
      <c r="A893">
        <v>892</v>
      </c>
      <c r="B893" t="s">
        <v>37</v>
      </c>
      <c r="C893" t="s">
        <v>119</v>
      </c>
      <c r="D893" t="s">
        <v>216</v>
      </c>
      <c r="E893" t="s">
        <v>76</v>
      </c>
      <c r="F893" t="s">
        <v>120</v>
      </c>
      <c r="G893" s="27" t="s">
        <v>443</v>
      </c>
      <c r="H893">
        <v>11</v>
      </c>
      <c r="I893">
        <v>266.36</v>
      </c>
      <c r="J893">
        <v>2929.96</v>
      </c>
      <c r="K893" t="s">
        <v>45</v>
      </c>
      <c r="L893">
        <v>20201007</v>
      </c>
      <c r="M893" t="s">
        <v>73</v>
      </c>
    </row>
    <row r="894" spans="1:13">
      <c r="A894">
        <v>893</v>
      </c>
      <c r="B894" t="s">
        <v>37</v>
      </c>
      <c r="C894" t="s">
        <v>119</v>
      </c>
      <c r="D894" t="s">
        <v>216</v>
      </c>
      <c r="E894" t="s">
        <v>76</v>
      </c>
      <c r="F894" t="s">
        <v>120</v>
      </c>
      <c r="G894" s="27" t="s">
        <v>432</v>
      </c>
      <c r="H894">
        <v>5</v>
      </c>
      <c r="I894">
        <v>273.85000000000002</v>
      </c>
      <c r="J894">
        <v>1369.25</v>
      </c>
      <c r="K894" t="s">
        <v>45</v>
      </c>
      <c r="L894">
        <v>20200922</v>
      </c>
      <c r="M894" t="s">
        <v>73</v>
      </c>
    </row>
    <row r="895" spans="1:13">
      <c r="A895">
        <v>894</v>
      </c>
      <c r="B895" t="s">
        <v>29</v>
      </c>
      <c r="C895" t="s">
        <v>107</v>
      </c>
      <c r="D895" t="s">
        <v>107</v>
      </c>
      <c r="E895" t="s">
        <v>72</v>
      </c>
      <c r="F895" t="s">
        <v>108</v>
      </c>
      <c r="G895" s="27" t="s">
        <v>433</v>
      </c>
      <c r="H895">
        <v>1</v>
      </c>
      <c r="I895">
        <v>1437.7</v>
      </c>
      <c r="J895">
        <v>1437.7</v>
      </c>
      <c r="K895" t="s">
        <v>45</v>
      </c>
      <c r="L895">
        <v>20200921</v>
      </c>
      <c r="M895" t="s">
        <v>73</v>
      </c>
    </row>
    <row r="896" spans="1:13">
      <c r="A896">
        <v>895</v>
      </c>
      <c r="B896" t="s">
        <v>26</v>
      </c>
      <c r="C896" t="s">
        <v>102</v>
      </c>
      <c r="D896" t="s">
        <v>102</v>
      </c>
      <c r="E896" t="s">
        <v>72</v>
      </c>
      <c r="F896" t="s">
        <v>103</v>
      </c>
      <c r="G896" s="27" t="s">
        <v>426</v>
      </c>
      <c r="H896">
        <v>20</v>
      </c>
      <c r="I896">
        <v>152.69</v>
      </c>
      <c r="J896">
        <v>3053.8</v>
      </c>
      <c r="K896" t="s">
        <v>45</v>
      </c>
      <c r="L896">
        <v>20200831</v>
      </c>
      <c r="M896" t="s">
        <v>73</v>
      </c>
    </row>
    <row r="897" spans="1:13">
      <c r="A897">
        <v>896</v>
      </c>
      <c r="B897" t="s">
        <v>26</v>
      </c>
      <c r="C897" t="s">
        <v>102</v>
      </c>
      <c r="D897" t="s">
        <v>102</v>
      </c>
      <c r="E897" t="s">
        <v>72</v>
      </c>
      <c r="F897" t="s">
        <v>103</v>
      </c>
      <c r="G897" s="27" t="s">
        <v>423</v>
      </c>
      <c r="H897">
        <v>15</v>
      </c>
      <c r="I897">
        <v>154.55000000000001</v>
      </c>
      <c r="J897">
        <v>2318.25</v>
      </c>
      <c r="K897" t="s">
        <v>45</v>
      </c>
      <c r="L897">
        <v>20200817</v>
      </c>
      <c r="M897" t="s">
        <v>73</v>
      </c>
    </row>
    <row r="898" spans="1:13">
      <c r="A898">
        <v>897</v>
      </c>
      <c r="B898" t="s">
        <v>26</v>
      </c>
      <c r="C898" t="s">
        <v>102</v>
      </c>
      <c r="D898" t="s">
        <v>102</v>
      </c>
      <c r="E898" t="s">
        <v>72</v>
      </c>
      <c r="F898" t="s">
        <v>103</v>
      </c>
      <c r="G898" s="27" t="s">
        <v>420</v>
      </c>
      <c r="H898">
        <v>18</v>
      </c>
      <c r="I898">
        <v>153.13999999999999</v>
      </c>
      <c r="J898">
        <v>2756.5199999999995</v>
      </c>
      <c r="K898" t="s">
        <v>45</v>
      </c>
      <c r="L898">
        <v>20200812</v>
      </c>
      <c r="M898" t="s">
        <v>73</v>
      </c>
    </row>
    <row r="899" spans="1:13">
      <c r="A899">
        <v>898</v>
      </c>
      <c r="B899" t="s">
        <v>26</v>
      </c>
      <c r="C899" t="s">
        <v>102</v>
      </c>
      <c r="D899" t="s">
        <v>102</v>
      </c>
      <c r="E899" t="s">
        <v>72</v>
      </c>
      <c r="F899" t="s">
        <v>103</v>
      </c>
      <c r="G899" s="27" t="s">
        <v>421</v>
      </c>
      <c r="H899">
        <v>15</v>
      </c>
      <c r="I899">
        <v>159.4</v>
      </c>
      <c r="J899">
        <v>2391</v>
      </c>
      <c r="K899" t="s">
        <v>45</v>
      </c>
      <c r="L899">
        <v>20200810</v>
      </c>
      <c r="M899" t="s">
        <v>73</v>
      </c>
    </row>
    <row r="900" spans="1:13">
      <c r="A900">
        <v>899</v>
      </c>
      <c r="B900" t="s">
        <v>26</v>
      </c>
      <c r="C900" t="s">
        <v>102</v>
      </c>
      <c r="D900" t="s">
        <v>102</v>
      </c>
      <c r="E900" t="s">
        <v>72</v>
      </c>
      <c r="F900" t="s">
        <v>103</v>
      </c>
      <c r="G900" s="27" t="s">
        <v>418</v>
      </c>
      <c r="H900">
        <v>50</v>
      </c>
      <c r="I900">
        <v>162.19999999999999</v>
      </c>
      <c r="J900">
        <v>8109.9999999999991</v>
      </c>
      <c r="K900" t="s">
        <v>45</v>
      </c>
      <c r="L900">
        <v>20200731</v>
      </c>
      <c r="M900" t="s">
        <v>73</v>
      </c>
    </row>
    <row r="901" spans="1:13">
      <c r="A901">
        <v>900</v>
      </c>
      <c r="B901" t="s">
        <v>26</v>
      </c>
      <c r="C901" t="s">
        <v>102</v>
      </c>
      <c r="D901" t="s">
        <v>102</v>
      </c>
      <c r="E901" t="s">
        <v>72</v>
      </c>
      <c r="F901" t="s">
        <v>103</v>
      </c>
      <c r="G901" s="27" t="s">
        <v>419</v>
      </c>
      <c r="H901">
        <v>25</v>
      </c>
      <c r="I901">
        <v>171.44</v>
      </c>
      <c r="J901">
        <v>4286</v>
      </c>
      <c r="K901" t="s">
        <v>45</v>
      </c>
      <c r="L901">
        <v>20200730</v>
      </c>
      <c r="M901" t="s">
        <v>73</v>
      </c>
    </row>
    <row r="902" spans="1:13">
      <c r="A902">
        <v>901</v>
      </c>
      <c r="B902" t="s">
        <v>414</v>
      </c>
      <c r="C902" t="s">
        <v>414</v>
      </c>
      <c r="D902" t="s">
        <v>414</v>
      </c>
      <c r="E902" t="s">
        <v>72</v>
      </c>
      <c r="F902" t="s">
        <v>415</v>
      </c>
      <c r="G902" s="27" t="s">
        <v>417</v>
      </c>
      <c r="H902">
        <v>5</v>
      </c>
      <c r="I902">
        <v>270.32</v>
      </c>
      <c r="J902">
        <v>1351.6</v>
      </c>
      <c r="K902" t="s">
        <v>45</v>
      </c>
      <c r="L902">
        <v>20200728</v>
      </c>
      <c r="M902" t="s">
        <v>73</v>
      </c>
    </row>
    <row r="903" spans="1:13">
      <c r="A903">
        <v>902</v>
      </c>
      <c r="B903" t="s">
        <v>414</v>
      </c>
      <c r="C903" t="s">
        <v>414</v>
      </c>
      <c r="D903" t="s">
        <v>414</v>
      </c>
      <c r="E903" t="s">
        <v>72</v>
      </c>
      <c r="F903" t="s">
        <v>415</v>
      </c>
      <c r="G903" s="27" t="s">
        <v>413</v>
      </c>
      <c r="H903">
        <v>125</v>
      </c>
      <c r="I903">
        <v>276.548</v>
      </c>
      <c r="J903">
        <v>34568.5</v>
      </c>
      <c r="K903" t="s">
        <v>45</v>
      </c>
      <c r="L903">
        <v>20200722</v>
      </c>
      <c r="M903" t="s">
        <v>73</v>
      </c>
    </row>
    <row r="904" spans="1:13">
      <c r="A904">
        <v>903</v>
      </c>
      <c r="B904" t="s">
        <v>29</v>
      </c>
      <c r="C904" t="s">
        <v>107</v>
      </c>
      <c r="D904" t="s">
        <v>107</v>
      </c>
      <c r="E904" t="s">
        <v>72</v>
      </c>
      <c r="F904" t="s">
        <v>108</v>
      </c>
      <c r="G904" s="27" t="s">
        <v>412</v>
      </c>
      <c r="H904">
        <v>8</v>
      </c>
      <c r="I904">
        <v>1389.05</v>
      </c>
      <c r="J904">
        <v>11112.4</v>
      </c>
      <c r="K904" t="s">
        <v>45</v>
      </c>
      <c r="L904">
        <v>20200630</v>
      </c>
      <c r="M904" t="s">
        <v>73</v>
      </c>
    </row>
    <row r="905" spans="1:13">
      <c r="A905">
        <v>904</v>
      </c>
      <c r="B905" t="s">
        <v>29</v>
      </c>
      <c r="C905" t="s">
        <v>107</v>
      </c>
      <c r="D905" t="s">
        <v>107</v>
      </c>
      <c r="E905" t="s">
        <v>72</v>
      </c>
      <c r="F905" t="s">
        <v>108</v>
      </c>
      <c r="G905" s="27" t="s">
        <v>409</v>
      </c>
      <c r="H905">
        <v>3</v>
      </c>
      <c r="I905">
        <v>1345.75</v>
      </c>
      <c r="J905">
        <v>4037.25</v>
      </c>
      <c r="K905" t="s">
        <v>45</v>
      </c>
      <c r="L905">
        <v>20200512</v>
      </c>
      <c r="M905" t="s">
        <v>73</v>
      </c>
    </row>
    <row r="906" spans="1:13">
      <c r="A906">
        <v>905</v>
      </c>
      <c r="B906" t="s">
        <v>29</v>
      </c>
      <c r="C906" t="s">
        <v>107</v>
      </c>
      <c r="D906" t="s">
        <v>107</v>
      </c>
      <c r="E906" t="s">
        <v>72</v>
      </c>
      <c r="F906" t="s">
        <v>108</v>
      </c>
      <c r="G906" s="27" t="s">
        <v>408</v>
      </c>
      <c r="H906">
        <v>7</v>
      </c>
      <c r="I906">
        <v>1370.84</v>
      </c>
      <c r="J906">
        <v>9595.8799999999992</v>
      </c>
      <c r="K906" t="s">
        <v>45</v>
      </c>
      <c r="L906">
        <v>20200508</v>
      </c>
      <c r="M906" t="s">
        <v>73</v>
      </c>
    </row>
    <row r="907" spans="1:13">
      <c r="A907">
        <v>906</v>
      </c>
      <c r="B907" t="s">
        <v>194</v>
      </c>
      <c r="C907" t="s">
        <v>195</v>
      </c>
      <c r="D907" t="s">
        <v>195</v>
      </c>
      <c r="E907" t="s">
        <v>72</v>
      </c>
      <c r="F907" t="s">
        <v>196</v>
      </c>
      <c r="G907" s="27" t="s">
        <v>407</v>
      </c>
      <c r="H907">
        <v>10</v>
      </c>
      <c r="I907">
        <v>461.3</v>
      </c>
      <c r="J907">
        <v>4613</v>
      </c>
      <c r="K907" t="s">
        <v>45</v>
      </c>
      <c r="L907">
        <v>20200413</v>
      </c>
      <c r="M907" t="s">
        <v>73</v>
      </c>
    </row>
    <row r="908" spans="1:13">
      <c r="A908">
        <v>907</v>
      </c>
      <c r="B908" t="s">
        <v>33</v>
      </c>
      <c r="C908" t="s">
        <v>113</v>
      </c>
      <c r="D908" t="s">
        <v>113</v>
      </c>
      <c r="E908" t="s">
        <v>72</v>
      </c>
      <c r="F908" t="s">
        <v>114</v>
      </c>
      <c r="G908" s="27" t="s">
        <v>407</v>
      </c>
      <c r="H908">
        <v>5</v>
      </c>
      <c r="I908">
        <v>185</v>
      </c>
      <c r="J908">
        <v>925</v>
      </c>
      <c r="K908" t="s">
        <v>45</v>
      </c>
      <c r="L908">
        <v>20200413</v>
      </c>
      <c r="M908" t="s">
        <v>73</v>
      </c>
    </row>
    <row r="909" spans="1:13">
      <c r="A909">
        <v>908</v>
      </c>
      <c r="B909" t="s">
        <v>29</v>
      </c>
      <c r="C909" t="s">
        <v>107</v>
      </c>
      <c r="D909" t="s">
        <v>107</v>
      </c>
      <c r="E909" t="s">
        <v>72</v>
      </c>
      <c r="F909" t="s">
        <v>108</v>
      </c>
      <c r="G909" s="27" t="s">
        <v>270</v>
      </c>
      <c r="H909">
        <v>2</v>
      </c>
      <c r="I909">
        <v>1240.8</v>
      </c>
      <c r="J909">
        <v>2481.6</v>
      </c>
      <c r="K909" t="s">
        <v>45</v>
      </c>
      <c r="L909">
        <v>20200407</v>
      </c>
      <c r="M909" t="s">
        <v>73</v>
      </c>
    </row>
    <row r="910" spans="1:13">
      <c r="A910">
        <v>909</v>
      </c>
      <c r="B910" t="s">
        <v>26</v>
      </c>
      <c r="C910" t="s">
        <v>102</v>
      </c>
      <c r="D910" t="s">
        <v>102</v>
      </c>
      <c r="E910" t="s">
        <v>72</v>
      </c>
      <c r="F910" t="s">
        <v>103</v>
      </c>
      <c r="G910" s="27" t="s">
        <v>271</v>
      </c>
      <c r="H910">
        <v>130</v>
      </c>
      <c r="I910">
        <v>128.13</v>
      </c>
      <c r="J910">
        <v>16656.899999999998</v>
      </c>
      <c r="K910" t="s">
        <v>45</v>
      </c>
      <c r="L910">
        <v>20200316</v>
      </c>
      <c r="M910" t="s">
        <v>73</v>
      </c>
    </row>
    <row r="911" spans="1:13">
      <c r="A911">
        <v>910</v>
      </c>
      <c r="B911" t="s">
        <v>13</v>
      </c>
      <c r="C911" t="s">
        <v>83</v>
      </c>
      <c r="D911" t="s">
        <v>246</v>
      </c>
      <c r="E911" t="s">
        <v>76</v>
      </c>
      <c r="F911" t="s">
        <v>84</v>
      </c>
      <c r="G911" s="27" t="s">
        <v>271</v>
      </c>
      <c r="H911">
        <v>25</v>
      </c>
      <c r="I911">
        <v>617.79999999999995</v>
      </c>
      <c r="J911">
        <v>15444.999999999998</v>
      </c>
      <c r="K911" t="s">
        <v>45</v>
      </c>
      <c r="L911">
        <v>20200316</v>
      </c>
      <c r="M911" t="s">
        <v>73</v>
      </c>
    </row>
    <row r="912" spans="1:13">
      <c r="A912">
        <v>911</v>
      </c>
      <c r="B912" t="s">
        <v>25</v>
      </c>
      <c r="C912" t="s">
        <v>100</v>
      </c>
      <c r="D912" t="s">
        <v>100</v>
      </c>
      <c r="E912" t="s">
        <v>72</v>
      </c>
      <c r="F912" t="s">
        <v>101</v>
      </c>
      <c r="G912" s="27" t="s">
        <v>261</v>
      </c>
      <c r="H912">
        <v>17</v>
      </c>
      <c r="I912">
        <v>433.72</v>
      </c>
      <c r="J912">
        <v>7373.2400000000007</v>
      </c>
      <c r="K912" t="s">
        <v>45</v>
      </c>
      <c r="L912">
        <v>20200131</v>
      </c>
      <c r="M912" t="s">
        <v>73</v>
      </c>
    </row>
    <row r="913" spans="1:13">
      <c r="A913">
        <v>912</v>
      </c>
      <c r="B913" t="s">
        <v>25</v>
      </c>
      <c r="C913" t="s">
        <v>100</v>
      </c>
      <c r="D913" t="s">
        <v>100</v>
      </c>
      <c r="E913" t="s">
        <v>72</v>
      </c>
      <c r="F913" t="s">
        <v>101</v>
      </c>
      <c r="G913" s="27" t="s">
        <v>259</v>
      </c>
      <c r="H913">
        <v>1</v>
      </c>
      <c r="I913">
        <v>418.77</v>
      </c>
      <c r="J913">
        <v>418.77</v>
      </c>
      <c r="K913" t="s">
        <v>45</v>
      </c>
      <c r="L913">
        <v>20200106</v>
      </c>
      <c r="M913" t="s">
        <v>73</v>
      </c>
    </row>
    <row r="914" spans="1:13">
      <c r="A914">
        <v>913</v>
      </c>
      <c r="B914" t="s">
        <v>18</v>
      </c>
      <c r="C914" t="s">
        <v>88</v>
      </c>
      <c r="D914" t="s">
        <v>88</v>
      </c>
      <c r="E914" t="s">
        <v>72</v>
      </c>
      <c r="F914" t="s">
        <v>89</v>
      </c>
      <c r="G914" s="27" t="s">
        <v>257</v>
      </c>
      <c r="H914">
        <v>5</v>
      </c>
      <c r="I914">
        <v>544.79999999999995</v>
      </c>
      <c r="J914">
        <v>2724</v>
      </c>
      <c r="K914" t="s">
        <v>45</v>
      </c>
      <c r="L914">
        <v>20191211</v>
      </c>
      <c r="M914" t="s">
        <v>73</v>
      </c>
    </row>
    <row r="915" spans="1:13">
      <c r="A915">
        <v>914</v>
      </c>
      <c r="B915" t="s">
        <v>12</v>
      </c>
      <c r="C915" t="s">
        <v>410</v>
      </c>
      <c r="D915" t="s">
        <v>410</v>
      </c>
      <c r="E915" t="s">
        <v>72</v>
      </c>
      <c r="F915" t="s">
        <v>82</v>
      </c>
      <c r="G915" s="27" t="s">
        <v>256</v>
      </c>
      <c r="H915">
        <v>8</v>
      </c>
      <c r="I915">
        <v>392.5</v>
      </c>
      <c r="J915">
        <v>3140</v>
      </c>
      <c r="K915" t="s">
        <v>45</v>
      </c>
      <c r="L915">
        <v>20191009</v>
      </c>
      <c r="M915" t="s">
        <v>73</v>
      </c>
    </row>
    <row r="916" spans="1:13">
      <c r="A916">
        <v>915</v>
      </c>
      <c r="B916" t="s">
        <v>18</v>
      </c>
      <c r="C916" t="s">
        <v>88</v>
      </c>
      <c r="D916" t="s">
        <v>88</v>
      </c>
      <c r="E916" t="s">
        <v>72</v>
      </c>
      <c r="F916" t="s">
        <v>89</v>
      </c>
      <c r="G916" s="27" t="s">
        <v>255</v>
      </c>
      <c r="H916">
        <v>6</v>
      </c>
      <c r="I916">
        <v>543</v>
      </c>
      <c r="J916">
        <v>3258</v>
      </c>
      <c r="K916" t="s">
        <v>45</v>
      </c>
      <c r="L916">
        <v>20190909</v>
      </c>
      <c r="M916" t="s">
        <v>73</v>
      </c>
    </row>
    <row r="917" spans="1:13">
      <c r="A917">
        <v>916</v>
      </c>
      <c r="B917" t="s">
        <v>34</v>
      </c>
      <c r="C917" t="s">
        <v>115</v>
      </c>
      <c r="D917" t="s">
        <v>115</v>
      </c>
      <c r="E917" t="s">
        <v>72</v>
      </c>
      <c r="F917" t="s">
        <v>116</v>
      </c>
      <c r="G917" s="27" t="s">
        <v>255</v>
      </c>
      <c r="H917">
        <v>6</v>
      </c>
      <c r="I917">
        <v>125.01</v>
      </c>
      <c r="J917">
        <v>750.06000000000006</v>
      </c>
      <c r="K917" t="s">
        <v>45</v>
      </c>
      <c r="L917">
        <v>20190909</v>
      </c>
      <c r="M917" t="s">
        <v>73</v>
      </c>
    </row>
    <row r="918" spans="1:13">
      <c r="A918">
        <v>917</v>
      </c>
      <c r="B918" t="s">
        <v>252</v>
      </c>
      <c r="C918" t="s">
        <v>252</v>
      </c>
      <c r="D918" t="s">
        <v>252</v>
      </c>
      <c r="E918" t="s">
        <v>72</v>
      </c>
      <c r="F918" t="s">
        <v>253</v>
      </c>
      <c r="G918" s="27" t="s">
        <v>254</v>
      </c>
      <c r="H918">
        <v>36</v>
      </c>
      <c r="I918">
        <v>537.25</v>
      </c>
      <c r="J918">
        <v>19341</v>
      </c>
      <c r="K918" t="s">
        <v>45</v>
      </c>
      <c r="L918">
        <v>20190826</v>
      </c>
      <c r="M918" t="s">
        <v>73</v>
      </c>
    </row>
    <row r="919" spans="1:13">
      <c r="A919">
        <v>918</v>
      </c>
      <c r="B919" t="s">
        <v>12</v>
      </c>
      <c r="C919" t="s">
        <v>410</v>
      </c>
      <c r="D919" t="s">
        <v>410</v>
      </c>
      <c r="E919" t="s">
        <v>72</v>
      </c>
      <c r="F919" t="s">
        <v>82</v>
      </c>
      <c r="G919" s="27" t="s">
        <v>251</v>
      </c>
      <c r="H919">
        <v>8</v>
      </c>
      <c r="I919">
        <v>400.75</v>
      </c>
      <c r="J919">
        <v>3206</v>
      </c>
      <c r="K919" t="s">
        <v>45</v>
      </c>
      <c r="L919">
        <v>20190821</v>
      </c>
      <c r="M919" t="s">
        <v>73</v>
      </c>
    </row>
    <row r="920" spans="1:13">
      <c r="A920">
        <v>919</v>
      </c>
      <c r="B920" t="s">
        <v>34</v>
      </c>
      <c r="C920" t="s">
        <v>115</v>
      </c>
      <c r="D920" t="s">
        <v>115</v>
      </c>
      <c r="E920" t="s">
        <v>72</v>
      </c>
      <c r="F920" t="s">
        <v>116</v>
      </c>
      <c r="G920" s="27" t="s">
        <v>250</v>
      </c>
      <c r="H920">
        <v>36</v>
      </c>
      <c r="I920">
        <v>115.03</v>
      </c>
      <c r="J920">
        <v>4141.08</v>
      </c>
      <c r="K920" t="s">
        <v>45</v>
      </c>
      <c r="L920">
        <v>20190816</v>
      </c>
      <c r="M920" t="s">
        <v>73</v>
      </c>
    </row>
    <row r="921" spans="1:13">
      <c r="A921">
        <v>920</v>
      </c>
      <c r="B921" t="s">
        <v>25</v>
      </c>
      <c r="C921" t="s">
        <v>100</v>
      </c>
      <c r="D921" t="s">
        <v>100</v>
      </c>
      <c r="E921" t="s">
        <v>72</v>
      </c>
      <c r="F921" t="s">
        <v>101</v>
      </c>
      <c r="G921" s="27" t="s">
        <v>249</v>
      </c>
      <c r="H921">
        <v>21</v>
      </c>
      <c r="I921">
        <v>484.95</v>
      </c>
      <c r="J921">
        <v>10183.949999999999</v>
      </c>
      <c r="K921" t="s">
        <v>45</v>
      </c>
      <c r="L921">
        <v>20190806</v>
      </c>
      <c r="M921" t="s">
        <v>73</v>
      </c>
    </row>
    <row r="922" spans="1:13">
      <c r="A922">
        <v>921</v>
      </c>
      <c r="B922" t="s">
        <v>230</v>
      </c>
      <c r="C922" t="s">
        <v>117</v>
      </c>
      <c r="D922" t="s">
        <v>117</v>
      </c>
      <c r="E922" t="s">
        <v>72</v>
      </c>
      <c r="F922" t="s">
        <v>118</v>
      </c>
      <c r="G922" s="27" t="s">
        <v>247</v>
      </c>
      <c r="H922">
        <v>17</v>
      </c>
      <c r="I922">
        <v>74.849999999999994</v>
      </c>
      <c r="J922">
        <v>1272.4499999999998</v>
      </c>
      <c r="K922" t="s">
        <v>45</v>
      </c>
      <c r="L922">
        <v>20190709</v>
      </c>
      <c r="M922" t="s">
        <v>73</v>
      </c>
    </row>
    <row r="923" spans="1:13">
      <c r="A923">
        <v>922</v>
      </c>
      <c r="B923" t="s">
        <v>12</v>
      </c>
      <c r="C923" t="s">
        <v>410</v>
      </c>
      <c r="D923" t="s">
        <v>410</v>
      </c>
      <c r="E923" t="s">
        <v>72</v>
      </c>
      <c r="F923" t="s">
        <v>82</v>
      </c>
      <c r="G923" s="27" t="s">
        <v>248</v>
      </c>
      <c r="H923">
        <v>17</v>
      </c>
      <c r="I923">
        <v>412.3</v>
      </c>
      <c r="J923">
        <v>7009.1</v>
      </c>
      <c r="K923" t="s">
        <v>45</v>
      </c>
      <c r="L923">
        <v>20190708</v>
      </c>
      <c r="M923" t="s">
        <v>73</v>
      </c>
    </row>
    <row r="924" spans="1:13">
      <c r="A924">
        <v>923</v>
      </c>
      <c r="B924" t="s">
        <v>33</v>
      </c>
      <c r="C924" t="s">
        <v>113</v>
      </c>
      <c r="D924" t="s">
        <v>113</v>
      </c>
      <c r="E924" t="s">
        <v>72</v>
      </c>
      <c r="F924" t="s">
        <v>114</v>
      </c>
      <c r="G924" s="27" t="s">
        <v>245</v>
      </c>
      <c r="H924">
        <v>17</v>
      </c>
      <c r="I924">
        <v>358.5</v>
      </c>
      <c r="J924">
        <v>6094.5</v>
      </c>
      <c r="K924" t="s">
        <v>45</v>
      </c>
      <c r="L924">
        <v>20190626</v>
      </c>
      <c r="M924" t="s">
        <v>73</v>
      </c>
    </row>
    <row r="925" spans="1:13">
      <c r="A925">
        <v>924</v>
      </c>
      <c r="B925" t="s">
        <v>34</v>
      </c>
      <c r="C925" t="s">
        <v>115</v>
      </c>
      <c r="D925" t="s">
        <v>115</v>
      </c>
      <c r="E925" t="s">
        <v>72</v>
      </c>
      <c r="F925" t="s">
        <v>116</v>
      </c>
      <c r="G925" s="27" t="s">
        <v>245</v>
      </c>
      <c r="H925">
        <v>20</v>
      </c>
      <c r="I925">
        <v>144.69999999999999</v>
      </c>
      <c r="J925">
        <v>2894</v>
      </c>
      <c r="K925" t="s">
        <v>45</v>
      </c>
      <c r="L925">
        <v>20190626</v>
      </c>
      <c r="M925" t="s">
        <v>73</v>
      </c>
    </row>
    <row r="926" spans="1:13">
      <c r="A926">
        <v>925</v>
      </c>
      <c r="B926" t="s">
        <v>230</v>
      </c>
      <c r="C926" t="s">
        <v>117</v>
      </c>
      <c r="D926" t="s">
        <v>117</v>
      </c>
      <c r="E926" t="s">
        <v>72</v>
      </c>
      <c r="F926" t="s">
        <v>118</v>
      </c>
      <c r="G926" s="27" t="s">
        <v>240</v>
      </c>
      <c r="H926">
        <v>55</v>
      </c>
      <c r="I926">
        <v>81.37</v>
      </c>
      <c r="J926">
        <v>4475.3500000000004</v>
      </c>
      <c r="K926" t="s">
        <v>45</v>
      </c>
      <c r="L926">
        <v>20190515</v>
      </c>
      <c r="M926" t="s">
        <v>73</v>
      </c>
    </row>
    <row r="927" spans="1:13">
      <c r="A927">
        <v>926</v>
      </c>
      <c r="B927" t="s">
        <v>230</v>
      </c>
      <c r="C927" t="s">
        <v>117</v>
      </c>
      <c r="D927" t="s">
        <v>117</v>
      </c>
      <c r="E927" t="s">
        <v>72</v>
      </c>
      <c r="F927" t="s">
        <v>118</v>
      </c>
      <c r="G927" s="27" t="s">
        <v>241</v>
      </c>
      <c r="H927">
        <v>125</v>
      </c>
      <c r="I927">
        <v>87.12</v>
      </c>
      <c r="J927">
        <v>10890</v>
      </c>
      <c r="K927" t="s">
        <v>45</v>
      </c>
      <c r="L927">
        <v>20190513</v>
      </c>
      <c r="M927" t="s">
        <v>73</v>
      </c>
    </row>
    <row r="928" spans="1:13">
      <c r="A928">
        <v>927</v>
      </c>
      <c r="B928" t="s">
        <v>19</v>
      </c>
      <c r="C928" t="s">
        <v>90</v>
      </c>
      <c r="D928" t="s">
        <v>90</v>
      </c>
      <c r="E928" t="s">
        <v>72</v>
      </c>
      <c r="F928" t="s">
        <v>91</v>
      </c>
      <c r="G928" s="27" t="s">
        <v>242</v>
      </c>
      <c r="H928">
        <v>8</v>
      </c>
      <c r="I928">
        <v>267.36</v>
      </c>
      <c r="J928">
        <v>2138.88</v>
      </c>
      <c r="K928" t="s">
        <v>45</v>
      </c>
      <c r="L928">
        <v>20190508</v>
      </c>
      <c r="M928" t="s">
        <v>73</v>
      </c>
    </row>
    <row r="929" spans="1:13">
      <c r="A929">
        <v>928</v>
      </c>
      <c r="B929" t="s">
        <v>18</v>
      </c>
      <c r="C929" t="s">
        <v>88</v>
      </c>
      <c r="D929" t="s">
        <v>88</v>
      </c>
      <c r="E929" t="s">
        <v>72</v>
      </c>
      <c r="F929" t="s">
        <v>89</v>
      </c>
      <c r="G929" s="27" t="s">
        <v>239</v>
      </c>
      <c r="H929">
        <v>6</v>
      </c>
      <c r="I929">
        <v>544</v>
      </c>
      <c r="J929">
        <v>3264</v>
      </c>
      <c r="K929" t="s">
        <v>45</v>
      </c>
      <c r="L929">
        <v>20190408</v>
      </c>
      <c r="M929" t="s">
        <v>73</v>
      </c>
    </row>
    <row r="930" spans="1:13">
      <c r="A930">
        <v>929</v>
      </c>
      <c r="B930" t="s">
        <v>12</v>
      </c>
      <c r="C930" t="s">
        <v>410</v>
      </c>
      <c r="D930" t="s">
        <v>410</v>
      </c>
      <c r="E930" t="s">
        <v>72</v>
      </c>
      <c r="F930" t="s">
        <v>82</v>
      </c>
      <c r="G930" s="27" t="s">
        <v>238</v>
      </c>
      <c r="H930">
        <v>9</v>
      </c>
      <c r="I930">
        <v>398.6</v>
      </c>
      <c r="J930">
        <v>3587.4</v>
      </c>
      <c r="K930" t="s">
        <v>45</v>
      </c>
      <c r="L930">
        <v>20190404</v>
      </c>
      <c r="M930" t="s">
        <v>73</v>
      </c>
    </row>
    <row r="931" spans="1:13">
      <c r="A931">
        <v>930</v>
      </c>
      <c r="B931" t="s">
        <v>34</v>
      </c>
      <c r="C931" t="s">
        <v>115</v>
      </c>
      <c r="D931" t="s">
        <v>115</v>
      </c>
      <c r="E931" t="s">
        <v>72</v>
      </c>
      <c r="F931" t="s">
        <v>116</v>
      </c>
      <c r="G931" s="27" t="s">
        <v>234</v>
      </c>
      <c r="H931">
        <v>22</v>
      </c>
      <c r="I931">
        <v>120.05</v>
      </c>
      <c r="J931">
        <v>2641.1</v>
      </c>
      <c r="K931" t="s">
        <v>45</v>
      </c>
      <c r="L931">
        <v>20190205</v>
      </c>
      <c r="M931" t="s">
        <v>73</v>
      </c>
    </row>
    <row r="932" spans="1:13">
      <c r="A932">
        <v>931</v>
      </c>
      <c r="B932" t="s">
        <v>27</v>
      </c>
      <c r="C932" t="s">
        <v>104</v>
      </c>
      <c r="D932" t="s">
        <v>104</v>
      </c>
      <c r="E932" t="s">
        <v>72</v>
      </c>
      <c r="F932" t="s">
        <v>105</v>
      </c>
      <c r="G932" s="27" t="s">
        <v>227</v>
      </c>
      <c r="H932">
        <v>60</v>
      </c>
      <c r="I932">
        <v>20.49</v>
      </c>
      <c r="J932">
        <v>1229.3999999999999</v>
      </c>
      <c r="K932" t="s">
        <v>45</v>
      </c>
      <c r="L932">
        <v>20190123</v>
      </c>
      <c r="M932" t="s">
        <v>73</v>
      </c>
    </row>
    <row r="933" spans="1:13">
      <c r="A933">
        <v>932</v>
      </c>
      <c r="B933" t="s">
        <v>12</v>
      </c>
      <c r="C933" t="s">
        <v>410</v>
      </c>
      <c r="D933" t="s">
        <v>410</v>
      </c>
      <c r="E933" t="s">
        <v>72</v>
      </c>
      <c r="F933" t="s">
        <v>82</v>
      </c>
      <c r="G933" s="27" t="s">
        <v>227</v>
      </c>
      <c r="H933">
        <v>5</v>
      </c>
      <c r="I933">
        <v>386.91</v>
      </c>
      <c r="J933">
        <v>1934.5500000000002</v>
      </c>
      <c r="K933" t="s">
        <v>45</v>
      </c>
      <c r="L933">
        <v>20190123</v>
      </c>
      <c r="M933" t="s">
        <v>73</v>
      </c>
    </row>
    <row r="934" spans="1:13">
      <c r="A934">
        <v>933</v>
      </c>
      <c r="B934" t="s">
        <v>19</v>
      </c>
      <c r="C934" t="s">
        <v>90</v>
      </c>
      <c r="D934" t="s">
        <v>90</v>
      </c>
      <c r="E934" t="s">
        <v>72</v>
      </c>
      <c r="F934" t="s">
        <v>91</v>
      </c>
      <c r="G934" s="27" t="s">
        <v>228</v>
      </c>
      <c r="H934">
        <v>5</v>
      </c>
      <c r="I934">
        <v>268.3</v>
      </c>
      <c r="J934">
        <v>1341.5</v>
      </c>
      <c r="K934" t="s">
        <v>45</v>
      </c>
      <c r="L934">
        <v>20190121</v>
      </c>
      <c r="M934" t="s">
        <v>73</v>
      </c>
    </row>
    <row r="935" spans="1:13">
      <c r="A935">
        <v>934</v>
      </c>
      <c r="B935" t="s">
        <v>19</v>
      </c>
      <c r="C935" t="s">
        <v>90</v>
      </c>
      <c r="D935" t="s">
        <v>90</v>
      </c>
      <c r="E935" t="s">
        <v>72</v>
      </c>
      <c r="F935" t="s">
        <v>91</v>
      </c>
      <c r="G935" s="27" t="s">
        <v>229</v>
      </c>
      <c r="H935">
        <v>10</v>
      </c>
      <c r="I935">
        <v>271.45</v>
      </c>
      <c r="J935">
        <v>2714.5</v>
      </c>
      <c r="K935" t="s">
        <v>45</v>
      </c>
      <c r="L935">
        <v>20190103</v>
      </c>
      <c r="M935" t="s">
        <v>73</v>
      </c>
    </row>
    <row r="936" spans="1:13">
      <c r="A936">
        <v>935</v>
      </c>
      <c r="B936" t="s">
        <v>218</v>
      </c>
      <c r="C936" t="s">
        <v>219</v>
      </c>
      <c r="D936" t="s">
        <v>219</v>
      </c>
      <c r="E936" t="s">
        <v>72</v>
      </c>
      <c r="F936" t="s">
        <v>220</v>
      </c>
      <c r="G936" s="27" t="s">
        <v>221</v>
      </c>
      <c r="H936">
        <v>9</v>
      </c>
      <c r="I936">
        <v>1020.99</v>
      </c>
      <c r="J936">
        <v>9188.91</v>
      </c>
      <c r="K936" t="s">
        <v>45</v>
      </c>
      <c r="L936">
        <v>20181231</v>
      </c>
      <c r="M936" t="s">
        <v>73</v>
      </c>
    </row>
    <row r="937" spans="1:13">
      <c r="A937">
        <v>936</v>
      </c>
      <c r="B937" t="s">
        <v>27</v>
      </c>
      <c r="C937" t="s">
        <v>104</v>
      </c>
      <c r="D937" t="s">
        <v>104</v>
      </c>
      <c r="E937" t="s">
        <v>72</v>
      </c>
      <c r="F937" t="s">
        <v>105</v>
      </c>
      <c r="G937" s="27" t="s">
        <v>222</v>
      </c>
      <c r="H937">
        <v>120</v>
      </c>
      <c r="I937">
        <v>21.83</v>
      </c>
      <c r="J937">
        <v>2619.6</v>
      </c>
      <c r="K937" t="s">
        <v>45</v>
      </c>
      <c r="L937">
        <v>20181226</v>
      </c>
      <c r="M937" t="s">
        <v>73</v>
      </c>
    </row>
    <row r="938" spans="1:13">
      <c r="A938">
        <v>937</v>
      </c>
      <c r="B938" t="s">
        <v>12</v>
      </c>
      <c r="C938" t="s">
        <v>410</v>
      </c>
      <c r="D938" t="s">
        <v>410</v>
      </c>
      <c r="E938" t="s">
        <v>72</v>
      </c>
      <c r="F938" t="s">
        <v>82</v>
      </c>
      <c r="G938" s="27" t="s">
        <v>217</v>
      </c>
      <c r="H938">
        <v>1</v>
      </c>
      <c r="I938">
        <v>388</v>
      </c>
      <c r="J938">
        <v>388</v>
      </c>
      <c r="K938" t="s">
        <v>45</v>
      </c>
      <c r="L938">
        <v>20181221</v>
      </c>
      <c r="M938" t="s">
        <v>73</v>
      </c>
    </row>
    <row r="939" spans="1:13">
      <c r="A939">
        <v>938</v>
      </c>
      <c r="B939" t="s">
        <v>12</v>
      </c>
      <c r="C939" t="s">
        <v>410</v>
      </c>
      <c r="D939" t="s">
        <v>410</v>
      </c>
      <c r="E939" t="s">
        <v>72</v>
      </c>
      <c r="F939" t="s">
        <v>82</v>
      </c>
      <c r="G939" s="27" t="s">
        <v>215</v>
      </c>
      <c r="H939">
        <v>30</v>
      </c>
      <c r="I939">
        <v>407.5</v>
      </c>
      <c r="J939">
        <v>12225</v>
      </c>
      <c r="K939" t="s">
        <v>45</v>
      </c>
      <c r="L939">
        <v>20181129</v>
      </c>
      <c r="M939" t="s">
        <v>73</v>
      </c>
    </row>
    <row r="940" spans="1:13">
      <c r="A940">
        <v>939</v>
      </c>
      <c r="B940" t="s">
        <v>27</v>
      </c>
      <c r="C940" t="s">
        <v>104</v>
      </c>
      <c r="D940" t="s">
        <v>104</v>
      </c>
      <c r="E940" t="s">
        <v>72</v>
      </c>
      <c r="F940" t="s">
        <v>105</v>
      </c>
      <c r="G940" s="27" t="s">
        <v>214</v>
      </c>
      <c r="H940">
        <v>70</v>
      </c>
      <c r="I940">
        <v>22.53</v>
      </c>
      <c r="J940">
        <v>1577.1000000000001</v>
      </c>
      <c r="K940" t="s">
        <v>45</v>
      </c>
      <c r="L940">
        <v>20181128</v>
      </c>
      <c r="M940" t="s">
        <v>73</v>
      </c>
    </row>
    <row r="941" spans="1:13">
      <c r="A941">
        <v>940</v>
      </c>
      <c r="B941" t="s">
        <v>19</v>
      </c>
      <c r="C941" t="s">
        <v>90</v>
      </c>
      <c r="D941" t="s">
        <v>90</v>
      </c>
      <c r="E941" t="s">
        <v>72</v>
      </c>
      <c r="F941" t="s">
        <v>91</v>
      </c>
      <c r="G941" s="27" t="s">
        <v>213</v>
      </c>
      <c r="H941">
        <v>20</v>
      </c>
      <c r="I941">
        <v>273.22000000000003</v>
      </c>
      <c r="J941">
        <v>5464.4000000000005</v>
      </c>
      <c r="K941" t="s">
        <v>45</v>
      </c>
      <c r="L941">
        <v>20181015</v>
      </c>
      <c r="M941" t="s">
        <v>73</v>
      </c>
    </row>
    <row r="942" spans="1:13">
      <c r="A942">
        <v>941</v>
      </c>
      <c r="B942" t="s">
        <v>27</v>
      </c>
      <c r="C942" t="s">
        <v>104</v>
      </c>
      <c r="D942" t="s">
        <v>104</v>
      </c>
      <c r="E942" t="s">
        <v>72</v>
      </c>
      <c r="F942" t="s">
        <v>105</v>
      </c>
      <c r="G942" s="27" t="s">
        <v>212</v>
      </c>
      <c r="H942">
        <v>150</v>
      </c>
      <c r="I942">
        <v>22.26</v>
      </c>
      <c r="J942">
        <v>3339.0000000000005</v>
      </c>
      <c r="K942" t="s">
        <v>45</v>
      </c>
      <c r="L942">
        <v>20181005</v>
      </c>
      <c r="M942" t="s">
        <v>73</v>
      </c>
    </row>
    <row r="943" spans="1:13">
      <c r="A943">
        <v>942</v>
      </c>
      <c r="B943" t="s">
        <v>230</v>
      </c>
      <c r="C943" t="s">
        <v>117</v>
      </c>
      <c r="D943" t="s">
        <v>117</v>
      </c>
      <c r="E943" t="s">
        <v>72</v>
      </c>
      <c r="F943" t="s">
        <v>118</v>
      </c>
      <c r="G943" s="27" t="s">
        <v>211</v>
      </c>
      <c r="H943">
        <v>23</v>
      </c>
      <c r="I943">
        <v>138.44999999999999</v>
      </c>
      <c r="J943">
        <v>3184.35</v>
      </c>
      <c r="K943" t="s">
        <v>45</v>
      </c>
      <c r="L943">
        <v>20180918</v>
      </c>
      <c r="M943" t="s">
        <v>73</v>
      </c>
    </row>
    <row r="944" spans="1:13">
      <c r="A944">
        <v>943</v>
      </c>
      <c r="B944" t="s">
        <v>19</v>
      </c>
      <c r="C944" t="s">
        <v>90</v>
      </c>
      <c r="D944" t="s">
        <v>90</v>
      </c>
      <c r="E944" t="s">
        <v>72</v>
      </c>
      <c r="F944" t="s">
        <v>91</v>
      </c>
      <c r="G944" s="27" t="s">
        <v>209</v>
      </c>
      <c r="H944">
        <v>5</v>
      </c>
      <c r="I944">
        <v>287.85000000000002</v>
      </c>
      <c r="J944">
        <v>1439.25</v>
      </c>
      <c r="K944" t="s">
        <v>45</v>
      </c>
      <c r="L944">
        <v>20180911</v>
      </c>
      <c r="M944" t="s">
        <v>73</v>
      </c>
    </row>
    <row r="945" spans="1:13">
      <c r="A945">
        <v>944</v>
      </c>
      <c r="B945" t="s">
        <v>19</v>
      </c>
      <c r="C945" t="s">
        <v>90</v>
      </c>
      <c r="D945" t="s">
        <v>90</v>
      </c>
      <c r="E945" t="s">
        <v>72</v>
      </c>
      <c r="F945" t="s">
        <v>91</v>
      </c>
      <c r="G945" s="27" t="s">
        <v>208</v>
      </c>
      <c r="H945">
        <v>10</v>
      </c>
      <c r="I945">
        <v>299.5</v>
      </c>
      <c r="J945">
        <v>2995</v>
      </c>
      <c r="K945" t="s">
        <v>45</v>
      </c>
      <c r="L945">
        <v>20180907</v>
      </c>
      <c r="M945" t="s">
        <v>73</v>
      </c>
    </row>
    <row r="946" spans="1:13">
      <c r="A946">
        <v>945</v>
      </c>
      <c r="B946" t="s">
        <v>26</v>
      </c>
      <c r="C946" t="s">
        <v>102</v>
      </c>
      <c r="D946" t="s">
        <v>102</v>
      </c>
      <c r="E946" t="s">
        <v>72</v>
      </c>
      <c r="F946" t="s">
        <v>103</v>
      </c>
      <c r="G946" s="27" t="s">
        <v>204</v>
      </c>
      <c r="H946">
        <v>19</v>
      </c>
      <c r="I946">
        <v>100.08</v>
      </c>
      <c r="J946">
        <v>1901.52</v>
      </c>
      <c r="K946" t="s">
        <v>45</v>
      </c>
      <c r="L946">
        <v>20180831</v>
      </c>
      <c r="M946" t="s">
        <v>73</v>
      </c>
    </row>
    <row r="947" spans="1:13">
      <c r="A947">
        <v>946</v>
      </c>
      <c r="B947" t="s">
        <v>27</v>
      </c>
      <c r="C947" t="s">
        <v>104</v>
      </c>
      <c r="D947" t="s">
        <v>104</v>
      </c>
      <c r="E947" t="s">
        <v>72</v>
      </c>
      <c r="F947" t="s">
        <v>105</v>
      </c>
      <c r="G947" s="27" t="s">
        <v>203</v>
      </c>
      <c r="H947">
        <v>150</v>
      </c>
      <c r="I947">
        <v>28.6</v>
      </c>
      <c r="J947">
        <v>4290</v>
      </c>
      <c r="K947" t="s">
        <v>45</v>
      </c>
      <c r="L947">
        <v>20180827</v>
      </c>
      <c r="M947" t="s">
        <v>73</v>
      </c>
    </row>
    <row r="948" spans="1:13">
      <c r="A948">
        <v>947</v>
      </c>
      <c r="B948" t="s">
        <v>230</v>
      </c>
      <c r="C948" t="s">
        <v>117</v>
      </c>
      <c r="D948" t="s">
        <v>117</v>
      </c>
      <c r="E948" t="s">
        <v>72</v>
      </c>
      <c r="F948" t="s">
        <v>118</v>
      </c>
      <c r="G948" s="27" t="s">
        <v>202</v>
      </c>
      <c r="H948">
        <v>20</v>
      </c>
      <c r="I948">
        <v>136.69999999999999</v>
      </c>
      <c r="J948">
        <v>2734</v>
      </c>
      <c r="K948" t="s">
        <v>45</v>
      </c>
      <c r="L948">
        <v>20180813</v>
      </c>
      <c r="M948" t="s">
        <v>73</v>
      </c>
    </row>
    <row r="949" spans="1:13">
      <c r="A949">
        <v>948</v>
      </c>
      <c r="B949" t="s">
        <v>230</v>
      </c>
      <c r="C949" t="s">
        <v>117</v>
      </c>
      <c r="D949" t="s">
        <v>117</v>
      </c>
      <c r="E949" t="s">
        <v>72</v>
      </c>
      <c r="F949" t="s">
        <v>118</v>
      </c>
      <c r="G949" s="27" t="s">
        <v>200</v>
      </c>
      <c r="H949">
        <v>7</v>
      </c>
      <c r="I949">
        <v>137.69999999999999</v>
      </c>
      <c r="J949">
        <v>963.89999999999986</v>
      </c>
      <c r="K949" t="s">
        <v>45</v>
      </c>
      <c r="L949">
        <v>20180718</v>
      </c>
      <c r="M949" t="s">
        <v>73</v>
      </c>
    </row>
    <row r="950" spans="1:13">
      <c r="A950">
        <v>949</v>
      </c>
      <c r="B950" t="s">
        <v>230</v>
      </c>
      <c r="C950" t="s">
        <v>117</v>
      </c>
      <c r="D950" t="s">
        <v>117</v>
      </c>
      <c r="E950" t="s">
        <v>72</v>
      </c>
      <c r="F950" t="s">
        <v>118</v>
      </c>
      <c r="G950" s="27" t="s">
        <v>199</v>
      </c>
      <c r="H950">
        <v>30</v>
      </c>
      <c r="I950">
        <v>152.75</v>
      </c>
      <c r="J950">
        <v>4582.5</v>
      </c>
      <c r="K950" t="s">
        <v>45</v>
      </c>
      <c r="L950">
        <v>20180712</v>
      </c>
      <c r="M950" t="s">
        <v>73</v>
      </c>
    </row>
    <row r="951" spans="1:13">
      <c r="A951">
        <v>950</v>
      </c>
      <c r="B951" t="s">
        <v>230</v>
      </c>
      <c r="C951" t="s">
        <v>117</v>
      </c>
      <c r="D951" t="s">
        <v>117</v>
      </c>
      <c r="E951" t="s">
        <v>72</v>
      </c>
      <c r="F951" t="s">
        <v>118</v>
      </c>
      <c r="G951" s="27" t="s">
        <v>197</v>
      </c>
      <c r="H951">
        <v>30</v>
      </c>
      <c r="I951">
        <v>166.2</v>
      </c>
      <c r="J951">
        <v>4986</v>
      </c>
      <c r="K951" t="s">
        <v>45</v>
      </c>
      <c r="L951">
        <v>20180626</v>
      </c>
      <c r="M951" t="s">
        <v>73</v>
      </c>
    </row>
    <row r="952" spans="1:13">
      <c r="A952">
        <v>951</v>
      </c>
      <c r="B952" t="s">
        <v>230</v>
      </c>
      <c r="C952" t="s">
        <v>117</v>
      </c>
      <c r="D952" t="s">
        <v>117</v>
      </c>
      <c r="E952" t="s">
        <v>72</v>
      </c>
      <c r="F952" t="s">
        <v>118</v>
      </c>
      <c r="G952" s="27" t="s">
        <v>198</v>
      </c>
      <c r="H952">
        <v>66</v>
      </c>
      <c r="I952">
        <v>174.45</v>
      </c>
      <c r="J952">
        <v>11513.699999999999</v>
      </c>
      <c r="K952" t="s">
        <v>45</v>
      </c>
      <c r="L952">
        <v>20180625</v>
      </c>
      <c r="M952" t="s">
        <v>73</v>
      </c>
    </row>
    <row r="953" spans="1:13">
      <c r="A953">
        <v>952</v>
      </c>
      <c r="B953" t="s">
        <v>19</v>
      </c>
      <c r="C953" t="s">
        <v>90</v>
      </c>
      <c r="D953" t="s">
        <v>90</v>
      </c>
      <c r="E953" t="s">
        <v>72</v>
      </c>
      <c r="F953" t="s">
        <v>91</v>
      </c>
      <c r="G953" s="27" t="s">
        <v>193</v>
      </c>
      <c r="H953">
        <v>1</v>
      </c>
      <c r="I953">
        <v>287.3</v>
      </c>
      <c r="J953">
        <v>287.3</v>
      </c>
      <c r="K953" t="s">
        <v>45</v>
      </c>
      <c r="L953">
        <v>20180622</v>
      </c>
      <c r="M953" t="s">
        <v>73</v>
      </c>
    </row>
    <row r="954" spans="1:13">
      <c r="A954">
        <v>953</v>
      </c>
      <c r="B954" t="s">
        <v>29</v>
      </c>
      <c r="C954" t="s">
        <v>107</v>
      </c>
      <c r="D954" t="s">
        <v>107</v>
      </c>
      <c r="E954" t="s">
        <v>72</v>
      </c>
      <c r="F954" t="s">
        <v>108</v>
      </c>
      <c r="G954" s="27" t="s">
        <v>192</v>
      </c>
      <c r="H954">
        <v>1</v>
      </c>
      <c r="I954">
        <v>1139.75</v>
      </c>
      <c r="J954">
        <v>1139.75</v>
      </c>
      <c r="K954" t="s">
        <v>45</v>
      </c>
      <c r="L954">
        <v>20180601</v>
      </c>
      <c r="M954" t="s">
        <v>73</v>
      </c>
    </row>
    <row r="955" spans="1:13">
      <c r="A955">
        <v>954</v>
      </c>
      <c r="B955" t="s">
        <v>12</v>
      </c>
      <c r="C955" t="s">
        <v>410</v>
      </c>
      <c r="D955" t="s">
        <v>410</v>
      </c>
      <c r="E955" t="s">
        <v>72</v>
      </c>
      <c r="F955" t="s">
        <v>82</v>
      </c>
      <c r="G955" s="27" t="s">
        <v>191</v>
      </c>
      <c r="H955">
        <v>6</v>
      </c>
      <c r="I955">
        <v>503.5</v>
      </c>
      <c r="J955">
        <v>3021</v>
      </c>
      <c r="K955" t="s">
        <v>45</v>
      </c>
      <c r="L955">
        <v>20180531</v>
      </c>
      <c r="M955" t="s">
        <v>73</v>
      </c>
    </row>
    <row r="956" spans="1:13">
      <c r="A956">
        <v>955</v>
      </c>
      <c r="B956" t="s">
        <v>9</v>
      </c>
      <c r="C956" t="s">
        <v>75</v>
      </c>
      <c r="D956" t="s">
        <v>75</v>
      </c>
      <c r="E956" t="s">
        <v>76</v>
      </c>
      <c r="F956" t="s">
        <v>77</v>
      </c>
      <c r="G956" s="27" t="s">
        <v>190</v>
      </c>
      <c r="H956">
        <v>16</v>
      </c>
      <c r="I956">
        <v>106.97</v>
      </c>
      <c r="J956">
        <v>1711.52</v>
      </c>
      <c r="K956" t="s">
        <v>45</v>
      </c>
      <c r="L956">
        <v>20180530</v>
      </c>
      <c r="M956" t="s">
        <v>73</v>
      </c>
    </row>
    <row r="957" spans="1:13">
      <c r="A957">
        <v>956</v>
      </c>
      <c r="B957" t="s">
        <v>9</v>
      </c>
      <c r="C957" t="s">
        <v>75</v>
      </c>
      <c r="D957" t="s">
        <v>75</v>
      </c>
      <c r="E957" t="s">
        <v>76</v>
      </c>
      <c r="F957" t="s">
        <v>77</v>
      </c>
      <c r="G957" s="27" t="s">
        <v>189</v>
      </c>
      <c r="H957">
        <v>28</v>
      </c>
      <c r="I957">
        <v>116.785</v>
      </c>
      <c r="J957">
        <v>3269.98</v>
      </c>
      <c r="K957" t="s">
        <v>45</v>
      </c>
      <c r="L957">
        <v>20180529</v>
      </c>
      <c r="M957" t="s">
        <v>73</v>
      </c>
    </row>
    <row r="958" spans="1:13">
      <c r="A958">
        <v>957</v>
      </c>
      <c r="B958" t="s">
        <v>12</v>
      </c>
      <c r="C958" t="s">
        <v>410</v>
      </c>
      <c r="D958" t="s">
        <v>410</v>
      </c>
      <c r="E958" t="s">
        <v>72</v>
      </c>
      <c r="F958" t="s">
        <v>82</v>
      </c>
      <c r="G958" s="27" t="s">
        <v>189</v>
      </c>
      <c r="H958">
        <v>7</v>
      </c>
      <c r="I958">
        <v>542.14</v>
      </c>
      <c r="J958">
        <v>3794.98</v>
      </c>
      <c r="K958" t="s">
        <v>45</v>
      </c>
      <c r="L958">
        <v>20180529</v>
      </c>
      <c r="M958" t="s">
        <v>73</v>
      </c>
    </row>
    <row r="959" spans="1:13">
      <c r="A959">
        <v>958</v>
      </c>
      <c r="B959" t="s">
        <v>9</v>
      </c>
      <c r="C959" t="s">
        <v>75</v>
      </c>
      <c r="D959" t="s">
        <v>75</v>
      </c>
      <c r="E959" t="s">
        <v>76</v>
      </c>
      <c r="F959" t="s">
        <v>77</v>
      </c>
      <c r="G959" s="27" t="s">
        <v>188</v>
      </c>
      <c r="H959">
        <v>12</v>
      </c>
      <c r="I959">
        <v>124.375</v>
      </c>
      <c r="J959">
        <v>1492.5</v>
      </c>
      <c r="K959" t="s">
        <v>45</v>
      </c>
      <c r="L959">
        <v>20180525</v>
      </c>
      <c r="M959" t="s">
        <v>73</v>
      </c>
    </row>
    <row r="960" spans="1:13">
      <c r="A960">
        <v>959</v>
      </c>
      <c r="B960" t="s">
        <v>23</v>
      </c>
      <c r="C960" t="s">
        <v>96</v>
      </c>
      <c r="D960" t="s">
        <v>96</v>
      </c>
      <c r="E960" t="s">
        <v>72</v>
      </c>
      <c r="F960" t="s">
        <v>97</v>
      </c>
      <c r="G960" s="27" t="s">
        <v>188</v>
      </c>
      <c r="H960">
        <v>15</v>
      </c>
      <c r="I960">
        <v>170.83</v>
      </c>
      <c r="J960">
        <v>2562.4500000000003</v>
      </c>
      <c r="K960" t="s">
        <v>45</v>
      </c>
      <c r="L960">
        <v>20180525</v>
      </c>
      <c r="M960" t="s">
        <v>73</v>
      </c>
    </row>
    <row r="961" spans="1:13">
      <c r="A961">
        <v>960</v>
      </c>
      <c r="B961" t="s">
        <v>23</v>
      </c>
      <c r="C961" t="s">
        <v>96</v>
      </c>
      <c r="D961" t="s">
        <v>96</v>
      </c>
      <c r="E961" t="s">
        <v>72</v>
      </c>
      <c r="F961" t="s">
        <v>97</v>
      </c>
      <c r="G961" s="27" t="s">
        <v>187</v>
      </c>
      <c r="H961">
        <v>20</v>
      </c>
      <c r="I961">
        <v>194.75</v>
      </c>
      <c r="J961">
        <v>3895</v>
      </c>
      <c r="K961" t="s">
        <v>45</v>
      </c>
      <c r="L961">
        <v>20180521</v>
      </c>
      <c r="M961" t="s">
        <v>73</v>
      </c>
    </row>
    <row r="962" spans="1:13">
      <c r="A962">
        <v>961</v>
      </c>
      <c r="B962" t="s">
        <v>230</v>
      </c>
      <c r="C962" t="s">
        <v>117</v>
      </c>
      <c r="D962" t="s">
        <v>117</v>
      </c>
      <c r="E962" t="s">
        <v>72</v>
      </c>
      <c r="F962" t="s">
        <v>118</v>
      </c>
      <c r="G962" s="27" t="s">
        <v>187</v>
      </c>
      <c r="H962">
        <v>22</v>
      </c>
      <c r="I962">
        <v>177.13</v>
      </c>
      <c r="J962">
        <v>3896.8599999999997</v>
      </c>
      <c r="K962" t="s">
        <v>45</v>
      </c>
      <c r="L962">
        <v>20180521</v>
      </c>
      <c r="M962" t="s">
        <v>73</v>
      </c>
    </row>
    <row r="963" spans="1:13">
      <c r="A963">
        <v>962</v>
      </c>
      <c r="B963" t="s">
        <v>9</v>
      </c>
      <c r="C963" t="s">
        <v>75</v>
      </c>
      <c r="D963" t="s">
        <v>75</v>
      </c>
      <c r="E963" t="s">
        <v>76</v>
      </c>
      <c r="F963" t="s">
        <v>77</v>
      </c>
      <c r="G963" s="27" t="s">
        <v>185</v>
      </c>
      <c r="H963">
        <v>24</v>
      </c>
      <c r="I963">
        <v>130.625</v>
      </c>
      <c r="J963">
        <v>3135</v>
      </c>
      <c r="K963" t="s">
        <v>45</v>
      </c>
      <c r="L963">
        <v>20180518</v>
      </c>
      <c r="M963" t="s">
        <v>73</v>
      </c>
    </row>
    <row r="964" spans="1:13">
      <c r="A964">
        <v>963</v>
      </c>
      <c r="B964" t="s">
        <v>230</v>
      </c>
      <c r="C964" t="s">
        <v>117</v>
      </c>
      <c r="D964" t="s">
        <v>117</v>
      </c>
      <c r="E964" t="s">
        <v>72</v>
      </c>
      <c r="F964" t="s">
        <v>118</v>
      </c>
      <c r="G964" s="27" t="s">
        <v>186</v>
      </c>
      <c r="H964">
        <v>22</v>
      </c>
      <c r="I964">
        <v>186.83</v>
      </c>
      <c r="J964">
        <v>4110.26</v>
      </c>
      <c r="K964" t="s">
        <v>45</v>
      </c>
      <c r="L964">
        <v>20180515</v>
      </c>
      <c r="M964" t="s">
        <v>73</v>
      </c>
    </row>
    <row r="965" spans="1:13">
      <c r="A965">
        <v>964</v>
      </c>
      <c r="B965" t="s">
        <v>19</v>
      </c>
      <c r="C965" t="s">
        <v>90</v>
      </c>
      <c r="D965" t="s">
        <v>90</v>
      </c>
      <c r="E965" t="s">
        <v>72</v>
      </c>
      <c r="F965" t="s">
        <v>91</v>
      </c>
      <c r="G965" s="27" t="s">
        <v>184</v>
      </c>
      <c r="H965">
        <v>10</v>
      </c>
      <c r="I965">
        <v>295.10000000000002</v>
      </c>
      <c r="J965">
        <v>2951</v>
      </c>
      <c r="K965" t="s">
        <v>45</v>
      </c>
      <c r="L965">
        <v>20180510</v>
      </c>
      <c r="M965" t="s">
        <v>73</v>
      </c>
    </row>
    <row r="966" spans="1:13">
      <c r="A966">
        <v>965</v>
      </c>
      <c r="B966" t="s">
        <v>9</v>
      </c>
      <c r="C966" t="s">
        <v>75</v>
      </c>
      <c r="D966" t="s">
        <v>75</v>
      </c>
      <c r="E966" t="s">
        <v>76</v>
      </c>
      <c r="F966" t="s">
        <v>77</v>
      </c>
      <c r="G966" s="27" t="s">
        <v>182</v>
      </c>
      <c r="H966">
        <v>16</v>
      </c>
      <c r="I966">
        <v>142.11250000000001</v>
      </c>
      <c r="J966">
        <v>2273.8000000000002</v>
      </c>
      <c r="K966" t="s">
        <v>45</v>
      </c>
      <c r="L966">
        <v>20180507</v>
      </c>
      <c r="M966" t="s">
        <v>73</v>
      </c>
    </row>
    <row r="967" spans="1:13">
      <c r="A967">
        <v>966</v>
      </c>
      <c r="B967" t="s">
        <v>19</v>
      </c>
      <c r="C967" t="s">
        <v>90</v>
      </c>
      <c r="D967" t="s">
        <v>90</v>
      </c>
      <c r="E967" t="s">
        <v>72</v>
      </c>
      <c r="F967" t="s">
        <v>91</v>
      </c>
      <c r="G967" s="27" t="s">
        <v>172</v>
      </c>
      <c r="H967">
        <v>10</v>
      </c>
      <c r="I967">
        <v>313.5</v>
      </c>
      <c r="J967">
        <v>3135</v>
      </c>
      <c r="K967" t="s">
        <v>45</v>
      </c>
      <c r="L967">
        <v>20180502</v>
      </c>
      <c r="M967" t="s">
        <v>73</v>
      </c>
    </row>
    <row r="968" spans="1:13">
      <c r="A968">
        <v>967</v>
      </c>
      <c r="B968" t="s">
        <v>29</v>
      </c>
      <c r="C968" t="s">
        <v>107</v>
      </c>
      <c r="D968" t="s">
        <v>107</v>
      </c>
      <c r="E968" t="s">
        <v>72</v>
      </c>
      <c r="F968" t="s">
        <v>108</v>
      </c>
      <c r="G968" s="27" t="s">
        <v>164</v>
      </c>
      <c r="H968">
        <v>2</v>
      </c>
      <c r="I968">
        <v>1040.99</v>
      </c>
      <c r="J968">
        <v>2081.98</v>
      </c>
      <c r="K968" t="s">
        <v>45</v>
      </c>
      <c r="L968">
        <v>20180416</v>
      </c>
      <c r="M968" t="s">
        <v>73</v>
      </c>
    </row>
    <row r="969" spans="1:13">
      <c r="A969">
        <v>968</v>
      </c>
      <c r="B969" t="s">
        <v>15</v>
      </c>
      <c r="C969" t="s">
        <v>15</v>
      </c>
      <c r="D969" t="s">
        <v>15</v>
      </c>
      <c r="E969" t="s">
        <v>72</v>
      </c>
      <c r="F969" t="s">
        <v>87</v>
      </c>
      <c r="G969" s="27" t="s">
        <v>146</v>
      </c>
      <c r="H969">
        <v>36</v>
      </c>
      <c r="I969">
        <v>383</v>
      </c>
      <c r="J969">
        <v>13788</v>
      </c>
      <c r="K969" t="s">
        <v>45</v>
      </c>
      <c r="L969">
        <v>20180326</v>
      </c>
      <c r="M969" t="s">
        <v>73</v>
      </c>
    </row>
    <row r="970" spans="1:13">
      <c r="A970">
        <v>969</v>
      </c>
      <c r="B970" t="s">
        <v>23</v>
      </c>
      <c r="C970" t="s">
        <v>96</v>
      </c>
      <c r="D970" t="s">
        <v>96</v>
      </c>
      <c r="E970" t="s">
        <v>72</v>
      </c>
      <c r="F970" t="s">
        <v>97</v>
      </c>
      <c r="G970" s="27" t="s">
        <v>146</v>
      </c>
      <c r="H970">
        <v>14</v>
      </c>
      <c r="I970">
        <v>227.8</v>
      </c>
      <c r="J970">
        <v>3189.2000000000003</v>
      </c>
      <c r="K970" t="s">
        <v>45</v>
      </c>
      <c r="L970">
        <v>20180326</v>
      </c>
      <c r="M970" t="s">
        <v>73</v>
      </c>
    </row>
    <row r="971" spans="1:13">
      <c r="A971">
        <v>970</v>
      </c>
      <c r="B971" t="s">
        <v>230</v>
      </c>
      <c r="C971" t="s">
        <v>117</v>
      </c>
      <c r="D971" t="s">
        <v>117</v>
      </c>
      <c r="E971" t="s">
        <v>72</v>
      </c>
      <c r="F971" t="s">
        <v>118</v>
      </c>
      <c r="G971" s="27" t="s">
        <v>146</v>
      </c>
      <c r="H971">
        <v>34</v>
      </c>
      <c r="I971">
        <v>186</v>
      </c>
      <c r="J971">
        <v>6324</v>
      </c>
      <c r="K971" t="s">
        <v>45</v>
      </c>
      <c r="L971">
        <v>20180326</v>
      </c>
      <c r="M971" t="s">
        <v>73</v>
      </c>
    </row>
    <row r="972" spans="1:13">
      <c r="A972">
        <v>971</v>
      </c>
      <c r="B972" t="s">
        <v>68</v>
      </c>
      <c r="C972" t="s">
        <v>98</v>
      </c>
      <c r="D972" t="s">
        <v>98</v>
      </c>
      <c r="E972" t="s">
        <v>72</v>
      </c>
      <c r="F972" t="s">
        <v>99</v>
      </c>
      <c r="G972" s="27" t="s">
        <v>150</v>
      </c>
      <c r="H972">
        <v>155</v>
      </c>
      <c r="I972">
        <v>298</v>
      </c>
      <c r="J972">
        <v>46190</v>
      </c>
      <c r="K972" t="s">
        <v>45</v>
      </c>
      <c r="L972">
        <v>20180323</v>
      </c>
      <c r="M972" t="s">
        <v>73</v>
      </c>
    </row>
    <row r="973" spans="1:13">
      <c r="A973">
        <v>972</v>
      </c>
      <c r="B973" t="s">
        <v>12</v>
      </c>
      <c r="C973" t="s">
        <v>410</v>
      </c>
      <c r="D973" t="s">
        <v>410</v>
      </c>
      <c r="E973" t="s">
        <v>72</v>
      </c>
      <c r="F973" t="s">
        <v>82</v>
      </c>
      <c r="G973" s="27" t="s">
        <v>145</v>
      </c>
      <c r="H973">
        <v>6</v>
      </c>
      <c r="I973">
        <v>601.85</v>
      </c>
      <c r="J973">
        <v>3611.1000000000004</v>
      </c>
      <c r="K973" t="s">
        <v>45</v>
      </c>
      <c r="L973">
        <v>20180222</v>
      </c>
      <c r="M973" t="s">
        <v>73</v>
      </c>
    </row>
    <row r="974" spans="1:13">
      <c r="A974">
        <v>973</v>
      </c>
      <c r="B974" t="s">
        <v>25</v>
      </c>
      <c r="C974" t="s">
        <v>100</v>
      </c>
      <c r="D974" t="s">
        <v>100</v>
      </c>
      <c r="E974" t="s">
        <v>72</v>
      </c>
      <c r="F974" t="s">
        <v>101</v>
      </c>
      <c r="G974" s="27" t="s">
        <v>145</v>
      </c>
      <c r="H974">
        <v>5</v>
      </c>
      <c r="I974">
        <v>508.75</v>
      </c>
      <c r="J974">
        <v>2543.75</v>
      </c>
      <c r="K974" t="s">
        <v>45</v>
      </c>
      <c r="L974">
        <v>20180222</v>
      </c>
      <c r="M974" t="s">
        <v>73</v>
      </c>
    </row>
    <row r="975" spans="1:13">
      <c r="A975">
        <v>974</v>
      </c>
      <c r="B975" t="s">
        <v>34</v>
      </c>
      <c r="C975" t="s">
        <v>115</v>
      </c>
      <c r="D975" t="s">
        <v>115</v>
      </c>
      <c r="E975" t="s">
        <v>72</v>
      </c>
      <c r="F975" t="s">
        <v>116</v>
      </c>
      <c r="G975" s="27" t="s">
        <v>153</v>
      </c>
      <c r="H975">
        <v>3</v>
      </c>
      <c r="I975">
        <v>159.4</v>
      </c>
      <c r="J975">
        <v>478.20000000000005</v>
      </c>
      <c r="K975" t="s">
        <v>45</v>
      </c>
      <c r="L975">
        <v>20180220</v>
      </c>
      <c r="M975" t="s">
        <v>73</v>
      </c>
    </row>
    <row r="976" spans="1:13">
      <c r="A976">
        <v>975</v>
      </c>
      <c r="B976" t="s">
        <v>23</v>
      </c>
      <c r="C976" t="s">
        <v>96</v>
      </c>
      <c r="D976" t="s">
        <v>96</v>
      </c>
      <c r="E976" t="s">
        <v>72</v>
      </c>
      <c r="F976" t="s">
        <v>97</v>
      </c>
      <c r="G976" s="27" t="s">
        <v>144</v>
      </c>
      <c r="H976">
        <v>3</v>
      </c>
      <c r="I976">
        <v>237.9</v>
      </c>
      <c r="J976">
        <v>713.7</v>
      </c>
      <c r="K976" t="s">
        <v>45</v>
      </c>
      <c r="L976">
        <v>20180219</v>
      </c>
      <c r="M976" t="s">
        <v>73</v>
      </c>
    </row>
    <row r="977" spans="1:13">
      <c r="A977">
        <v>976</v>
      </c>
      <c r="B977" t="s">
        <v>9</v>
      </c>
      <c r="C977" t="s">
        <v>75</v>
      </c>
      <c r="D977" t="s">
        <v>75</v>
      </c>
      <c r="E977" t="s">
        <v>76</v>
      </c>
      <c r="F977" t="s">
        <v>77</v>
      </c>
      <c r="G977" s="27" t="s">
        <v>147</v>
      </c>
      <c r="H977">
        <v>12</v>
      </c>
      <c r="I977">
        <v>141.52500000000001</v>
      </c>
      <c r="J977">
        <v>1698.3000000000002</v>
      </c>
      <c r="K977" t="s">
        <v>45</v>
      </c>
      <c r="L977">
        <v>20180215</v>
      </c>
      <c r="M977" t="s">
        <v>73</v>
      </c>
    </row>
    <row r="978" spans="1:13">
      <c r="A978">
        <v>977</v>
      </c>
      <c r="B978" t="s">
        <v>23</v>
      </c>
      <c r="C978" t="s">
        <v>96</v>
      </c>
      <c r="D978" t="s">
        <v>96</v>
      </c>
      <c r="E978" t="s">
        <v>72</v>
      </c>
      <c r="F978" t="s">
        <v>97</v>
      </c>
      <c r="G978" s="27" t="s">
        <v>140</v>
      </c>
      <c r="H978">
        <v>5</v>
      </c>
      <c r="I978">
        <v>262.5</v>
      </c>
      <c r="J978">
        <v>1312.5</v>
      </c>
      <c r="K978" t="s">
        <v>45</v>
      </c>
      <c r="L978">
        <v>20180212</v>
      </c>
      <c r="M978" t="s">
        <v>73</v>
      </c>
    </row>
    <row r="979" spans="1:13">
      <c r="A979">
        <v>978</v>
      </c>
      <c r="B979" t="s">
        <v>23</v>
      </c>
      <c r="C979" t="s">
        <v>96</v>
      </c>
      <c r="D979" t="s">
        <v>96</v>
      </c>
      <c r="E979" t="s">
        <v>72</v>
      </c>
      <c r="F979" t="s">
        <v>97</v>
      </c>
      <c r="G979" s="27" t="s">
        <v>140</v>
      </c>
      <c r="H979">
        <v>15</v>
      </c>
      <c r="I979">
        <v>292.45</v>
      </c>
      <c r="J979">
        <v>4386.75</v>
      </c>
      <c r="K979" t="s">
        <v>45</v>
      </c>
      <c r="L979">
        <v>20180212</v>
      </c>
      <c r="M979" t="s">
        <v>73</v>
      </c>
    </row>
    <row r="980" spans="1:13">
      <c r="A980">
        <v>979</v>
      </c>
      <c r="B980" t="s">
        <v>9</v>
      </c>
      <c r="C980" t="s">
        <v>75</v>
      </c>
      <c r="D980" t="s">
        <v>75</v>
      </c>
      <c r="E980" t="s">
        <v>76</v>
      </c>
      <c r="F980" t="s">
        <v>77</v>
      </c>
      <c r="G980" s="27" t="s">
        <v>137</v>
      </c>
      <c r="H980">
        <v>4</v>
      </c>
      <c r="I980">
        <v>120</v>
      </c>
      <c r="J980">
        <v>480</v>
      </c>
      <c r="K980" t="s">
        <v>45</v>
      </c>
      <c r="L980">
        <v>20180206</v>
      </c>
      <c r="M980" t="s">
        <v>73</v>
      </c>
    </row>
    <row r="981" spans="1:13">
      <c r="A981">
        <v>980</v>
      </c>
      <c r="B981" t="s">
        <v>23</v>
      </c>
      <c r="C981" t="s">
        <v>96</v>
      </c>
      <c r="D981" t="s">
        <v>96</v>
      </c>
      <c r="E981" t="s">
        <v>72</v>
      </c>
      <c r="F981" t="s">
        <v>97</v>
      </c>
      <c r="G981" s="27" t="s">
        <v>137</v>
      </c>
      <c r="H981">
        <v>6</v>
      </c>
      <c r="I981">
        <v>267</v>
      </c>
      <c r="J981">
        <v>1602</v>
      </c>
      <c r="K981" t="s">
        <v>45</v>
      </c>
      <c r="L981">
        <v>20180206</v>
      </c>
      <c r="M981" t="s">
        <v>73</v>
      </c>
    </row>
    <row r="982" spans="1:13">
      <c r="A982">
        <v>981</v>
      </c>
      <c r="B982" t="s">
        <v>34</v>
      </c>
      <c r="C982" t="s">
        <v>115</v>
      </c>
      <c r="D982" t="s">
        <v>115</v>
      </c>
      <c r="E982" t="s">
        <v>72</v>
      </c>
      <c r="F982" t="s">
        <v>116</v>
      </c>
      <c r="G982" s="27" t="s">
        <v>137</v>
      </c>
      <c r="H982">
        <v>6</v>
      </c>
      <c r="I982">
        <v>160.30000000000001</v>
      </c>
      <c r="J982">
        <v>961.80000000000007</v>
      </c>
      <c r="K982" t="s">
        <v>45</v>
      </c>
      <c r="L982">
        <v>20180206</v>
      </c>
      <c r="M982" t="s">
        <v>73</v>
      </c>
    </row>
    <row r="983" spans="1:13">
      <c r="A983">
        <v>982</v>
      </c>
      <c r="B983" t="s">
        <v>9</v>
      </c>
      <c r="C983" t="s">
        <v>75</v>
      </c>
      <c r="D983" t="s">
        <v>75</v>
      </c>
      <c r="E983" t="s">
        <v>76</v>
      </c>
      <c r="F983" t="s">
        <v>77</v>
      </c>
      <c r="G983" s="27" t="s">
        <v>138</v>
      </c>
      <c r="H983">
        <v>24</v>
      </c>
      <c r="I983">
        <v>121.28749999999999</v>
      </c>
      <c r="J983">
        <v>2910.8999999999996</v>
      </c>
      <c r="K983" t="s">
        <v>45</v>
      </c>
      <c r="L983">
        <v>20180205</v>
      </c>
      <c r="M983" t="s">
        <v>73</v>
      </c>
    </row>
    <row r="984" spans="1:13">
      <c r="A984">
        <v>983</v>
      </c>
      <c r="B984" t="s">
        <v>30</v>
      </c>
      <c r="C984" t="s">
        <v>109</v>
      </c>
      <c r="D984" t="s">
        <v>109</v>
      </c>
      <c r="E984" t="s">
        <v>72</v>
      </c>
      <c r="F984" t="s">
        <v>110</v>
      </c>
      <c r="G984" s="27" t="s">
        <v>136</v>
      </c>
      <c r="H984">
        <v>10</v>
      </c>
      <c r="I984">
        <v>40.5</v>
      </c>
      <c r="J984">
        <v>405</v>
      </c>
      <c r="K984" t="s">
        <v>45</v>
      </c>
      <c r="L984">
        <v>20180202</v>
      </c>
      <c r="M984" t="s">
        <v>73</v>
      </c>
    </row>
    <row r="985" spans="1:13">
      <c r="A985">
        <v>984</v>
      </c>
      <c r="B985" t="s">
        <v>39</v>
      </c>
      <c r="C985" t="s">
        <v>123</v>
      </c>
      <c r="D985" t="s">
        <v>123</v>
      </c>
      <c r="E985" t="s">
        <v>72</v>
      </c>
      <c r="F985" t="s">
        <v>124</v>
      </c>
      <c r="G985" s="27" t="s">
        <v>136</v>
      </c>
      <c r="H985">
        <v>28</v>
      </c>
      <c r="I985">
        <v>204.89</v>
      </c>
      <c r="J985">
        <v>5736.92</v>
      </c>
      <c r="K985" t="s">
        <v>45</v>
      </c>
      <c r="L985">
        <v>20180202</v>
      </c>
      <c r="M985" t="s">
        <v>73</v>
      </c>
    </row>
    <row r="986" spans="1:13">
      <c r="A986">
        <v>985</v>
      </c>
      <c r="B986" t="s">
        <v>12</v>
      </c>
      <c r="C986" t="s">
        <v>410</v>
      </c>
      <c r="D986" t="s">
        <v>410</v>
      </c>
      <c r="E986" t="s">
        <v>72</v>
      </c>
      <c r="F986" t="s">
        <v>82</v>
      </c>
      <c r="G986" s="27" t="s">
        <v>133</v>
      </c>
      <c r="H986">
        <v>3</v>
      </c>
      <c r="I986">
        <v>566.70000000000005</v>
      </c>
      <c r="J986">
        <v>1700.1000000000001</v>
      </c>
      <c r="K986" t="s">
        <v>45</v>
      </c>
      <c r="L986">
        <v>20180201</v>
      </c>
      <c r="M986" t="s">
        <v>73</v>
      </c>
    </row>
    <row r="987" spans="1:13">
      <c r="A987">
        <v>986</v>
      </c>
      <c r="B987" t="s">
        <v>20</v>
      </c>
      <c r="C987" t="s">
        <v>93</v>
      </c>
      <c r="D987" t="s">
        <v>94</v>
      </c>
      <c r="E987" t="s">
        <v>76</v>
      </c>
      <c r="F987" t="s">
        <v>95</v>
      </c>
      <c r="G987" s="27" t="s">
        <v>133</v>
      </c>
      <c r="H987">
        <v>7</v>
      </c>
      <c r="I987">
        <v>70.2</v>
      </c>
      <c r="J987">
        <v>491.40000000000003</v>
      </c>
      <c r="K987" t="s">
        <v>45</v>
      </c>
      <c r="L987">
        <v>20180201</v>
      </c>
      <c r="M987" t="s">
        <v>73</v>
      </c>
    </row>
    <row r="988" spans="1:13">
      <c r="A988">
        <v>987</v>
      </c>
      <c r="B988" t="s">
        <v>20</v>
      </c>
      <c r="C988" t="s">
        <v>93</v>
      </c>
      <c r="D988" t="s">
        <v>94</v>
      </c>
      <c r="E988" t="s">
        <v>76</v>
      </c>
      <c r="F988" t="s">
        <v>95</v>
      </c>
      <c r="G988" s="27" t="s">
        <v>149</v>
      </c>
      <c r="H988">
        <v>48</v>
      </c>
      <c r="I988">
        <v>73.8</v>
      </c>
      <c r="J988">
        <v>3542.3999999999996</v>
      </c>
      <c r="K988" t="s">
        <v>45</v>
      </c>
      <c r="L988">
        <v>20180131</v>
      </c>
      <c r="M988" t="s">
        <v>73</v>
      </c>
    </row>
    <row r="989" spans="1:13">
      <c r="A989">
        <v>988</v>
      </c>
      <c r="B989" t="s">
        <v>20</v>
      </c>
      <c r="C989" t="s">
        <v>93</v>
      </c>
      <c r="D989" t="s">
        <v>94</v>
      </c>
      <c r="E989" t="s">
        <v>76</v>
      </c>
      <c r="F989" t="s">
        <v>95</v>
      </c>
      <c r="G989" s="27" t="s">
        <v>149</v>
      </c>
      <c r="H989">
        <v>70</v>
      </c>
      <c r="I989">
        <v>73.849999999999994</v>
      </c>
      <c r="J989">
        <v>5169.5</v>
      </c>
      <c r="K989" t="s">
        <v>45</v>
      </c>
      <c r="L989">
        <v>20180131</v>
      </c>
      <c r="M989" t="s">
        <v>73</v>
      </c>
    </row>
    <row r="990" spans="1:13">
      <c r="A990">
        <v>989</v>
      </c>
      <c r="B990" t="s">
        <v>20</v>
      </c>
      <c r="C990" t="s">
        <v>93</v>
      </c>
      <c r="D990" t="s">
        <v>94</v>
      </c>
      <c r="E990" t="s">
        <v>76</v>
      </c>
      <c r="F990" t="s">
        <v>95</v>
      </c>
      <c r="G990" s="27" t="s">
        <v>149</v>
      </c>
      <c r="H990">
        <v>400</v>
      </c>
      <c r="I990">
        <v>75.25</v>
      </c>
      <c r="J990">
        <v>30100</v>
      </c>
      <c r="K990" t="s">
        <v>45</v>
      </c>
      <c r="L990">
        <v>20180131</v>
      </c>
      <c r="M990" t="s">
        <v>73</v>
      </c>
    </row>
    <row r="991" spans="1:13">
      <c r="A991">
        <v>990</v>
      </c>
      <c r="B991" t="s">
        <v>26</v>
      </c>
      <c r="C991" t="s">
        <v>102</v>
      </c>
      <c r="D991" t="s">
        <v>102</v>
      </c>
      <c r="E991" t="s">
        <v>72</v>
      </c>
      <c r="F991" t="s">
        <v>103</v>
      </c>
      <c r="G991" s="27" t="s">
        <v>149</v>
      </c>
      <c r="H991">
        <v>3</v>
      </c>
      <c r="I991">
        <v>114.5</v>
      </c>
      <c r="J991">
        <v>343.5</v>
      </c>
      <c r="K991" t="s">
        <v>45</v>
      </c>
      <c r="L991">
        <v>20180131</v>
      </c>
      <c r="M991" t="s">
        <v>73</v>
      </c>
    </row>
    <row r="992" spans="1:13">
      <c r="A992">
        <v>991</v>
      </c>
      <c r="B992" t="s">
        <v>34</v>
      </c>
      <c r="C992" t="s">
        <v>115</v>
      </c>
      <c r="D992" t="s">
        <v>115</v>
      </c>
      <c r="E992" t="s">
        <v>72</v>
      </c>
      <c r="F992" t="s">
        <v>116</v>
      </c>
      <c r="G992" s="27" t="s">
        <v>149</v>
      </c>
      <c r="H992">
        <v>11</v>
      </c>
      <c r="I992">
        <v>185</v>
      </c>
      <c r="J992">
        <v>2035</v>
      </c>
      <c r="K992" t="s">
        <v>45</v>
      </c>
      <c r="L992">
        <v>20180131</v>
      </c>
      <c r="M992" t="s">
        <v>73</v>
      </c>
    </row>
    <row r="993" spans="1:13">
      <c r="A993">
        <v>992</v>
      </c>
      <c r="B993" t="s">
        <v>39</v>
      </c>
      <c r="C993" t="s">
        <v>123</v>
      </c>
      <c r="D993" t="s">
        <v>123</v>
      </c>
      <c r="E993" t="s">
        <v>72</v>
      </c>
      <c r="F993" t="s">
        <v>124</v>
      </c>
      <c r="G993" s="27" t="s">
        <v>156</v>
      </c>
      <c r="H993">
        <v>22</v>
      </c>
      <c r="I993">
        <v>208.35</v>
      </c>
      <c r="J993">
        <v>4583.7</v>
      </c>
      <c r="K993" t="s">
        <v>45</v>
      </c>
      <c r="L993">
        <v>20180129</v>
      </c>
      <c r="M993" t="s">
        <v>73</v>
      </c>
    </row>
    <row r="994" spans="1:13">
      <c r="A994">
        <v>993</v>
      </c>
      <c r="B994" t="s">
        <v>29</v>
      </c>
      <c r="C994" t="s">
        <v>107</v>
      </c>
      <c r="D994" t="s">
        <v>107</v>
      </c>
      <c r="E994" t="s">
        <v>72</v>
      </c>
      <c r="F994" t="s">
        <v>108</v>
      </c>
      <c r="G994" s="27" t="s">
        <v>154</v>
      </c>
      <c r="H994">
        <v>3</v>
      </c>
      <c r="I994">
        <v>885.6</v>
      </c>
      <c r="J994">
        <v>2656.8</v>
      </c>
      <c r="K994" t="s">
        <v>45</v>
      </c>
      <c r="L994">
        <v>20180123</v>
      </c>
      <c r="M994" t="s">
        <v>73</v>
      </c>
    </row>
    <row r="995" spans="1:13">
      <c r="A995">
        <v>994</v>
      </c>
      <c r="B995" t="s">
        <v>9</v>
      </c>
      <c r="C995" t="s">
        <v>75</v>
      </c>
      <c r="D995" t="s">
        <v>75</v>
      </c>
      <c r="E995" t="s">
        <v>76</v>
      </c>
      <c r="F995" t="s">
        <v>77</v>
      </c>
      <c r="G995" s="27" t="s">
        <v>151</v>
      </c>
      <c r="H995">
        <v>16</v>
      </c>
      <c r="I995">
        <v>131.625</v>
      </c>
      <c r="J995">
        <v>2106</v>
      </c>
      <c r="K995" t="s">
        <v>45</v>
      </c>
      <c r="L995">
        <v>20180122</v>
      </c>
      <c r="M995" t="s">
        <v>73</v>
      </c>
    </row>
    <row r="996" spans="1:13">
      <c r="A996">
        <v>995</v>
      </c>
      <c r="B996" t="s">
        <v>9</v>
      </c>
      <c r="C996" t="s">
        <v>75</v>
      </c>
      <c r="D996" t="s">
        <v>75</v>
      </c>
      <c r="E996" t="s">
        <v>76</v>
      </c>
      <c r="F996" t="s">
        <v>77</v>
      </c>
      <c r="G996" s="27" t="s">
        <v>151</v>
      </c>
      <c r="H996">
        <v>80</v>
      </c>
      <c r="I996">
        <v>131.625</v>
      </c>
      <c r="J996">
        <v>10530</v>
      </c>
      <c r="K996" t="s">
        <v>45</v>
      </c>
      <c r="L996">
        <v>20180122</v>
      </c>
      <c r="M996" t="s">
        <v>73</v>
      </c>
    </row>
    <row r="997" spans="1:13">
      <c r="A997">
        <v>996</v>
      </c>
      <c r="B997" t="s">
        <v>12</v>
      </c>
      <c r="C997" t="s">
        <v>410</v>
      </c>
      <c r="D997" t="s">
        <v>410</v>
      </c>
      <c r="E997" t="s">
        <v>72</v>
      </c>
      <c r="F997" t="s">
        <v>82</v>
      </c>
      <c r="G997" s="27" t="s">
        <v>151</v>
      </c>
      <c r="H997">
        <v>2</v>
      </c>
      <c r="I997">
        <v>622.95000000000005</v>
      </c>
      <c r="J997">
        <v>1245.9000000000001</v>
      </c>
      <c r="K997" t="s">
        <v>45</v>
      </c>
      <c r="L997">
        <v>20180122</v>
      </c>
      <c r="M997" t="s">
        <v>73</v>
      </c>
    </row>
    <row r="998" spans="1:13">
      <c r="A998">
        <v>997</v>
      </c>
      <c r="B998" t="s">
        <v>15</v>
      </c>
      <c r="C998" t="s">
        <v>15</v>
      </c>
      <c r="D998" t="s">
        <v>15</v>
      </c>
      <c r="E998" t="s">
        <v>72</v>
      </c>
      <c r="F998" t="s">
        <v>87</v>
      </c>
      <c r="G998" s="27" t="s">
        <v>151</v>
      </c>
      <c r="H998">
        <v>4</v>
      </c>
      <c r="I998">
        <v>468.35</v>
      </c>
      <c r="J998">
        <v>1873.4</v>
      </c>
      <c r="K998" t="s">
        <v>45</v>
      </c>
      <c r="L998">
        <v>20180122</v>
      </c>
      <c r="M998" t="s">
        <v>73</v>
      </c>
    </row>
    <row r="999" spans="1:13">
      <c r="A999">
        <v>998</v>
      </c>
      <c r="B999" t="s">
        <v>34</v>
      </c>
      <c r="C999" t="s">
        <v>115</v>
      </c>
      <c r="D999" t="s">
        <v>115</v>
      </c>
      <c r="E999" t="s">
        <v>72</v>
      </c>
      <c r="F999" t="s">
        <v>116</v>
      </c>
      <c r="G999" s="27" t="s">
        <v>151</v>
      </c>
      <c r="H999">
        <v>10</v>
      </c>
      <c r="I999">
        <v>206</v>
      </c>
      <c r="J999">
        <v>2060</v>
      </c>
      <c r="K999" t="s">
        <v>45</v>
      </c>
      <c r="L999">
        <v>20180122</v>
      </c>
      <c r="M999" t="s">
        <v>73</v>
      </c>
    </row>
    <row r="1000" spans="1:13">
      <c r="A1000">
        <v>999</v>
      </c>
      <c r="B1000" t="s">
        <v>37</v>
      </c>
      <c r="C1000" t="s">
        <v>119</v>
      </c>
      <c r="D1000" t="s">
        <v>119</v>
      </c>
      <c r="E1000" t="s">
        <v>76</v>
      </c>
      <c r="F1000" t="s">
        <v>120</v>
      </c>
      <c r="G1000" s="27" t="s">
        <v>151</v>
      </c>
      <c r="H1000">
        <v>120</v>
      </c>
      <c r="I1000">
        <v>138</v>
      </c>
      <c r="J1000">
        <v>16560</v>
      </c>
      <c r="K1000" t="s">
        <v>45</v>
      </c>
      <c r="L1000">
        <v>20180122</v>
      </c>
      <c r="M1000" t="s">
        <v>73</v>
      </c>
    </row>
    <row r="1001" spans="1:13">
      <c r="A1001">
        <v>1000</v>
      </c>
      <c r="B1001" t="s">
        <v>33</v>
      </c>
      <c r="C1001" t="s">
        <v>113</v>
      </c>
      <c r="D1001" t="s">
        <v>113</v>
      </c>
      <c r="E1001" t="s">
        <v>72</v>
      </c>
      <c r="F1001" t="s">
        <v>114</v>
      </c>
      <c r="G1001" s="27" t="s">
        <v>142</v>
      </c>
      <c r="H1001">
        <v>3</v>
      </c>
      <c r="I1001">
        <v>313.5</v>
      </c>
      <c r="J1001">
        <v>940.5</v>
      </c>
      <c r="K1001" t="s">
        <v>45</v>
      </c>
      <c r="L1001">
        <v>20171208</v>
      </c>
      <c r="M1001" t="s">
        <v>73</v>
      </c>
    </row>
    <row r="1002" spans="1:13">
      <c r="A1002">
        <v>1001</v>
      </c>
      <c r="B1002" t="s">
        <v>19</v>
      </c>
      <c r="C1002" t="s">
        <v>90</v>
      </c>
      <c r="D1002" t="s">
        <v>90</v>
      </c>
      <c r="E1002" t="s">
        <v>72</v>
      </c>
      <c r="F1002" t="s">
        <v>91</v>
      </c>
      <c r="G1002" s="27" t="s">
        <v>139</v>
      </c>
      <c r="H1002">
        <v>4</v>
      </c>
      <c r="I1002">
        <v>286.85000000000002</v>
      </c>
      <c r="J1002">
        <v>1147.4000000000001</v>
      </c>
      <c r="K1002" t="s">
        <v>45</v>
      </c>
      <c r="L1002">
        <v>20171207</v>
      </c>
      <c r="M1002" t="s">
        <v>73</v>
      </c>
    </row>
    <row r="1003" spans="1:13">
      <c r="A1003">
        <v>1002</v>
      </c>
      <c r="B1003" t="s">
        <v>23</v>
      </c>
      <c r="C1003" t="s">
        <v>96</v>
      </c>
      <c r="D1003" t="s">
        <v>96</v>
      </c>
      <c r="E1003" t="s">
        <v>72</v>
      </c>
      <c r="F1003" t="s">
        <v>97</v>
      </c>
      <c r="G1003" s="27" t="s">
        <v>139</v>
      </c>
      <c r="H1003">
        <v>4</v>
      </c>
      <c r="I1003">
        <v>300</v>
      </c>
      <c r="J1003">
        <v>1200</v>
      </c>
      <c r="K1003" t="s">
        <v>45</v>
      </c>
      <c r="L1003">
        <v>20171207</v>
      </c>
      <c r="M1003" t="s">
        <v>73</v>
      </c>
    </row>
    <row r="1004" spans="1:13">
      <c r="A1004">
        <v>1003</v>
      </c>
      <c r="B1004" t="s">
        <v>25</v>
      </c>
      <c r="C1004" t="s">
        <v>100</v>
      </c>
      <c r="D1004" t="s">
        <v>100</v>
      </c>
      <c r="E1004" t="s">
        <v>72</v>
      </c>
      <c r="F1004" t="s">
        <v>101</v>
      </c>
      <c r="G1004" s="27" t="s">
        <v>139</v>
      </c>
      <c r="H1004">
        <v>3</v>
      </c>
      <c r="I1004">
        <v>552.85</v>
      </c>
      <c r="J1004">
        <v>1658.5500000000002</v>
      </c>
      <c r="K1004" t="s">
        <v>45</v>
      </c>
      <c r="L1004">
        <v>20171207</v>
      </c>
      <c r="M1004" t="s">
        <v>73</v>
      </c>
    </row>
    <row r="1005" spans="1:13">
      <c r="A1005">
        <v>1004</v>
      </c>
      <c r="B1005" t="s">
        <v>14</v>
      </c>
      <c r="C1005" t="s">
        <v>85</v>
      </c>
      <c r="D1005" t="s">
        <v>85</v>
      </c>
      <c r="E1005" t="s">
        <v>72</v>
      </c>
      <c r="F1005" t="s">
        <v>86</v>
      </c>
      <c r="G1005" s="27" t="s">
        <v>134</v>
      </c>
      <c r="H1005">
        <v>9</v>
      </c>
      <c r="I1005">
        <v>565.5</v>
      </c>
      <c r="J1005">
        <v>5089.5</v>
      </c>
      <c r="L1005">
        <v>20171201</v>
      </c>
      <c r="M1005" t="s">
        <v>73</v>
      </c>
    </row>
    <row r="1006" spans="1:13">
      <c r="A1006">
        <v>1005</v>
      </c>
      <c r="B1006" t="s">
        <v>12</v>
      </c>
      <c r="C1006" t="s">
        <v>410</v>
      </c>
      <c r="D1006" t="s">
        <v>410</v>
      </c>
      <c r="E1006" t="s">
        <v>72</v>
      </c>
      <c r="F1006" t="s">
        <v>82</v>
      </c>
      <c r="G1006" s="27" t="s">
        <v>55</v>
      </c>
      <c r="H1006">
        <v>3</v>
      </c>
      <c r="I1006">
        <v>628.1</v>
      </c>
      <c r="J1006">
        <v>1884.3000000000002</v>
      </c>
      <c r="K1006" t="s">
        <v>45</v>
      </c>
      <c r="L1006">
        <v>20171128</v>
      </c>
      <c r="M1006" t="s">
        <v>73</v>
      </c>
    </row>
    <row r="1007" spans="1:13">
      <c r="A1007">
        <v>1006</v>
      </c>
      <c r="B1007" t="s">
        <v>23</v>
      </c>
      <c r="C1007" t="s">
        <v>96</v>
      </c>
      <c r="D1007" t="s">
        <v>96</v>
      </c>
      <c r="E1007" t="s">
        <v>72</v>
      </c>
      <c r="F1007" t="s">
        <v>97</v>
      </c>
      <c r="G1007" s="27" t="s">
        <v>55</v>
      </c>
      <c r="H1007">
        <v>8</v>
      </c>
      <c r="I1007">
        <v>310</v>
      </c>
      <c r="J1007">
        <v>2480</v>
      </c>
      <c r="K1007" t="s">
        <v>45</v>
      </c>
      <c r="L1007">
        <v>20171128</v>
      </c>
      <c r="M1007" t="s">
        <v>73</v>
      </c>
    </row>
    <row r="1008" spans="1:13">
      <c r="A1008">
        <v>1007</v>
      </c>
      <c r="B1008" t="s">
        <v>30</v>
      </c>
      <c r="C1008" t="s">
        <v>109</v>
      </c>
      <c r="D1008" t="s">
        <v>109</v>
      </c>
      <c r="E1008" t="s">
        <v>72</v>
      </c>
      <c r="F1008" t="s">
        <v>110</v>
      </c>
      <c r="G1008" s="27" t="s">
        <v>143</v>
      </c>
      <c r="H1008">
        <v>60</v>
      </c>
      <c r="I1008">
        <v>47.45</v>
      </c>
      <c r="J1008">
        <v>2847</v>
      </c>
      <c r="K1008" t="s">
        <v>45</v>
      </c>
      <c r="L1008">
        <v>20171109</v>
      </c>
      <c r="M1008" t="s">
        <v>73</v>
      </c>
    </row>
    <row r="1009" spans="1:13">
      <c r="A1009">
        <v>1008</v>
      </c>
      <c r="B1009" t="s">
        <v>12</v>
      </c>
      <c r="C1009" t="s">
        <v>410</v>
      </c>
      <c r="D1009" t="s">
        <v>410</v>
      </c>
      <c r="E1009" t="s">
        <v>72</v>
      </c>
      <c r="F1009" t="s">
        <v>82</v>
      </c>
      <c r="G1009" s="27" t="s">
        <v>141</v>
      </c>
      <c r="H1009">
        <v>1</v>
      </c>
      <c r="I1009">
        <v>675</v>
      </c>
      <c r="J1009">
        <v>675</v>
      </c>
      <c r="K1009" t="s">
        <v>45</v>
      </c>
      <c r="L1009">
        <v>20171101</v>
      </c>
      <c r="M1009" t="s">
        <v>73</v>
      </c>
    </row>
    <row r="1010" spans="1:13">
      <c r="A1010">
        <v>1009</v>
      </c>
      <c r="B1010" t="s">
        <v>12</v>
      </c>
      <c r="C1010" t="s">
        <v>410</v>
      </c>
      <c r="D1010" t="s">
        <v>410</v>
      </c>
      <c r="E1010" t="s">
        <v>72</v>
      </c>
      <c r="F1010" t="s">
        <v>82</v>
      </c>
      <c r="G1010" s="27" t="s">
        <v>141</v>
      </c>
      <c r="H1010">
        <v>7</v>
      </c>
      <c r="I1010">
        <v>668</v>
      </c>
      <c r="J1010">
        <v>4676</v>
      </c>
      <c r="K1010" t="s">
        <v>45</v>
      </c>
      <c r="L1010">
        <v>20171101</v>
      </c>
      <c r="M1010" t="s">
        <v>73</v>
      </c>
    </row>
    <row r="1011" spans="1:13">
      <c r="A1011">
        <v>1010</v>
      </c>
      <c r="B1011" t="s">
        <v>25</v>
      </c>
      <c r="C1011" t="s">
        <v>100</v>
      </c>
      <c r="D1011" t="s">
        <v>100</v>
      </c>
      <c r="E1011" t="s">
        <v>72</v>
      </c>
      <c r="F1011" t="s">
        <v>101</v>
      </c>
      <c r="G1011" s="27" t="s">
        <v>141</v>
      </c>
      <c r="H1011">
        <v>4</v>
      </c>
      <c r="I1011">
        <v>599.95000000000005</v>
      </c>
      <c r="J1011">
        <v>2399.8000000000002</v>
      </c>
      <c r="K1011" t="s">
        <v>45</v>
      </c>
      <c r="L1011">
        <v>20171101</v>
      </c>
      <c r="M1011" t="s">
        <v>73</v>
      </c>
    </row>
    <row r="1012" spans="1:13">
      <c r="A1012">
        <v>1011</v>
      </c>
      <c r="B1012" t="s">
        <v>29</v>
      </c>
      <c r="C1012" t="s">
        <v>107</v>
      </c>
      <c r="D1012" t="s">
        <v>107</v>
      </c>
      <c r="E1012" t="s">
        <v>72</v>
      </c>
      <c r="F1012" t="s">
        <v>108</v>
      </c>
      <c r="G1012" s="27" t="s">
        <v>56</v>
      </c>
      <c r="H1012">
        <v>2</v>
      </c>
      <c r="I1012">
        <v>780.35</v>
      </c>
      <c r="J1012">
        <v>1560.7</v>
      </c>
      <c r="K1012" t="s">
        <v>45</v>
      </c>
      <c r="L1012">
        <v>20171031</v>
      </c>
      <c r="M1012" t="s">
        <v>73</v>
      </c>
    </row>
    <row r="1013" spans="1:13">
      <c r="A1013">
        <v>1012</v>
      </c>
      <c r="B1013" t="s">
        <v>25</v>
      </c>
      <c r="C1013" t="s">
        <v>100</v>
      </c>
      <c r="D1013" t="s">
        <v>100</v>
      </c>
      <c r="E1013" t="s">
        <v>72</v>
      </c>
      <c r="F1013" t="s">
        <v>101</v>
      </c>
      <c r="G1013" s="27" t="s">
        <v>54</v>
      </c>
      <c r="H1013">
        <v>3</v>
      </c>
      <c r="I1013">
        <v>614.54999999999995</v>
      </c>
      <c r="J1013">
        <v>1843.6499999999999</v>
      </c>
      <c r="K1013" t="s">
        <v>45</v>
      </c>
      <c r="L1013">
        <v>20171027</v>
      </c>
      <c r="M1013" t="s">
        <v>73</v>
      </c>
    </row>
    <row r="1014" spans="1:13">
      <c r="A1014">
        <v>1013</v>
      </c>
      <c r="B1014" t="s">
        <v>12</v>
      </c>
      <c r="C1014" t="s">
        <v>410</v>
      </c>
      <c r="D1014" t="s">
        <v>410</v>
      </c>
      <c r="E1014" t="s">
        <v>72</v>
      </c>
      <c r="F1014" t="s">
        <v>82</v>
      </c>
      <c r="G1014" s="27" t="s">
        <v>135</v>
      </c>
      <c r="H1014">
        <v>5</v>
      </c>
      <c r="I1014">
        <v>701.4</v>
      </c>
      <c r="J1014">
        <v>3507</v>
      </c>
      <c r="K1014" t="s">
        <v>45</v>
      </c>
      <c r="L1014">
        <v>20171003</v>
      </c>
      <c r="M1014" t="s">
        <v>73</v>
      </c>
    </row>
    <row r="1015" spans="1:13">
      <c r="A1015">
        <v>1014</v>
      </c>
      <c r="B1015" t="s">
        <v>12</v>
      </c>
      <c r="C1015" t="s">
        <v>410</v>
      </c>
      <c r="D1015" t="s">
        <v>410</v>
      </c>
      <c r="E1015" t="s">
        <v>72</v>
      </c>
      <c r="F1015" t="s">
        <v>82</v>
      </c>
      <c r="G1015" s="27" t="s">
        <v>152</v>
      </c>
      <c r="H1015">
        <v>5</v>
      </c>
      <c r="I1015">
        <v>645</v>
      </c>
      <c r="J1015">
        <v>3225</v>
      </c>
      <c r="K1015" t="s">
        <v>45</v>
      </c>
      <c r="L1015">
        <v>20170925</v>
      </c>
      <c r="M1015" t="s">
        <v>73</v>
      </c>
    </row>
    <row r="1016" spans="1:13">
      <c r="A1016">
        <v>1015</v>
      </c>
      <c r="B1016" t="s">
        <v>30</v>
      </c>
      <c r="C1016" t="s">
        <v>109</v>
      </c>
      <c r="D1016" t="s">
        <v>109</v>
      </c>
      <c r="E1016" t="s">
        <v>72</v>
      </c>
      <c r="F1016" t="s">
        <v>110</v>
      </c>
      <c r="G1016" s="27" t="s">
        <v>152</v>
      </c>
      <c r="H1016">
        <v>10</v>
      </c>
      <c r="I1016">
        <v>47.6</v>
      </c>
      <c r="J1016">
        <v>476</v>
      </c>
      <c r="K1016" t="s">
        <v>45</v>
      </c>
      <c r="L1016">
        <v>20170925</v>
      </c>
      <c r="M1016" t="s">
        <v>73</v>
      </c>
    </row>
    <row r="1017" spans="1:13">
      <c r="A1017">
        <v>1016</v>
      </c>
      <c r="B1017" t="s">
        <v>25</v>
      </c>
      <c r="C1017" t="s">
        <v>100</v>
      </c>
      <c r="D1017" t="s">
        <v>100</v>
      </c>
      <c r="E1017" t="s">
        <v>72</v>
      </c>
      <c r="F1017" t="s">
        <v>101</v>
      </c>
      <c r="G1017" s="27" t="s">
        <v>157</v>
      </c>
      <c r="H1017">
        <v>3</v>
      </c>
      <c r="I1017">
        <v>693.5</v>
      </c>
      <c r="J1017">
        <v>2080.5</v>
      </c>
      <c r="K1017" t="s">
        <v>45</v>
      </c>
      <c r="L1017">
        <v>20170731</v>
      </c>
      <c r="M1017" t="s">
        <v>73</v>
      </c>
    </row>
    <row r="1018" spans="1:13">
      <c r="A1018">
        <v>1017</v>
      </c>
      <c r="B1018" t="s">
        <v>25</v>
      </c>
      <c r="C1018" t="s">
        <v>100</v>
      </c>
      <c r="D1018" t="s">
        <v>100</v>
      </c>
      <c r="E1018" t="s">
        <v>72</v>
      </c>
      <c r="F1018" t="s">
        <v>101</v>
      </c>
      <c r="G1018" s="27" t="s">
        <v>155</v>
      </c>
      <c r="H1018">
        <v>2</v>
      </c>
      <c r="I1018">
        <v>740</v>
      </c>
      <c r="J1018">
        <v>1480</v>
      </c>
      <c r="K1018" t="s">
        <v>45</v>
      </c>
      <c r="L1018">
        <v>20170724</v>
      </c>
      <c r="M1018" t="s">
        <v>73</v>
      </c>
    </row>
    <row r="1019" spans="1:13">
      <c r="A1019">
        <v>1018</v>
      </c>
      <c r="B1019" t="s">
        <v>12</v>
      </c>
      <c r="C1019" t="s">
        <v>410</v>
      </c>
      <c r="D1019" t="s">
        <v>410</v>
      </c>
      <c r="E1019" t="s">
        <v>72</v>
      </c>
      <c r="F1019" t="s">
        <v>82</v>
      </c>
      <c r="G1019" s="27" t="s">
        <v>148</v>
      </c>
      <c r="H1019">
        <v>15</v>
      </c>
      <c r="I1019">
        <v>469.18</v>
      </c>
      <c r="J1019">
        <v>7037.7</v>
      </c>
      <c r="K1019" t="s">
        <v>45</v>
      </c>
      <c r="L1019">
        <v>20170630</v>
      </c>
      <c r="M1019" t="s">
        <v>73</v>
      </c>
    </row>
    <row r="1020" spans="1:13">
      <c r="A1020">
        <v>1019</v>
      </c>
      <c r="B1020" t="s">
        <v>15</v>
      </c>
      <c r="C1020" t="s">
        <v>15</v>
      </c>
      <c r="D1020" t="s">
        <v>15</v>
      </c>
      <c r="E1020" t="s">
        <v>72</v>
      </c>
      <c r="F1020" t="s">
        <v>87</v>
      </c>
      <c r="G1020" s="27" t="s">
        <v>148</v>
      </c>
      <c r="H1020">
        <v>13</v>
      </c>
      <c r="I1020">
        <v>256.11</v>
      </c>
      <c r="J1020">
        <v>3329.4300000000003</v>
      </c>
      <c r="K1020" t="s">
        <v>45</v>
      </c>
      <c r="L1020">
        <v>20170630</v>
      </c>
      <c r="M1020" t="s">
        <v>73</v>
      </c>
    </row>
    <row r="1021" spans="1:13">
      <c r="A1021">
        <v>1020</v>
      </c>
      <c r="B1021" t="s">
        <v>18</v>
      </c>
      <c r="C1021" t="s">
        <v>88</v>
      </c>
      <c r="D1021" t="s">
        <v>88</v>
      </c>
      <c r="E1021" t="s">
        <v>72</v>
      </c>
      <c r="F1021" t="s">
        <v>89</v>
      </c>
      <c r="G1021" s="27" t="s">
        <v>148</v>
      </c>
      <c r="H1021">
        <v>12</v>
      </c>
      <c r="I1021">
        <v>406</v>
      </c>
      <c r="J1021">
        <v>4872</v>
      </c>
      <c r="K1021" t="s">
        <v>45</v>
      </c>
      <c r="L1021">
        <v>20170630</v>
      </c>
      <c r="M1021" t="s">
        <v>73</v>
      </c>
    </row>
    <row r="1022" spans="1:13">
      <c r="A1022">
        <v>1021</v>
      </c>
      <c r="B1022" t="s">
        <v>19</v>
      </c>
      <c r="C1022" t="s">
        <v>90</v>
      </c>
      <c r="D1022" t="s">
        <v>90</v>
      </c>
      <c r="E1022" t="s">
        <v>72</v>
      </c>
      <c r="F1022" t="s">
        <v>91</v>
      </c>
      <c r="G1022" s="27" t="s">
        <v>148</v>
      </c>
      <c r="H1022">
        <v>60</v>
      </c>
      <c r="I1022">
        <v>269.5</v>
      </c>
      <c r="J1022">
        <v>16170</v>
      </c>
      <c r="K1022" t="s">
        <v>45</v>
      </c>
      <c r="L1022">
        <v>20170630</v>
      </c>
      <c r="M1022" t="s">
        <v>73</v>
      </c>
    </row>
    <row r="1023" spans="1:13">
      <c r="A1023">
        <v>1022</v>
      </c>
      <c r="B1023" t="s">
        <v>25</v>
      </c>
      <c r="C1023" t="s">
        <v>100</v>
      </c>
      <c r="D1023" t="s">
        <v>100</v>
      </c>
      <c r="E1023" t="s">
        <v>72</v>
      </c>
      <c r="F1023" t="s">
        <v>101</v>
      </c>
      <c r="G1023" s="27" t="s">
        <v>148</v>
      </c>
      <c r="H1023">
        <v>2</v>
      </c>
      <c r="I1023">
        <v>571.4</v>
      </c>
      <c r="J1023">
        <v>1142.8</v>
      </c>
      <c r="K1023" t="s">
        <v>45</v>
      </c>
      <c r="L1023">
        <v>20170630</v>
      </c>
      <c r="M1023" t="s">
        <v>73</v>
      </c>
    </row>
    <row r="1024" spans="1:13">
      <c r="A1024">
        <v>1023</v>
      </c>
      <c r="B1024" t="s">
        <v>26</v>
      </c>
      <c r="C1024" t="s">
        <v>102</v>
      </c>
      <c r="D1024" t="s">
        <v>102</v>
      </c>
      <c r="E1024" t="s">
        <v>72</v>
      </c>
      <c r="F1024" t="s">
        <v>103</v>
      </c>
      <c r="G1024" s="27" t="s">
        <v>148</v>
      </c>
      <c r="H1024">
        <v>20</v>
      </c>
      <c r="I1024">
        <v>87.02</v>
      </c>
      <c r="J1024">
        <v>1740.3999999999999</v>
      </c>
      <c r="K1024" t="s">
        <v>45</v>
      </c>
      <c r="L1024">
        <v>20170630</v>
      </c>
      <c r="M1024" t="s">
        <v>73</v>
      </c>
    </row>
    <row r="1025" spans="1:13">
      <c r="A1025">
        <v>1024</v>
      </c>
      <c r="B1025" t="s">
        <v>30</v>
      </c>
      <c r="C1025" t="s">
        <v>109</v>
      </c>
      <c r="D1025" t="s">
        <v>109</v>
      </c>
      <c r="E1025" t="s">
        <v>72</v>
      </c>
      <c r="F1025" t="s">
        <v>110</v>
      </c>
      <c r="G1025" s="27" t="s">
        <v>148</v>
      </c>
      <c r="H1025">
        <v>300</v>
      </c>
      <c r="I1025">
        <v>46.6</v>
      </c>
      <c r="J1025">
        <v>13980</v>
      </c>
      <c r="K1025" t="s">
        <v>45</v>
      </c>
      <c r="L1025">
        <v>20170630</v>
      </c>
      <c r="M1025" t="s">
        <v>73</v>
      </c>
    </row>
    <row r="1026" spans="1:13">
      <c r="A1026">
        <v>1025</v>
      </c>
      <c r="B1026" t="s">
        <v>29</v>
      </c>
      <c r="C1026" t="s">
        <v>107</v>
      </c>
      <c r="D1026" t="s">
        <v>107</v>
      </c>
      <c r="E1026" t="s">
        <v>72</v>
      </c>
      <c r="F1026" t="s">
        <v>108</v>
      </c>
      <c r="G1026" s="27" t="s">
        <v>148</v>
      </c>
      <c r="H1026">
        <v>3</v>
      </c>
      <c r="I1026">
        <v>634.46</v>
      </c>
      <c r="J1026">
        <v>1903.38</v>
      </c>
      <c r="K1026" t="s">
        <v>45</v>
      </c>
      <c r="L1026">
        <v>20170630</v>
      </c>
      <c r="M1026" t="s">
        <v>73</v>
      </c>
    </row>
    <row r="1027" spans="1:13">
      <c r="A1027">
        <v>1026</v>
      </c>
      <c r="B1027" t="s">
        <v>34</v>
      </c>
      <c r="C1027" t="s">
        <v>115</v>
      </c>
      <c r="D1027" t="s">
        <v>115</v>
      </c>
      <c r="E1027" t="s">
        <v>72</v>
      </c>
      <c r="F1027" t="s">
        <v>116</v>
      </c>
      <c r="G1027" s="27" t="s">
        <v>148</v>
      </c>
      <c r="H1027">
        <v>14</v>
      </c>
      <c r="I1027">
        <v>146.44</v>
      </c>
      <c r="J1027">
        <v>2050.16</v>
      </c>
      <c r="K1027" t="s">
        <v>45</v>
      </c>
      <c r="L1027">
        <v>20170630</v>
      </c>
      <c r="M1027" t="s">
        <v>73</v>
      </c>
    </row>
  </sheetData>
  <autoFilter ref="A1:M1010" xr:uid="{9DC180D5-7375-4654-8D13-4F883598B2B5}"/>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94"/>
  <sheetViews>
    <sheetView showGridLines="0" workbookViewId="0">
      <selection activeCell="F9" sqref="F9"/>
    </sheetView>
  </sheetViews>
  <sheetFormatPr defaultRowHeight="14.5"/>
  <cols>
    <col min="1" max="1" width="15.1796875" bestFit="1" customWidth="1"/>
    <col min="2" max="2" width="60.81640625" bestFit="1" customWidth="1"/>
    <col min="3" max="3" width="10.7265625" bestFit="1" customWidth="1"/>
  </cols>
  <sheetData>
    <row r="1" spans="1:5">
      <c r="A1" s="9" t="s">
        <v>514</v>
      </c>
      <c r="B1" s="9" t="s">
        <v>1149</v>
      </c>
      <c r="C1" s="9" t="s">
        <v>1150</v>
      </c>
      <c r="E1" t="s">
        <v>515</v>
      </c>
    </row>
    <row r="2" spans="1:5">
      <c r="A2" s="9" t="s">
        <v>530</v>
      </c>
      <c r="B2" s="9" t="e" vm="1">
        <v>#VALUE!</v>
      </c>
      <c r="C2" s="460" cm="1">
        <f t="array" ref="C2">_FV(B2,"Price")</f>
        <v>446.8</v>
      </c>
      <c r="E2" t="s">
        <v>45</v>
      </c>
    </row>
    <row r="3" spans="1:5">
      <c r="A3" s="9" t="s">
        <v>712</v>
      </c>
      <c r="B3" s="9" t="e" vm="2">
        <v>#VALUE!</v>
      </c>
      <c r="C3" s="460" cm="1">
        <f t="array" ref="C3">_FV(B3,"Price")</f>
        <v>1025.6500000000001</v>
      </c>
      <c r="E3" t="s">
        <v>45</v>
      </c>
    </row>
    <row r="4" spans="1:5">
      <c r="A4" s="9" t="s">
        <v>533</v>
      </c>
      <c r="B4" s="9" t="e" vm="3">
        <v>#VALUE!</v>
      </c>
      <c r="C4" s="460" cm="1">
        <f t="array" ref="C4">_FV(B4,"Price")</f>
        <v>2702.85</v>
      </c>
      <c r="E4" t="s">
        <v>45</v>
      </c>
    </row>
    <row r="5" spans="1:5">
      <c r="A5" s="9" t="s">
        <v>472</v>
      </c>
      <c r="B5" s="240" t="e" vm="4">
        <v>#VALUE!</v>
      </c>
      <c r="C5" s="460" cm="1">
        <f t="array" ref="C5">_FV(B5,"Price")</f>
        <v>1581.3</v>
      </c>
      <c r="E5" t="s">
        <v>45</v>
      </c>
    </row>
    <row r="6" spans="1:5">
      <c r="A6" s="9" t="s">
        <v>1028</v>
      </c>
      <c r="B6" s="9" t="e" vm="5">
        <v>#VALUE!</v>
      </c>
      <c r="C6" s="460" cm="1">
        <f t="array" ref="C6">_FV(B6,"Price")</f>
        <v>466.45</v>
      </c>
      <c r="E6" t="s">
        <v>45</v>
      </c>
    </row>
    <row r="7" spans="1:5">
      <c r="A7" s="9" t="s">
        <v>803</v>
      </c>
      <c r="B7" s="9" t="e" vm="6">
        <v>#VALUE!</v>
      </c>
      <c r="C7" s="460" cm="1">
        <f t="array" ref="C7">_FV(B7,"Price")</f>
        <v>297.55</v>
      </c>
      <c r="E7" t="s">
        <v>45</v>
      </c>
    </row>
    <row r="8" spans="1:5">
      <c r="A8" s="9" t="s">
        <v>512</v>
      </c>
      <c r="B8" s="240" t="e" vm="7">
        <v>#VALUE!</v>
      </c>
      <c r="C8" s="460" cm="1">
        <f t="array" ref="C8">_FV(B8,"Price")</f>
        <v>2909.15</v>
      </c>
      <c r="E8" t="s">
        <v>45</v>
      </c>
    </row>
    <row r="9" spans="1:5">
      <c r="A9" s="9" t="s">
        <v>9</v>
      </c>
      <c r="B9" s="242" t="e" vm="8">
        <v>#VALUE!</v>
      </c>
      <c r="C9" s="460" cm="1">
        <f t="array" ref="C9">_FV(B9,"Price")</f>
        <v>413.65</v>
      </c>
      <c r="E9" t="s">
        <v>45</v>
      </c>
    </row>
    <row r="10" spans="1:5">
      <c r="A10" s="9" t="s">
        <v>671</v>
      </c>
      <c r="B10" s="9" t="e" vm="9">
        <v>#VALUE!</v>
      </c>
      <c r="C10" s="460" cm="1">
        <f t="array" ref="C10">_FV(B10,"Price")</f>
        <v>5977.8</v>
      </c>
      <c r="E10" t="s">
        <v>45</v>
      </c>
    </row>
    <row r="11" spans="1:5">
      <c r="A11" s="9" t="s">
        <v>194</v>
      </c>
      <c r="B11" s="240" t="e" vm="10">
        <v>#VALUE!</v>
      </c>
      <c r="C11" s="460" cm="1">
        <f t="array" ref="C11">_FV(B11,"Price")</f>
        <v>1391.15</v>
      </c>
      <c r="E11" t="s">
        <v>45</v>
      </c>
    </row>
    <row r="12" spans="1:5">
      <c r="A12" s="9" t="s">
        <v>743</v>
      </c>
      <c r="B12" s="9" t="e" vm="11">
        <v>#VALUE!</v>
      </c>
      <c r="C12" s="460" cm="1">
        <f t="array" ref="C12">_FV(B12,"Price")</f>
        <v>293.7</v>
      </c>
      <c r="E12" t="s">
        <v>45</v>
      </c>
    </row>
    <row r="13" spans="1:5">
      <c r="A13" s="9" t="s">
        <v>969</v>
      </c>
      <c r="B13" s="9" t="e" vm="12">
        <v>#VALUE!</v>
      </c>
      <c r="C13" s="460" cm="1">
        <f t="array" ref="C13">_FV(B13,"Price")</f>
        <v>1071.5</v>
      </c>
      <c r="E13" t="s">
        <v>45</v>
      </c>
    </row>
    <row r="14" spans="1:5">
      <c r="A14" s="9" t="s">
        <v>12</v>
      </c>
      <c r="B14" s="244" t="e" vm="13">
        <v>#VALUE!</v>
      </c>
      <c r="C14" s="460" cm="1">
        <f t="array" ref="C14">_FV(B14,"Price")</f>
        <v>712.6</v>
      </c>
      <c r="E14" t="s">
        <v>45</v>
      </c>
    </row>
    <row r="15" spans="1:5">
      <c r="A15" s="9" t="s">
        <v>783</v>
      </c>
      <c r="B15" s="9" t="e" vm="14">
        <v>#VALUE!</v>
      </c>
      <c r="C15" s="460" cm="1">
        <f t="array" ref="C15">_FV(B15,"Price")</f>
        <v>465.05</v>
      </c>
      <c r="E15" t="s">
        <v>45</v>
      </c>
    </row>
    <row r="16" spans="1:5">
      <c r="A16" s="9" t="s">
        <v>13</v>
      </c>
      <c r="B16" s="242" t="e" vm="15">
        <v>#VALUE!</v>
      </c>
      <c r="C16" s="460" cm="1">
        <f t="array" ref="C16">_FV(B16,"Price")</f>
        <v>1157</v>
      </c>
      <c r="E16" t="s">
        <v>45</v>
      </c>
    </row>
    <row r="17" spans="1:5">
      <c r="A17" s="9" t="s">
        <v>771</v>
      </c>
      <c r="B17" s="9" t="e" vm="16">
        <v>#VALUE!</v>
      </c>
      <c r="C17" s="460" cm="1">
        <f t="array" ref="C17">_FV(B17,"Price")</f>
        <v>825.75</v>
      </c>
      <c r="E17" t="s">
        <v>45</v>
      </c>
    </row>
    <row r="18" spans="1:5">
      <c r="A18" s="9" t="s">
        <v>483</v>
      </c>
      <c r="B18" s="242" t="e" vm="17">
        <v>#VALUE!</v>
      </c>
      <c r="C18" s="460" cm="1">
        <f t="array" ref="C18">_FV(B18,"Price")</f>
        <v>1030.0999999999999</v>
      </c>
      <c r="E18" t="s">
        <v>45</v>
      </c>
    </row>
    <row r="19" spans="1:5">
      <c r="A19" s="9" t="s">
        <v>668</v>
      </c>
      <c r="B19" s="9" t="e" vm="18">
        <v>#VALUE!</v>
      </c>
      <c r="C19" s="460" cm="1">
        <f t="array" ref="C19">_FV(B19,"Price")</f>
        <v>3351.7</v>
      </c>
      <c r="E19" t="s">
        <v>45</v>
      </c>
    </row>
    <row r="20" spans="1:5">
      <c r="A20" s="9" t="s">
        <v>665</v>
      </c>
      <c r="B20" s="9" t="e" vm="19">
        <v>#VALUE!</v>
      </c>
      <c r="C20" s="460" cm="1">
        <f t="array" ref="C20">_FV(B20,"Price")</f>
        <v>2172.25</v>
      </c>
      <c r="E20" t="s">
        <v>45</v>
      </c>
    </row>
    <row r="21" spans="1:5">
      <c r="A21" s="9" t="s">
        <v>424</v>
      </c>
      <c r="B21" s="240" t="e" vm="20">
        <v>#VALUE!</v>
      </c>
      <c r="C21" s="460" cm="1">
        <f t="array" ref="C21">_FV(B21,"Price")</f>
        <v>128.94999999999999</v>
      </c>
      <c r="E21" t="s">
        <v>45</v>
      </c>
    </row>
    <row r="22" spans="1:5">
      <c r="A22" s="9" t="s">
        <v>740</v>
      </c>
      <c r="B22" s="9" t="e" vm="21">
        <v>#VALUE!</v>
      </c>
      <c r="C22" s="460" cm="1">
        <f t="array" ref="C22">_FV(B22,"Price")</f>
        <v>269.7</v>
      </c>
      <c r="E22" t="s">
        <v>45</v>
      </c>
    </row>
    <row r="23" spans="1:5">
      <c r="A23" s="9" t="s">
        <v>635</v>
      </c>
      <c r="B23" s="240" t="e" vm="22">
        <v>#VALUE!</v>
      </c>
      <c r="C23" s="460" cm="1">
        <f t="array" ref="C23">_FV(B23,"Price")</f>
        <v>5635.1</v>
      </c>
      <c r="E23" t="s">
        <v>45</v>
      </c>
    </row>
    <row r="24" spans="1:5">
      <c r="A24" s="9" t="s">
        <v>689</v>
      </c>
      <c r="B24" s="9" t="e" vm="23">
        <v>#VALUE!</v>
      </c>
      <c r="C24" s="460" cm="1">
        <f t="array" ref="C24">_FV(B24,"Price")</f>
        <v>2363.1</v>
      </c>
      <c r="E24" t="s">
        <v>45</v>
      </c>
    </row>
    <row r="25" spans="1:5">
      <c r="A25" s="9" t="s">
        <v>630</v>
      </c>
      <c r="B25" s="240" t="e" vm="24">
        <v>#VALUE!</v>
      </c>
      <c r="C25" s="460" cm="1">
        <f t="array" ref="C25">_FV(B25,"Price")</f>
        <v>3018.05</v>
      </c>
      <c r="E25" t="s">
        <v>45</v>
      </c>
    </row>
    <row r="26" spans="1:5">
      <c r="A26" s="9" t="s">
        <v>536</v>
      </c>
      <c r="B26" s="9" t="e" vm="25">
        <v>#VALUE!</v>
      </c>
      <c r="C26" s="460" cm="1">
        <f t="array" ref="C26">_FV(B26,"Price")</f>
        <v>1569.85</v>
      </c>
      <c r="E26" t="s">
        <v>45</v>
      </c>
    </row>
    <row r="27" spans="1:5" ht="29">
      <c r="A27" s="9" t="s">
        <v>15</v>
      </c>
      <c r="B27" s="242" t="e" vm="26">
        <v>#VALUE!</v>
      </c>
      <c r="C27" s="460" cm="1">
        <f t="array" ref="C27">_FV(B27,"Price")</f>
        <v>573.85</v>
      </c>
      <c r="E27" t="s">
        <v>45</v>
      </c>
    </row>
    <row r="28" spans="1:5">
      <c r="A28" s="9" t="s">
        <v>649</v>
      </c>
      <c r="B28" s="240" t="e" vm="27">
        <v>#VALUE!</v>
      </c>
      <c r="C28" s="460" cm="1">
        <f t="array" ref="C28">_FV(B28,"Price")</f>
        <v>165.6</v>
      </c>
      <c r="E28" t="s">
        <v>45</v>
      </c>
    </row>
    <row r="29" spans="1:5">
      <c r="A29" s="9" t="s">
        <v>18</v>
      </c>
      <c r="B29" s="242" t="e" vm="28">
        <v>#VALUE!</v>
      </c>
      <c r="C29" s="460" cm="1">
        <f t="array" ref="C29">_FV(B29,"Price")</f>
        <v>1077.95</v>
      </c>
      <c r="E29" t="s">
        <v>45</v>
      </c>
    </row>
    <row r="30" spans="1:5">
      <c r="A30" s="9" t="s">
        <v>441</v>
      </c>
      <c r="B30" s="240" t="e" vm="29">
        <v>#VALUE!</v>
      </c>
      <c r="C30" s="460" cm="1">
        <f t="array" ref="C30">_FV(B30,"Price")</f>
        <v>1600.65</v>
      </c>
      <c r="E30" t="s">
        <v>45</v>
      </c>
    </row>
    <row r="31" spans="1:5">
      <c r="A31" s="9" t="s">
        <v>674</v>
      </c>
      <c r="B31" s="9" t="e" vm="30">
        <v>#VALUE!</v>
      </c>
      <c r="C31" s="460" cm="1">
        <f t="array" ref="C31">_FV(B31,"Price")</f>
        <v>604.5</v>
      </c>
      <c r="E31" t="s">
        <v>45</v>
      </c>
    </row>
    <row r="32" spans="1:5">
      <c r="A32" s="9" t="s">
        <v>527</v>
      </c>
      <c r="B32" s="9" t="e" vm="31">
        <v>#VALUE!</v>
      </c>
      <c r="C32" s="460" cm="1">
        <f t="array" ref="C32">_FV(B32,"Price")</f>
        <v>479.6</v>
      </c>
      <c r="E32" t="s">
        <v>45</v>
      </c>
    </row>
    <row r="33" spans="1:5">
      <c r="A33" s="9" t="s">
        <v>19</v>
      </c>
      <c r="B33" s="240" t="e" vm="32">
        <v>#VALUE!</v>
      </c>
      <c r="C33" s="460" cm="1">
        <f t="array" ref="C33">_FV(B33,"Price")</f>
        <v>349.7</v>
      </c>
      <c r="E33" t="s">
        <v>45</v>
      </c>
    </row>
    <row r="34" spans="1:5">
      <c r="A34" s="9" t="s">
        <v>463</v>
      </c>
      <c r="B34" s="240" t="e" vm="33">
        <v>#VALUE!</v>
      </c>
      <c r="C34" s="460" cm="1">
        <f t="array" ref="C34">_FV(B34,"Price")</f>
        <v>141.65</v>
      </c>
      <c r="E34" t="s">
        <v>45</v>
      </c>
    </row>
    <row r="35" spans="1:5">
      <c r="A35" s="9" t="s">
        <v>650</v>
      </c>
      <c r="B35" s="9" t="e" vm="34">
        <v>#VALUE!</v>
      </c>
      <c r="C35" s="460" cm="1">
        <f t="array" ref="C35">_FV(B35,"Price")</f>
        <v>4460.55</v>
      </c>
      <c r="E35" t="s">
        <v>45</v>
      </c>
    </row>
    <row r="36" spans="1:5">
      <c r="A36" s="9" t="s">
        <v>677</v>
      </c>
      <c r="B36" s="9" t="e" vm="35">
        <v>#VALUE!</v>
      </c>
      <c r="C36" s="460" cm="1">
        <f t="array" ref="C36">_FV(B36,"Price")</f>
        <v>350.55</v>
      </c>
      <c r="E36" t="s">
        <v>45</v>
      </c>
    </row>
    <row r="37" spans="1:5" ht="26">
      <c r="A37" s="9" t="s">
        <v>414</v>
      </c>
      <c r="B37" s="244" t="e" vm="36">
        <v>#VALUE!</v>
      </c>
      <c r="C37" s="460" cm="1">
        <f t="array" ref="C37">_FV(B37,"Price")</f>
        <v>641.5</v>
      </c>
      <c r="E37" t="s">
        <v>45</v>
      </c>
    </row>
    <row r="38" spans="1:5">
      <c r="A38" s="9" t="s">
        <v>20</v>
      </c>
      <c r="B38" s="242" t="e" vm="37">
        <v>#VALUE!</v>
      </c>
      <c r="C38" s="460" cm="1">
        <f t="array" ref="C38">_FV(B38,"Price")</f>
        <v>169</v>
      </c>
      <c r="E38" t="s">
        <v>45</v>
      </c>
    </row>
    <row r="39" spans="1:5">
      <c r="A39" s="9" t="s">
        <v>651</v>
      </c>
      <c r="B39" s="240" t="e" vm="38">
        <v>#VALUE!</v>
      </c>
      <c r="C39" s="460" cm="1">
        <f t="array" ref="C39">_FV(B39,"Price")</f>
        <v>585.75</v>
      </c>
      <c r="E39" t="s">
        <v>45</v>
      </c>
    </row>
    <row r="40" spans="1:5">
      <c r="A40" s="9" t="s">
        <v>68</v>
      </c>
      <c r="B40" s="242" t="e" vm="39">
        <v>#VALUE!</v>
      </c>
      <c r="C40" s="460" cm="1">
        <f t="array" ref="C40">_FV(B40,"Price")</f>
        <v>351.55</v>
      </c>
      <c r="E40" t="s">
        <v>45</v>
      </c>
    </row>
    <row r="41" spans="1:5">
      <c r="A41" s="9" t="s">
        <v>21</v>
      </c>
      <c r="B41" s="242" t="e" vm="40">
        <v>#VALUE!</v>
      </c>
      <c r="C41" s="460" cm="1">
        <f t="array" ref="C41">_FV(B41,"Price")</f>
        <v>149.80000000000001</v>
      </c>
      <c r="E41" t="s">
        <v>45</v>
      </c>
    </row>
    <row r="42" spans="1:5">
      <c r="A42" s="9" t="s">
        <v>23</v>
      </c>
      <c r="B42" s="240" t="e" vm="41">
        <v>#VALUE!</v>
      </c>
      <c r="C42" s="460" cm="1">
        <f t="array" ref="C42">_FV(B42,"Price")</f>
        <v>186.45</v>
      </c>
      <c r="E42" t="s">
        <v>45</v>
      </c>
    </row>
    <row r="43" spans="1:5">
      <c r="A43" s="9" t="s">
        <v>982</v>
      </c>
      <c r="B43" s="9" t="e" vm="42">
        <v>#VALUE!</v>
      </c>
      <c r="C43" s="460" cm="1">
        <f t="array" ref="C43">_FV(B43,"Price")</f>
        <v>692.4</v>
      </c>
      <c r="E43" t="s">
        <v>45</v>
      </c>
    </row>
    <row r="44" spans="1:5">
      <c r="A44" s="9" t="s">
        <v>717</v>
      </c>
      <c r="B44" s="9" t="e" vm="43">
        <v>#VALUE!</v>
      </c>
      <c r="C44" s="460" cm="1">
        <f t="array" ref="C44">_FV(B44,"Price")</f>
        <v>1500.85</v>
      </c>
      <c r="E44" t="s">
        <v>45</v>
      </c>
    </row>
    <row r="45" spans="1:5">
      <c r="A45" s="9" t="s">
        <v>894</v>
      </c>
      <c r="B45" s="9" t="e" vm="44">
        <v>#VALUE!</v>
      </c>
      <c r="C45" s="460" cm="1">
        <f t="array" ref="C45">_FV(B45,"Price")</f>
        <v>3448.75</v>
      </c>
      <c r="E45" t="s">
        <v>45</v>
      </c>
    </row>
    <row r="46" spans="1:5">
      <c r="A46" s="9" t="s">
        <v>746</v>
      </c>
      <c r="B46" s="9" t="e" vm="45">
        <v>#VALUE!</v>
      </c>
      <c r="C46" s="460" cm="1">
        <f t="array" ref="C46">_FV(B46,"Price")</f>
        <v>357.2</v>
      </c>
      <c r="E46" t="s">
        <v>45</v>
      </c>
    </row>
    <row r="47" spans="1:5">
      <c r="A47" s="9" t="s">
        <v>25</v>
      </c>
      <c r="B47" s="240" t="e" vm="46">
        <v>#VALUE!</v>
      </c>
      <c r="C47" s="460" cm="1">
        <f t="array" ref="C47">_FV(B47,"Price")</f>
        <v>402.9</v>
      </c>
      <c r="E47" t="s">
        <v>45</v>
      </c>
    </row>
    <row r="48" spans="1:5">
      <c r="A48" s="9" t="s">
        <v>812</v>
      </c>
      <c r="B48" s="9" t="e" vm="47">
        <v>#VALUE!</v>
      </c>
      <c r="C48" s="460" cm="1">
        <f t="array" ref="C48">_FV(B48,"Price")</f>
        <v>352.2</v>
      </c>
      <c r="E48" t="s">
        <v>45</v>
      </c>
    </row>
    <row r="49" spans="1:5">
      <c r="A49" s="9" t="s">
        <v>252</v>
      </c>
      <c r="B49" s="240" t="e" vm="48">
        <v>#VALUE!</v>
      </c>
      <c r="C49" s="460" cm="1">
        <f t="array" ref="C49">_FV(B49,"Price")</f>
        <v>1328.15</v>
      </c>
      <c r="E49" t="s">
        <v>45</v>
      </c>
    </row>
    <row r="50" spans="1:5">
      <c r="A50" s="9" t="s">
        <v>26</v>
      </c>
      <c r="B50" s="240" t="e" vm="49">
        <v>#VALUE!</v>
      </c>
      <c r="C50" s="460" cm="1">
        <f t="array" ref="C50">_FV(B50,"Price")</f>
        <v>121.65</v>
      </c>
      <c r="E50" t="s">
        <v>45</v>
      </c>
    </row>
    <row r="51" spans="1:5">
      <c r="A51" s="9" t="s">
        <v>727</v>
      </c>
      <c r="B51" s="9" t="e" vm="50">
        <v>#VALUE!</v>
      </c>
      <c r="C51" s="460" cm="1">
        <f t="array" ref="C51">_FV(B51,"Price")</f>
        <v>1604.7</v>
      </c>
      <c r="E51" t="s">
        <v>45</v>
      </c>
    </row>
    <row r="52" spans="1:5">
      <c r="A52" s="9" t="s">
        <v>893</v>
      </c>
      <c r="B52" s="9" t="e" vm="51">
        <v>#VALUE!</v>
      </c>
      <c r="C52" s="460" cm="1">
        <f t="array" ref="C52">_FV(B52,"Price")</f>
        <v>627.29999999999995</v>
      </c>
      <c r="E52" t="s">
        <v>45</v>
      </c>
    </row>
    <row r="53" spans="1:5">
      <c r="A53" s="9" t="s">
        <v>842</v>
      </c>
      <c r="B53" s="9" t="e" vm="52">
        <v>#VALUE!</v>
      </c>
      <c r="C53" s="460" cm="1">
        <f t="array" ref="C53">_FV(B53,"Price")</f>
        <v>1201.7</v>
      </c>
      <c r="E53" t="s">
        <v>45</v>
      </c>
    </row>
    <row r="54" spans="1:5">
      <c r="A54" s="9" t="s">
        <v>27</v>
      </c>
      <c r="B54" s="242" t="e" vm="53">
        <v>#VALUE!</v>
      </c>
      <c r="C54" s="460" cm="1">
        <f t="array" ref="C54">_FV(B54,"Price")</f>
        <v>33.1</v>
      </c>
      <c r="E54" t="s">
        <v>45</v>
      </c>
    </row>
    <row r="55" spans="1:5">
      <c r="A55" s="9" t="s">
        <v>545</v>
      </c>
      <c r="B55" s="9" t="e" vm="54">
        <v>#VALUE!</v>
      </c>
      <c r="C55" s="460" cm="1">
        <f t="array" ref="C55">_FV(B55,"Price")</f>
        <v>1687.15</v>
      </c>
      <c r="E55" t="s">
        <v>45</v>
      </c>
    </row>
    <row r="56" spans="1:5">
      <c r="A56" s="9" t="s">
        <v>594</v>
      </c>
      <c r="B56" s="9" t="e" vm="55">
        <v>#VALUE!</v>
      </c>
      <c r="C56" s="460" cm="1">
        <f t="array" ref="C56">_FV(B56,"Price")</f>
        <v>612.9</v>
      </c>
      <c r="E56" t="s">
        <v>45</v>
      </c>
    </row>
    <row r="57" spans="1:5">
      <c r="A57" s="9" t="s">
        <v>723</v>
      </c>
      <c r="B57" s="9" t="e" vm="56">
        <v>#VALUE!</v>
      </c>
      <c r="C57" s="460" cm="1">
        <f t="array" ref="C57">_FV(B57,"Price")</f>
        <v>382.55</v>
      </c>
      <c r="E57" t="s">
        <v>45</v>
      </c>
    </row>
    <row r="58" spans="1:5">
      <c r="A58" s="9" t="s">
        <v>931</v>
      </c>
      <c r="B58" s="9" t="e" vm="57">
        <v>#VALUE!</v>
      </c>
      <c r="C58" s="460" cm="1">
        <f t="array" ref="C58">_FV(B58,"Price")</f>
        <v>131.1</v>
      </c>
      <c r="E58" t="s">
        <v>45</v>
      </c>
    </row>
    <row r="59" spans="1:5">
      <c r="A59" s="9" t="s">
        <v>1147</v>
      </c>
      <c r="B59" s="9" t="e" vm="58">
        <v>#VALUE!</v>
      </c>
      <c r="C59" s="460" cm="1">
        <f t="array" ref="C59">_FV(B59,"Price")</f>
        <v>228.95</v>
      </c>
      <c r="E59" t="s">
        <v>45</v>
      </c>
    </row>
    <row r="60" spans="1:5">
      <c r="A60" s="9" t="s">
        <v>469</v>
      </c>
      <c r="B60" s="240" t="e" vm="59">
        <v>#VALUE!</v>
      </c>
      <c r="C60" s="460" cm="1">
        <f t="array" ref="C60">_FV(B60,"Price")</f>
        <v>771.35</v>
      </c>
      <c r="E60" t="s">
        <v>45</v>
      </c>
    </row>
    <row r="61" spans="1:5">
      <c r="A61" s="9" t="s">
        <v>936</v>
      </c>
      <c r="B61" s="9" t="e" vm="60">
        <v>#VALUE!</v>
      </c>
      <c r="C61" s="460" cm="1">
        <f t="array" ref="C61">_FV(B61,"Price")</f>
        <v>7790</v>
      </c>
      <c r="E61" t="s">
        <v>45</v>
      </c>
    </row>
    <row r="62" spans="1:5">
      <c r="A62" s="9" t="s">
        <v>881</v>
      </c>
      <c r="B62" s="9" t="e" vm="61">
        <v>#VALUE!</v>
      </c>
      <c r="C62" s="460" cm="1">
        <f t="array" ref="C62">_FV(B62,"Price")</f>
        <v>464.3</v>
      </c>
      <c r="E62" t="s">
        <v>45</v>
      </c>
    </row>
    <row r="63" spans="1:5">
      <c r="A63" s="9" t="s">
        <v>29</v>
      </c>
      <c r="B63" s="240" t="e" vm="62">
        <v>#VALUE!</v>
      </c>
      <c r="C63" s="460" cm="1">
        <f t="array" ref="C63">_FV(B63,"Price")</f>
        <v>2505.15</v>
      </c>
      <c r="E63" t="s">
        <v>45</v>
      </c>
    </row>
    <row r="64" spans="1:5">
      <c r="A64" s="9" t="s">
        <v>30</v>
      </c>
      <c r="B64" s="240" t="e" vm="63">
        <v>#VALUE!</v>
      </c>
      <c r="C64" s="460" cm="1">
        <f t="array" ref="C64">_FV(B64,"Price")</f>
        <v>63.9</v>
      </c>
      <c r="E64" t="s">
        <v>45</v>
      </c>
    </row>
    <row r="65" spans="1:5">
      <c r="A65" s="9" t="s">
        <v>485</v>
      </c>
      <c r="B65" s="240" t="e" vm="64">
        <v>#VALUE!</v>
      </c>
      <c r="C65" s="460" cm="1">
        <f t="array" ref="C65">_FV(B65,"Price")</f>
        <v>2663.7</v>
      </c>
      <c r="E65" t="s">
        <v>45</v>
      </c>
    </row>
    <row r="66" spans="1:5">
      <c r="A66" s="9" t="s">
        <v>31</v>
      </c>
      <c r="B66" s="240" t="e" vm="65">
        <v>#VALUE!</v>
      </c>
      <c r="C66" s="460" cm="1">
        <f t="array" ref="C66">_FV(B66,"Price")</f>
        <v>152.75</v>
      </c>
      <c r="E66" t="s">
        <v>45</v>
      </c>
    </row>
    <row r="67" spans="1:5">
      <c r="A67" s="9" t="s">
        <v>627</v>
      </c>
      <c r="B67" s="9" t="e" vm="66">
        <v>#VALUE!</v>
      </c>
      <c r="C67" s="460" cm="1">
        <f t="array" ref="C67">_FV(B67,"Price")</f>
        <v>353.25</v>
      </c>
      <c r="E67" t="s">
        <v>45</v>
      </c>
    </row>
    <row r="68" spans="1:5">
      <c r="A68" s="9" t="s">
        <v>522</v>
      </c>
      <c r="B68" s="9" t="e" vm="67">
        <v>#VALUE!</v>
      </c>
      <c r="C68" s="460" cm="1">
        <f t="array" ref="C68">_FV(B68,"Price")</f>
        <v>132.44999999999999</v>
      </c>
      <c r="E68" t="s">
        <v>45</v>
      </c>
    </row>
    <row r="69" spans="1:5">
      <c r="A69" s="9" t="s">
        <v>539</v>
      </c>
      <c r="B69" s="3" t="e" vm="68">
        <v>#VALUE!</v>
      </c>
      <c r="C69" s="460" cm="1">
        <f t="array" ref="C69">_FV(B69,"Price")</f>
        <v>891.95</v>
      </c>
      <c r="E69" t="s">
        <v>45</v>
      </c>
    </row>
    <row r="70" spans="1:5">
      <c r="A70" s="9" t="s">
        <v>610</v>
      </c>
      <c r="B70" s="240" t="e" vm="69">
        <v>#VALUE!</v>
      </c>
      <c r="C70" s="460" cm="1">
        <f t="array" ref="C70">_FV(B70,"Price")</f>
        <v>359.2</v>
      </c>
      <c r="E70" t="s">
        <v>45</v>
      </c>
    </row>
    <row r="71" spans="1:5">
      <c r="A71" s="9" t="s">
        <v>33</v>
      </c>
      <c r="B71" s="9" t="e" vm="70">
        <v>#VALUE!</v>
      </c>
      <c r="C71" s="460" cm="1">
        <f t="array" ref="C71">_FV(B71,"Price")</f>
        <v>600.1</v>
      </c>
      <c r="E71" t="s">
        <v>45</v>
      </c>
    </row>
    <row r="72" spans="1:5">
      <c r="A72" s="9" t="s">
        <v>34</v>
      </c>
      <c r="B72" s="9" t="e" vm="71">
        <v>#VALUE!</v>
      </c>
      <c r="C72" s="460" cm="1">
        <f t="array" ref="C72">_FV(B72,"Price")</f>
        <v>165.25</v>
      </c>
      <c r="E72" t="s">
        <v>45</v>
      </c>
    </row>
    <row r="73" spans="1:5">
      <c r="A73" s="9" t="s">
        <v>697</v>
      </c>
      <c r="B73" s="9" t="e" vm="72">
        <v>#VALUE!</v>
      </c>
      <c r="C73" s="460" cm="1">
        <f t="array" ref="C73">_FV(B73,"Price")</f>
        <v>425.65</v>
      </c>
      <c r="E73" t="s">
        <v>45</v>
      </c>
    </row>
    <row r="74" spans="1:5">
      <c r="A74" s="9" t="s">
        <v>1084</v>
      </c>
      <c r="B74" s="9" t="e" vm="73">
        <v>#VALUE!</v>
      </c>
      <c r="C74" s="460" cm="1">
        <f t="array" ref="C74">_FV(B74,"Price")</f>
        <v>2198.75</v>
      </c>
      <c r="E74" t="s">
        <v>45</v>
      </c>
    </row>
    <row r="75" spans="1:5">
      <c r="A75" s="9" t="s">
        <v>566</v>
      </c>
      <c r="B75" s="9" t="e" vm="74">
        <v>#VALUE!</v>
      </c>
      <c r="C75" s="460" cm="1">
        <f t="array" ref="C75">_FV(B75,"Price")</f>
        <v>480.95</v>
      </c>
      <c r="E75" t="s">
        <v>45</v>
      </c>
    </row>
    <row r="76" spans="1:5">
      <c r="A76" s="9" t="s">
        <v>645</v>
      </c>
      <c r="B76" s="9" t="e" vm="75">
        <v>#VALUE!</v>
      </c>
      <c r="C76" s="460" cm="1">
        <f t="array" ref="C76">_FV(B76,"Price")</f>
        <v>2469.5500000000002</v>
      </c>
      <c r="E76" t="s">
        <v>45</v>
      </c>
    </row>
    <row r="77" spans="1:5">
      <c r="A77" s="9" t="s">
        <v>623</v>
      </c>
      <c r="B77" s="9" t="e" vm="76">
        <v>#VALUE!</v>
      </c>
      <c r="C77" s="460" cm="1">
        <f t="array" ref="C77">_FV(B77,"Price")</f>
        <v>1635.5</v>
      </c>
      <c r="E77" t="s">
        <v>45</v>
      </c>
    </row>
    <row r="78" spans="1:5">
      <c r="A78" s="9" t="s">
        <v>966</v>
      </c>
      <c r="B78" s="461" t="e" vm="77">
        <v>#VALUE!</v>
      </c>
      <c r="C78" s="460" cm="1">
        <f t="array" ref="C78">_FV(B78,"Price")</f>
        <v>731.9</v>
      </c>
      <c r="E78" t="s">
        <v>45</v>
      </c>
    </row>
    <row r="79" spans="1:5">
      <c r="A79" s="9" t="s">
        <v>925</v>
      </c>
      <c r="B79" s="9" t="e" vm="78">
        <v>#VALUE!</v>
      </c>
      <c r="C79" s="460" cm="1">
        <f t="array" ref="C79">_FV(B79,"Price")</f>
        <v>676.85</v>
      </c>
      <c r="E79" t="s">
        <v>45</v>
      </c>
    </row>
    <row r="80" spans="1:5">
      <c r="A80" s="9" t="s">
        <v>218</v>
      </c>
      <c r="B80" s="9" t="e" vm="79">
        <v>#VALUE!</v>
      </c>
      <c r="C80" s="460" cm="1">
        <f t="array" ref="C80">_FV(B80,"Price")</f>
        <v>6242.25</v>
      </c>
      <c r="E80" t="s">
        <v>45</v>
      </c>
    </row>
    <row r="81" spans="1:5">
      <c r="A81" s="9" t="s">
        <v>751</v>
      </c>
      <c r="B81" s="9" t="e" vm="80">
        <v>#VALUE!</v>
      </c>
      <c r="C81" s="460" cm="1">
        <f t="array" ref="C81">_FV(B81,"Price")</f>
        <v>1688</v>
      </c>
      <c r="E81" t="s">
        <v>45</v>
      </c>
    </row>
    <row r="82" spans="1:5">
      <c r="A82" s="9" t="s">
        <v>230</v>
      </c>
      <c r="B82" s="9" t="e" vm="81">
        <v>#VALUE!</v>
      </c>
      <c r="C82" s="460" cm="1">
        <f t="array" ref="C82">_FV(B82,"Price")</f>
        <v>411.5</v>
      </c>
      <c r="E82" t="s">
        <v>45</v>
      </c>
    </row>
    <row r="83" spans="1:5">
      <c r="A83" s="9" t="s">
        <v>37</v>
      </c>
      <c r="B83" s="9" t="e" vm="82">
        <v>#VALUE!</v>
      </c>
      <c r="C83" s="460" cm="1">
        <f t="array" ref="C83">_FV(B83,"Price")</f>
        <v>128.15</v>
      </c>
      <c r="E83" t="s">
        <v>45</v>
      </c>
    </row>
    <row r="84" spans="1:5">
      <c r="A84" s="9" t="s">
        <v>39</v>
      </c>
      <c r="B84" s="9" t="e" vm="83">
        <v>#VALUE!</v>
      </c>
      <c r="C84" s="460" cm="1">
        <f t="array" ref="C84">_FV(B84,"Price")</f>
        <v>416.75</v>
      </c>
      <c r="E84" t="s">
        <v>45</v>
      </c>
    </row>
    <row r="85" spans="1:5">
      <c r="A85" s="9" t="s">
        <v>470</v>
      </c>
      <c r="B85" s="9" t="e" vm="84">
        <v>#VALUE!</v>
      </c>
      <c r="C85" s="460" cm="1">
        <f t="array" ref="C85">_FV(B85,"Price")</f>
        <v>2004.65</v>
      </c>
      <c r="E85" t="s">
        <v>45</v>
      </c>
    </row>
    <row r="86" spans="1:5">
      <c r="A86" s="9" t="s">
        <v>749</v>
      </c>
      <c r="B86" s="9" t="e" vm="85">
        <v>#VALUE!</v>
      </c>
      <c r="C86" s="460" cm="1">
        <f t="array" ref="C86">_FV(B86,"Price")</f>
        <v>68.599999999999994</v>
      </c>
      <c r="E86" t="s">
        <v>45</v>
      </c>
    </row>
    <row r="87" spans="1:5">
      <c r="A87" s="9" t="s">
        <v>823</v>
      </c>
      <c r="B87" s="9" t="e" vm="86">
        <v>#VALUE!</v>
      </c>
      <c r="C87" s="460" cm="1">
        <f t="array" ref="C87">_FV(B87,"Price")</f>
        <v>230.25</v>
      </c>
      <c r="E87" t="s">
        <v>45</v>
      </c>
    </row>
    <row r="88" spans="1:5">
      <c r="A88" s="9" t="s">
        <v>1172</v>
      </c>
      <c r="B88" s="9" t="e" vm="87">
        <v>#VALUE!</v>
      </c>
      <c r="C88" s="460" cm="1">
        <f t="array" ref="C88">_FV(B88,"Price")</f>
        <v>2273.85</v>
      </c>
      <c r="E88" t="s">
        <v>45</v>
      </c>
    </row>
    <row r="89" spans="1:5">
      <c r="A89" s="9" t="s">
        <v>1175</v>
      </c>
      <c r="B89" s="9" t="e" vm="88">
        <v>#VALUE!</v>
      </c>
      <c r="C89" s="460" cm="1">
        <f t="array" ref="C89">_FV(B89,"Price")</f>
        <v>1077.6500000000001</v>
      </c>
      <c r="E89" t="s">
        <v>45</v>
      </c>
    </row>
    <row r="90" spans="1:5">
      <c r="A90" s="9" t="s">
        <v>1176</v>
      </c>
      <c r="B90" s="9" t="e" vm="89">
        <v>#VALUE!</v>
      </c>
      <c r="C90" s="460" cm="1">
        <f t="array" ref="C90">_FV(B90,"Price")</f>
        <v>711.7</v>
      </c>
      <c r="E90" t="s">
        <v>45</v>
      </c>
    </row>
    <row r="91" spans="1:5">
      <c r="A91" s="13" t="s">
        <v>1183</v>
      </c>
      <c r="B91" s="13" t="e" vm="90">
        <v>#VALUE!</v>
      </c>
      <c r="C91" s="484" cm="1">
        <f t="array" ref="C91">_FV(B91,"Price")</f>
        <v>122.8</v>
      </c>
      <c r="E91" t="s">
        <v>45</v>
      </c>
    </row>
    <row r="92" spans="1:5">
      <c r="A92" s="9" t="s">
        <v>1216</v>
      </c>
      <c r="B92" s="9" t="e" vm="91">
        <v>#VALUE!</v>
      </c>
      <c r="C92" s="460" cm="1">
        <f t="array" ref="C92">_FV(B92,"Price")</f>
        <v>2560.9</v>
      </c>
      <c r="D92" s="9"/>
      <c r="E92" s="9" t="s">
        <v>45</v>
      </c>
    </row>
    <row r="93" spans="1:5">
      <c r="A93" s="9" t="s">
        <v>1217</v>
      </c>
      <c r="B93" s="9" t="e" vm="92">
        <v>#VALUE!</v>
      </c>
      <c r="C93" s="460" cm="1">
        <f t="array" ref="C93">_FV(B93,"Price")</f>
        <v>334.7</v>
      </c>
      <c r="D93" s="9"/>
      <c r="E93" s="9" t="s">
        <v>45</v>
      </c>
    </row>
    <row r="94" spans="1:5">
      <c r="A94" s="9" t="s">
        <v>1218</v>
      </c>
      <c r="B94" s="9" t="e" vm="93">
        <v>#VALUE!</v>
      </c>
      <c r="C94" s="460" cm="1">
        <f t="array" ref="C94">_FV(B94,"Price")</f>
        <v>3626.55</v>
      </c>
      <c r="D94" s="9"/>
      <c r="E94" s="9" t="s">
        <v>45</v>
      </c>
    </row>
  </sheetData>
  <autoFilter ref="A1:E87" xr:uid="{00000000-0001-0000-0300-000000000000}"/>
  <pageMargins left="0.75" right="0.75" top="1" bottom="1" header="0.5" footer="0.5"/>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P699"/>
  <sheetViews>
    <sheetView workbookViewId="0">
      <selection activeCell="O668" sqref="O668:O699"/>
    </sheetView>
  </sheetViews>
  <sheetFormatPr defaultRowHeight="14.5"/>
  <cols>
    <col min="2" max="2" width="15.26953125" bestFit="1" customWidth="1"/>
    <col min="3" max="3" width="13.54296875" bestFit="1" customWidth="1"/>
    <col min="4" max="4" width="13.7265625" bestFit="1" customWidth="1"/>
    <col min="6" max="6" width="16.7265625" bestFit="1" customWidth="1"/>
    <col min="8" max="8" width="10.54296875" style="27" bestFit="1" customWidth="1"/>
    <col min="9" max="9" width="10.26953125" style="27" bestFit="1" customWidth="1"/>
    <col min="15" max="15" width="8.7265625" style="17"/>
  </cols>
  <sheetData>
    <row r="1" spans="1:16">
      <c r="L1">
        <f>SUM(L3:L2292)</f>
        <v>6697010.9800000032</v>
      </c>
      <c r="M1">
        <f>SUM(M3:M2292)</f>
        <v>5917765.4799999977</v>
      </c>
      <c r="N1">
        <f>SUM(N3:N2292)</f>
        <v>779245.5</v>
      </c>
      <c r="O1" s="17">
        <f>N1/M1%</f>
        <v>13.167901003065777</v>
      </c>
    </row>
    <row r="2" spans="1:16">
      <c r="A2" s="26" t="s">
        <v>0</v>
      </c>
      <c r="B2" s="25" t="s">
        <v>66</v>
      </c>
      <c r="C2" s="25" t="s">
        <v>69</v>
      </c>
      <c r="D2" s="25" t="s">
        <v>70</v>
      </c>
      <c r="E2" s="25" t="s">
        <v>71</v>
      </c>
      <c r="F2" s="26" t="s">
        <v>127</v>
      </c>
      <c r="G2" t="s">
        <v>165</v>
      </c>
      <c r="H2" s="28" t="s">
        <v>128</v>
      </c>
      <c r="I2" s="28" t="s">
        <v>166</v>
      </c>
      <c r="J2" t="s">
        <v>167</v>
      </c>
      <c r="K2" t="s">
        <v>168</v>
      </c>
      <c r="L2" t="s">
        <v>169</v>
      </c>
      <c r="M2" t="s">
        <v>170</v>
      </c>
      <c r="N2" t="s">
        <v>163</v>
      </c>
      <c r="O2" s="17" t="s">
        <v>171</v>
      </c>
    </row>
    <row r="3" spans="1:16">
      <c r="A3">
        <v>1</v>
      </c>
      <c r="B3" t="s">
        <v>485</v>
      </c>
      <c r="C3" t="s">
        <v>486</v>
      </c>
      <c r="D3" t="s">
        <v>486</v>
      </c>
      <c r="E3" t="s">
        <v>72</v>
      </c>
      <c r="F3" t="s">
        <v>590</v>
      </c>
      <c r="G3">
        <v>6</v>
      </c>
      <c r="H3" s="27" t="s">
        <v>928</v>
      </c>
      <c r="I3" s="27" t="s">
        <v>986</v>
      </c>
      <c r="J3">
        <v>2708</v>
      </c>
      <c r="K3">
        <v>2404</v>
      </c>
      <c r="L3">
        <v>16248</v>
      </c>
      <c r="M3">
        <v>14424</v>
      </c>
      <c r="N3">
        <v>1824</v>
      </c>
      <c r="O3" s="17">
        <f>N3/M3%</f>
        <v>12.645590682196339</v>
      </c>
      <c r="P3" t="s">
        <v>45</v>
      </c>
    </row>
    <row r="4" spans="1:16">
      <c r="A4">
        <v>2</v>
      </c>
      <c r="B4" t="s">
        <v>630</v>
      </c>
      <c r="C4" t="s">
        <v>631</v>
      </c>
      <c r="D4" t="s">
        <v>631</v>
      </c>
      <c r="E4" t="s">
        <v>72</v>
      </c>
      <c r="F4" t="s">
        <v>632</v>
      </c>
      <c r="G4">
        <v>3</v>
      </c>
      <c r="H4" s="27" t="s">
        <v>928</v>
      </c>
      <c r="I4" s="27" t="s">
        <v>986</v>
      </c>
      <c r="J4">
        <v>3060</v>
      </c>
      <c r="K4">
        <v>3035</v>
      </c>
      <c r="L4">
        <v>9180</v>
      </c>
      <c r="M4">
        <v>9105</v>
      </c>
      <c r="N4">
        <v>75</v>
      </c>
      <c r="O4" s="17">
        <f t="shared" ref="O4:O67" si="0">N4/M4%</f>
        <v>0.82372322899505768</v>
      </c>
      <c r="P4" t="s">
        <v>45</v>
      </c>
    </row>
    <row r="5" spans="1:16">
      <c r="A5">
        <v>3</v>
      </c>
      <c r="B5" t="s">
        <v>522</v>
      </c>
      <c r="C5" t="s">
        <v>523</v>
      </c>
      <c r="D5" t="s">
        <v>523</v>
      </c>
      <c r="E5" t="s">
        <v>72</v>
      </c>
      <c r="F5" t="s">
        <v>524</v>
      </c>
      <c r="G5">
        <v>105</v>
      </c>
      <c r="H5" s="27" t="s">
        <v>928</v>
      </c>
      <c r="I5" s="27" t="s">
        <v>986</v>
      </c>
      <c r="J5">
        <v>110.16</v>
      </c>
      <c r="K5">
        <v>96</v>
      </c>
      <c r="L5">
        <v>11566.8</v>
      </c>
      <c r="M5">
        <v>10080</v>
      </c>
      <c r="N5">
        <v>1486.7999999999997</v>
      </c>
      <c r="O5" s="17">
        <f t="shared" si="0"/>
        <v>14.749999999999998</v>
      </c>
      <c r="P5" t="s">
        <v>45</v>
      </c>
    </row>
    <row r="6" spans="1:16">
      <c r="A6">
        <v>4</v>
      </c>
      <c r="B6" t="s">
        <v>15</v>
      </c>
      <c r="C6" t="s">
        <v>15</v>
      </c>
      <c r="D6" t="s">
        <v>15</v>
      </c>
      <c r="E6" t="s">
        <v>72</v>
      </c>
      <c r="F6" t="s">
        <v>87</v>
      </c>
      <c r="G6">
        <v>5</v>
      </c>
      <c r="H6" s="27" t="s">
        <v>146</v>
      </c>
      <c r="I6" s="27" t="s">
        <v>986</v>
      </c>
      <c r="J6">
        <v>879</v>
      </c>
      <c r="K6">
        <v>383</v>
      </c>
      <c r="L6">
        <v>4395</v>
      </c>
      <c r="M6">
        <v>1915</v>
      </c>
      <c r="N6">
        <v>2480</v>
      </c>
      <c r="O6" s="17">
        <f t="shared" si="0"/>
        <v>129.50391644908618</v>
      </c>
      <c r="P6" t="s">
        <v>45</v>
      </c>
    </row>
    <row r="7" spans="1:16">
      <c r="A7">
        <v>5</v>
      </c>
      <c r="B7" t="s">
        <v>983</v>
      </c>
      <c r="C7" t="s">
        <v>984</v>
      </c>
      <c r="D7" t="s">
        <v>984</v>
      </c>
      <c r="E7" t="s">
        <v>72</v>
      </c>
      <c r="F7" t="s">
        <v>985</v>
      </c>
      <c r="G7">
        <v>500</v>
      </c>
      <c r="H7" s="27" t="s">
        <v>866</v>
      </c>
      <c r="I7" s="27" t="s">
        <v>987</v>
      </c>
      <c r="J7">
        <v>44.92</v>
      </c>
      <c r="K7">
        <v>36</v>
      </c>
      <c r="L7">
        <v>22460</v>
      </c>
      <c r="M7">
        <v>18000</v>
      </c>
      <c r="N7">
        <v>4460.0000000000009</v>
      </c>
      <c r="O7" s="17">
        <f t="shared" si="0"/>
        <v>24.777777777777782</v>
      </c>
      <c r="P7" t="s">
        <v>45</v>
      </c>
    </row>
    <row r="8" spans="1:16">
      <c r="A8">
        <v>6</v>
      </c>
      <c r="B8" t="s">
        <v>727</v>
      </c>
      <c r="C8" t="s">
        <v>728</v>
      </c>
      <c r="D8" t="s">
        <v>728</v>
      </c>
      <c r="E8" t="s">
        <v>72</v>
      </c>
      <c r="F8" t="s">
        <v>729</v>
      </c>
      <c r="G8">
        <v>7</v>
      </c>
      <c r="H8" s="27" t="s">
        <v>947</v>
      </c>
      <c r="I8" s="27" t="s">
        <v>987</v>
      </c>
      <c r="J8">
        <v>1481.11</v>
      </c>
      <c r="K8">
        <v>1202.1099999999999</v>
      </c>
      <c r="L8">
        <v>10367.769999999999</v>
      </c>
      <c r="M8">
        <v>8414.7699999999986</v>
      </c>
      <c r="N8">
        <v>1953</v>
      </c>
      <c r="O8" s="17">
        <f t="shared" si="0"/>
        <v>23.209190506692401</v>
      </c>
      <c r="P8" t="s">
        <v>45</v>
      </c>
    </row>
    <row r="9" spans="1:16">
      <c r="A9">
        <v>7</v>
      </c>
      <c r="B9" t="s">
        <v>13</v>
      </c>
      <c r="C9" t="s">
        <v>83</v>
      </c>
      <c r="D9" t="s">
        <v>246</v>
      </c>
      <c r="E9" t="s">
        <v>76</v>
      </c>
      <c r="F9" t="s">
        <v>84</v>
      </c>
      <c r="G9">
        <v>9</v>
      </c>
      <c r="H9" s="27" t="s">
        <v>946</v>
      </c>
      <c r="I9" s="27" t="s">
        <v>987</v>
      </c>
      <c r="J9">
        <v>1263.33</v>
      </c>
      <c r="K9">
        <v>1116.97</v>
      </c>
      <c r="L9">
        <v>11369.97</v>
      </c>
      <c r="M9">
        <v>10052.73</v>
      </c>
      <c r="N9">
        <v>1317.2399999999991</v>
      </c>
      <c r="O9" s="17">
        <f t="shared" si="0"/>
        <v>13.103306266059063</v>
      </c>
      <c r="P9" t="s">
        <v>45</v>
      </c>
    </row>
    <row r="10" spans="1:16">
      <c r="A10">
        <v>8</v>
      </c>
      <c r="B10" t="s">
        <v>19</v>
      </c>
      <c r="C10" t="s">
        <v>90</v>
      </c>
      <c r="D10" t="s">
        <v>90</v>
      </c>
      <c r="E10" t="s">
        <v>72</v>
      </c>
      <c r="F10" t="s">
        <v>91</v>
      </c>
      <c r="G10">
        <v>26</v>
      </c>
      <c r="H10" s="27" t="s">
        <v>947</v>
      </c>
      <c r="I10" s="27" t="s">
        <v>987</v>
      </c>
      <c r="J10">
        <v>336.77</v>
      </c>
      <c r="K10">
        <v>298.08</v>
      </c>
      <c r="L10">
        <v>8756.02</v>
      </c>
      <c r="M10">
        <v>7750.08</v>
      </c>
      <c r="N10">
        <v>1005.9399999999999</v>
      </c>
      <c r="O10" s="17">
        <f t="shared" si="0"/>
        <v>12.979736983360171</v>
      </c>
      <c r="P10" t="s">
        <v>45</v>
      </c>
    </row>
    <row r="11" spans="1:16">
      <c r="A11">
        <v>9</v>
      </c>
      <c r="B11" t="s">
        <v>522</v>
      </c>
      <c r="C11" t="s">
        <v>523</v>
      </c>
      <c r="D11" t="s">
        <v>523</v>
      </c>
      <c r="E11" t="s">
        <v>72</v>
      </c>
      <c r="F11" t="s">
        <v>524</v>
      </c>
      <c r="G11">
        <v>100</v>
      </c>
      <c r="H11" s="27" t="s">
        <v>928</v>
      </c>
      <c r="I11" s="27" t="s">
        <v>987</v>
      </c>
      <c r="J11">
        <v>108.35</v>
      </c>
      <c r="K11">
        <v>96</v>
      </c>
      <c r="L11">
        <v>10835</v>
      </c>
      <c r="M11">
        <v>9600</v>
      </c>
      <c r="N11">
        <v>1234.9999999999995</v>
      </c>
      <c r="O11" s="17">
        <f t="shared" si="0"/>
        <v>12.864583333333329</v>
      </c>
      <c r="P11" t="s">
        <v>45</v>
      </c>
    </row>
    <row r="12" spans="1:16">
      <c r="A12">
        <v>10</v>
      </c>
      <c r="B12" t="s">
        <v>665</v>
      </c>
      <c r="C12" t="s">
        <v>666</v>
      </c>
      <c r="D12" t="s">
        <v>666</v>
      </c>
      <c r="E12" t="s">
        <v>72</v>
      </c>
      <c r="F12" t="s">
        <v>667</v>
      </c>
      <c r="G12">
        <v>3</v>
      </c>
      <c r="H12" s="27" t="s">
        <v>942</v>
      </c>
      <c r="I12" s="27" t="s">
        <v>987</v>
      </c>
      <c r="J12">
        <v>2824.45</v>
      </c>
      <c r="K12">
        <v>2360.2800000000002</v>
      </c>
      <c r="L12">
        <v>8473.3499999999985</v>
      </c>
      <c r="M12">
        <v>7080.84</v>
      </c>
      <c r="N12">
        <v>1392.5099999999989</v>
      </c>
      <c r="O12" s="17">
        <f t="shared" si="0"/>
        <v>19.665887098140882</v>
      </c>
      <c r="P12" t="s">
        <v>45</v>
      </c>
    </row>
    <row r="13" spans="1:16">
      <c r="A13">
        <v>11</v>
      </c>
      <c r="B13" t="s">
        <v>809</v>
      </c>
      <c r="C13" t="s">
        <v>810</v>
      </c>
      <c r="D13" t="s">
        <v>810</v>
      </c>
      <c r="E13" t="s">
        <v>72</v>
      </c>
      <c r="F13" t="s">
        <v>811</v>
      </c>
      <c r="G13">
        <v>2</v>
      </c>
      <c r="H13" s="27" t="s">
        <v>988</v>
      </c>
      <c r="I13" s="27" t="s">
        <v>987</v>
      </c>
      <c r="J13">
        <v>2472.86</v>
      </c>
      <c r="K13">
        <v>2553.5</v>
      </c>
      <c r="L13">
        <v>4945.72</v>
      </c>
      <c r="M13">
        <v>5107</v>
      </c>
      <c r="N13">
        <v>-161.27999999999975</v>
      </c>
      <c r="O13" s="17">
        <f t="shared" si="0"/>
        <v>-3.1580184061092567</v>
      </c>
      <c r="P13" t="s">
        <v>45</v>
      </c>
    </row>
    <row r="14" spans="1:16">
      <c r="A14">
        <v>12</v>
      </c>
      <c r="B14" t="s">
        <v>809</v>
      </c>
      <c r="C14" t="s">
        <v>810</v>
      </c>
      <c r="D14" t="s">
        <v>810</v>
      </c>
      <c r="E14" t="s">
        <v>72</v>
      </c>
      <c r="F14" t="s">
        <v>811</v>
      </c>
      <c r="G14">
        <v>1</v>
      </c>
      <c r="H14" s="27" t="s">
        <v>859</v>
      </c>
      <c r="I14" s="27" t="s">
        <v>987</v>
      </c>
      <c r="J14">
        <v>2472.86</v>
      </c>
      <c r="K14">
        <v>2562.75</v>
      </c>
      <c r="L14">
        <v>2472.86</v>
      </c>
      <c r="M14">
        <v>2562.75</v>
      </c>
      <c r="N14">
        <v>-89.889999999999873</v>
      </c>
      <c r="O14" s="17">
        <f t="shared" si="0"/>
        <v>-3.5075602380255533</v>
      </c>
      <c r="P14" t="s">
        <v>45</v>
      </c>
    </row>
    <row r="15" spans="1:16">
      <c r="A15">
        <v>13</v>
      </c>
      <c r="B15" t="s">
        <v>809</v>
      </c>
      <c r="C15" t="s">
        <v>810</v>
      </c>
      <c r="D15" t="s">
        <v>810</v>
      </c>
      <c r="E15" t="s">
        <v>72</v>
      </c>
      <c r="F15" t="s">
        <v>811</v>
      </c>
      <c r="G15">
        <v>25</v>
      </c>
      <c r="H15" s="27" t="s">
        <v>820</v>
      </c>
      <c r="I15" s="27" t="s">
        <v>987</v>
      </c>
      <c r="J15">
        <v>2472.86</v>
      </c>
      <c r="K15">
        <v>1924.7</v>
      </c>
      <c r="L15">
        <v>61821.5</v>
      </c>
      <c r="M15">
        <v>48117.5</v>
      </c>
      <c r="N15">
        <v>13704.000000000002</v>
      </c>
      <c r="O15" s="17">
        <f t="shared" si="0"/>
        <v>28.480282641450618</v>
      </c>
      <c r="P15" t="s">
        <v>45</v>
      </c>
    </row>
    <row r="16" spans="1:16">
      <c r="A16">
        <v>14</v>
      </c>
      <c r="B16" t="s">
        <v>627</v>
      </c>
      <c r="C16" t="s">
        <v>683</v>
      </c>
      <c r="D16" t="s">
        <v>628</v>
      </c>
      <c r="E16" t="s">
        <v>72</v>
      </c>
      <c r="F16" t="s">
        <v>629</v>
      </c>
      <c r="G16">
        <v>22</v>
      </c>
      <c r="H16" s="27" t="s">
        <v>948</v>
      </c>
      <c r="I16" s="27" t="s">
        <v>987</v>
      </c>
      <c r="J16">
        <v>418.5</v>
      </c>
      <c r="K16">
        <v>329.9</v>
      </c>
      <c r="L16">
        <v>9207</v>
      </c>
      <c r="M16">
        <v>7257.7999999999993</v>
      </c>
      <c r="N16">
        <v>1949.2000000000005</v>
      </c>
      <c r="O16" s="17">
        <f t="shared" si="0"/>
        <v>26.856623219157331</v>
      </c>
      <c r="P16" t="s">
        <v>45</v>
      </c>
    </row>
    <row r="17" spans="1:16">
      <c r="A17">
        <v>15</v>
      </c>
      <c r="B17" t="s">
        <v>627</v>
      </c>
      <c r="C17" t="s">
        <v>683</v>
      </c>
      <c r="D17" t="s">
        <v>711</v>
      </c>
      <c r="E17" t="s">
        <v>72</v>
      </c>
      <c r="F17" t="s">
        <v>629</v>
      </c>
      <c r="G17">
        <v>2</v>
      </c>
      <c r="H17" s="27" t="s">
        <v>781</v>
      </c>
      <c r="I17" s="27" t="s">
        <v>987</v>
      </c>
      <c r="J17">
        <v>418.5</v>
      </c>
      <c r="K17">
        <v>369.88</v>
      </c>
      <c r="L17">
        <v>837</v>
      </c>
      <c r="M17">
        <v>739.76</v>
      </c>
      <c r="N17">
        <v>97.240000000000009</v>
      </c>
      <c r="O17" s="17">
        <f t="shared" si="0"/>
        <v>13.144803720125449</v>
      </c>
      <c r="P17" t="s">
        <v>45</v>
      </c>
    </row>
    <row r="18" spans="1:16">
      <c r="A18">
        <v>16</v>
      </c>
      <c r="B18" t="s">
        <v>627</v>
      </c>
      <c r="C18" t="s">
        <v>683</v>
      </c>
      <c r="D18" t="s">
        <v>711</v>
      </c>
      <c r="E18" t="s">
        <v>72</v>
      </c>
      <c r="F18" t="s">
        <v>629</v>
      </c>
      <c r="G18">
        <v>6</v>
      </c>
      <c r="H18" s="27" t="s">
        <v>770</v>
      </c>
      <c r="I18" s="27" t="s">
        <v>987</v>
      </c>
      <c r="J18">
        <v>418.5</v>
      </c>
      <c r="K18">
        <v>369.98</v>
      </c>
      <c r="L18">
        <v>2511</v>
      </c>
      <c r="M18">
        <v>2219.88</v>
      </c>
      <c r="N18">
        <v>291.11999999999989</v>
      </c>
      <c r="O18" s="17">
        <f t="shared" si="0"/>
        <v>13.114222390399474</v>
      </c>
      <c r="P18" t="s">
        <v>45</v>
      </c>
    </row>
    <row r="19" spans="1:16">
      <c r="A19">
        <v>17</v>
      </c>
      <c r="B19" t="s">
        <v>651</v>
      </c>
      <c r="C19" t="s">
        <v>653</v>
      </c>
      <c r="D19" t="s">
        <v>653</v>
      </c>
      <c r="E19" t="s">
        <v>72</v>
      </c>
      <c r="F19" t="s">
        <v>654</v>
      </c>
      <c r="G19">
        <v>15</v>
      </c>
      <c r="H19" s="27" t="s">
        <v>946</v>
      </c>
      <c r="I19" s="27" t="s">
        <v>988</v>
      </c>
      <c r="J19">
        <v>795</v>
      </c>
      <c r="K19">
        <v>749.3</v>
      </c>
      <c r="L19">
        <v>11925</v>
      </c>
      <c r="M19">
        <v>11239.5</v>
      </c>
      <c r="N19">
        <v>685.50000000000068</v>
      </c>
      <c r="O19" s="17">
        <f t="shared" si="0"/>
        <v>6.0990257573735551</v>
      </c>
      <c r="P19" t="s">
        <v>45</v>
      </c>
    </row>
    <row r="20" spans="1:16">
      <c r="A20">
        <v>18</v>
      </c>
      <c r="B20" t="s">
        <v>27</v>
      </c>
      <c r="C20">
        <v>500288</v>
      </c>
      <c r="D20" t="s">
        <v>104</v>
      </c>
      <c r="E20" t="s">
        <v>72</v>
      </c>
      <c r="F20" t="s">
        <v>105</v>
      </c>
      <c r="G20">
        <v>100</v>
      </c>
      <c r="H20" s="27" t="s">
        <v>947</v>
      </c>
      <c r="I20" s="27" t="s">
        <v>988</v>
      </c>
      <c r="J20">
        <v>45.85</v>
      </c>
      <c r="K20">
        <v>37.44</v>
      </c>
      <c r="L20">
        <v>4585</v>
      </c>
      <c r="M20">
        <v>3744</v>
      </c>
      <c r="N20">
        <v>841.00000000000034</v>
      </c>
      <c r="O20" s="17">
        <f t="shared" si="0"/>
        <v>22.462606837606849</v>
      </c>
      <c r="P20" t="s">
        <v>45</v>
      </c>
    </row>
    <row r="21" spans="1:16">
      <c r="A21">
        <v>19</v>
      </c>
      <c r="B21" t="s">
        <v>522</v>
      </c>
      <c r="C21" t="s">
        <v>523</v>
      </c>
      <c r="D21" t="s">
        <v>523</v>
      </c>
      <c r="E21" t="s">
        <v>72</v>
      </c>
      <c r="F21" t="s">
        <v>524</v>
      </c>
      <c r="G21">
        <v>100</v>
      </c>
      <c r="H21" s="27" t="s">
        <v>928</v>
      </c>
      <c r="I21" s="27" t="s">
        <v>988</v>
      </c>
      <c r="J21">
        <v>103.05</v>
      </c>
      <c r="K21">
        <v>96</v>
      </c>
      <c r="L21">
        <v>10305</v>
      </c>
      <c r="M21">
        <v>9600</v>
      </c>
      <c r="N21">
        <v>704.99999999999977</v>
      </c>
      <c r="O21" s="17">
        <f t="shared" si="0"/>
        <v>7.3437499999999973</v>
      </c>
      <c r="P21" t="s">
        <v>45</v>
      </c>
    </row>
    <row r="22" spans="1:16">
      <c r="A22">
        <v>20</v>
      </c>
      <c r="B22" t="s">
        <v>749</v>
      </c>
      <c r="C22" t="s">
        <v>742</v>
      </c>
      <c r="D22" t="s">
        <v>742</v>
      </c>
      <c r="E22" t="s">
        <v>72</v>
      </c>
      <c r="F22" t="s">
        <v>750</v>
      </c>
      <c r="G22">
        <v>100</v>
      </c>
      <c r="H22" s="27" t="s">
        <v>948</v>
      </c>
      <c r="I22" s="27" t="s">
        <v>988</v>
      </c>
      <c r="J22">
        <v>93</v>
      </c>
      <c r="K22">
        <v>87.79</v>
      </c>
      <c r="L22">
        <v>9300</v>
      </c>
      <c r="M22">
        <v>8779</v>
      </c>
      <c r="N22">
        <v>520.99999999999932</v>
      </c>
      <c r="O22" s="17">
        <f t="shared" si="0"/>
        <v>5.9346166989406459</v>
      </c>
      <c r="P22" t="s">
        <v>45</v>
      </c>
    </row>
    <row r="23" spans="1:16">
      <c r="A23">
        <v>21</v>
      </c>
      <c r="B23" t="s">
        <v>783</v>
      </c>
      <c r="C23" t="s">
        <v>784</v>
      </c>
      <c r="D23" t="s">
        <v>784</v>
      </c>
      <c r="E23" t="s">
        <v>72</v>
      </c>
      <c r="F23" t="s">
        <v>785</v>
      </c>
      <c r="G23">
        <v>10</v>
      </c>
      <c r="H23" s="27" t="s">
        <v>947</v>
      </c>
      <c r="I23" s="27" t="s">
        <v>988</v>
      </c>
      <c r="J23">
        <v>648.5</v>
      </c>
      <c r="K23">
        <v>494.14</v>
      </c>
      <c r="L23">
        <v>6485</v>
      </c>
      <c r="M23">
        <v>4941.3999999999996</v>
      </c>
      <c r="N23">
        <v>1543.6000000000001</v>
      </c>
      <c r="O23" s="17">
        <f t="shared" si="0"/>
        <v>31.238110656898861</v>
      </c>
      <c r="P23" t="s">
        <v>45</v>
      </c>
    </row>
    <row r="24" spans="1:16">
      <c r="A24">
        <v>22</v>
      </c>
      <c r="B24" t="s">
        <v>677</v>
      </c>
      <c r="C24" t="s">
        <v>678</v>
      </c>
      <c r="D24" t="s">
        <v>678</v>
      </c>
      <c r="E24" t="s">
        <v>72</v>
      </c>
      <c r="F24" t="s">
        <v>679</v>
      </c>
      <c r="G24">
        <v>15</v>
      </c>
      <c r="H24" s="27" t="s">
        <v>952</v>
      </c>
      <c r="I24" s="27" t="s">
        <v>988</v>
      </c>
      <c r="J24">
        <v>504</v>
      </c>
      <c r="K24">
        <v>420.11</v>
      </c>
      <c r="L24">
        <v>7560</v>
      </c>
      <c r="M24">
        <v>6301.6500000000005</v>
      </c>
      <c r="N24">
        <v>1258.3499999999999</v>
      </c>
      <c r="O24" s="17">
        <f t="shared" si="0"/>
        <v>19.968579657708691</v>
      </c>
      <c r="P24" t="s">
        <v>45</v>
      </c>
    </row>
    <row r="25" spans="1:16">
      <c r="A25">
        <v>23</v>
      </c>
      <c r="B25" t="s">
        <v>635</v>
      </c>
      <c r="C25" t="s">
        <v>633</v>
      </c>
      <c r="D25" t="s">
        <v>633</v>
      </c>
      <c r="E25" t="s">
        <v>72</v>
      </c>
      <c r="F25" t="s">
        <v>634</v>
      </c>
      <c r="G25">
        <v>3</v>
      </c>
      <c r="H25" s="27" t="s">
        <v>934</v>
      </c>
      <c r="I25" s="27" t="s">
        <v>988</v>
      </c>
      <c r="J25">
        <v>4193</v>
      </c>
      <c r="K25">
        <v>3934.38</v>
      </c>
      <c r="L25">
        <v>12579</v>
      </c>
      <c r="M25">
        <v>11803.14</v>
      </c>
      <c r="N25">
        <v>775.85999999999967</v>
      </c>
      <c r="O25" s="17">
        <f t="shared" si="0"/>
        <v>6.5733355700262788</v>
      </c>
      <c r="P25" t="s">
        <v>45</v>
      </c>
    </row>
    <row r="26" spans="1:16">
      <c r="A26">
        <v>24</v>
      </c>
      <c r="B26" t="s">
        <v>34</v>
      </c>
      <c r="C26" t="s">
        <v>115</v>
      </c>
      <c r="D26" t="s">
        <v>115</v>
      </c>
      <c r="E26" t="s">
        <v>72</v>
      </c>
      <c r="F26" t="s">
        <v>116</v>
      </c>
      <c r="G26">
        <v>120</v>
      </c>
      <c r="H26" s="27" t="s">
        <v>263</v>
      </c>
      <c r="I26" s="27" t="s">
        <v>988</v>
      </c>
      <c r="J26">
        <v>133.81</v>
      </c>
      <c r="K26">
        <v>112</v>
      </c>
      <c r="L26">
        <v>16057.2</v>
      </c>
      <c r="M26">
        <v>13440</v>
      </c>
      <c r="N26">
        <v>2617.2000000000003</v>
      </c>
      <c r="O26" s="17">
        <f t="shared" si="0"/>
        <v>19.473214285714288</v>
      </c>
      <c r="P26" t="s">
        <v>45</v>
      </c>
    </row>
    <row r="27" spans="1:16">
      <c r="A27">
        <v>25</v>
      </c>
      <c r="B27" t="s">
        <v>771</v>
      </c>
      <c r="C27" t="s">
        <v>895</v>
      </c>
      <c r="D27" t="s">
        <v>896</v>
      </c>
      <c r="E27" t="s">
        <v>72</v>
      </c>
      <c r="F27" t="s">
        <v>773</v>
      </c>
      <c r="G27">
        <v>25</v>
      </c>
      <c r="H27" s="27" t="s">
        <v>940</v>
      </c>
      <c r="I27" s="27" t="s">
        <v>989</v>
      </c>
      <c r="J27">
        <v>462.35</v>
      </c>
      <c r="K27">
        <v>371.19</v>
      </c>
      <c r="L27">
        <v>11558.75</v>
      </c>
      <c r="M27">
        <v>9279.75</v>
      </c>
      <c r="N27">
        <v>2279.0000000000005</v>
      </c>
      <c r="O27" s="17">
        <f t="shared" si="0"/>
        <v>24.558851262156853</v>
      </c>
      <c r="P27" t="s">
        <v>45</v>
      </c>
    </row>
    <row r="28" spans="1:16">
      <c r="A28">
        <v>26</v>
      </c>
      <c r="B28" t="s">
        <v>485</v>
      </c>
      <c r="C28" t="s">
        <v>486</v>
      </c>
      <c r="D28" t="s">
        <v>486</v>
      </c>
      <c r="E28" t="s">
        <v>72</v>
      </c>
      <c r="F28" t="s">
        <v>590</v>
      </c>
      <c r="G28">
        <v>5</v>
      </c>
      <c r="H28" s="27" t="s">
        <v>928</v>
      </c>
      <c r="I28" s="27" t="s">
        <v>989</v>
      </c>
      <c r="J28">
        <v>2560.9</v>
      </c>
      <c r="K28">
        <v>2404</v>
      </c>
      <c r="L28">
        <v>12804.5</v>
      </c>
      <c r="M28">
        <v>12020</v>
      </c>
      <c r="N28">
        <v>784.50000000000045</v>
      </c>
      <c r="O28" s="17">
        <f t="shared" si="0"/>
        <v>6.5266222961730485</v>
      </c>
      <c r="P28" t="s">
        <v>45</v>
      </c>
    </row>
    <row r="29" spans="1:16">
      <c r="A29">
        <v>27</v>
      </c>
      <c r="B29" t="s">
        <v>533</v>
      </c>
      <c r="C29" t="s">
        <v>534</v>
      </c>
      <c r="D29" t="s">
        <v>534</v>
      </c>
      <c r="E29" t="s">
        <v>72</v>
      </c>
      <c r="F29" t="s">
        <v>535</v>
      </c>
      <c r="G29">
        <v>4</v>
      </c>
      <c r="H29" s="27" t="s">
        <v>941</v>
      </c>
      <c r="I29" s="27" t="s">
        <v>989</v>
      </c>
      <c r="J29">
        <v>3381</v>
      </c>
      <c r="K29">
        <v>2775.46</v>
      </c>
      <c r="L29">
        <v>13524</v>
      </c>
      <c r="M29">
        <v>11101.84</v>
      </c>
      <c r="N29">
        <v>2422.16</v>
      </c>
      <c r="O29" s="17">
        <f t="shared" si="0"/>
        <v>21.81764464268986</v>
      </c>
      <c r="P29" t="s">
        <v>45</v>
      </c>
    </row>
    <row r="30" spans="1:16">
      <c r="A30">
        <v>28</v>
      </c>
      <c r="B30" t="s">
        <v>723</v>
      </c>
      <c r="C30" t="s">
        <v>840</v>
      </c>
      <c r="D30" t="s">
        <v>724</v>
      </c>
      <c r="E30" t="s">
        <v>72</v>
      </c>
      <c r="F30" t="s">
        <v>726</v>
      </c>
      <c r="G30">
        <v>16</v>
      </c>
      <c r="H30" s="27" t="s">
        <v>929</v>
      </c>
      <c r="I30" s="27" t="s">
        <v>989</v>
      </c>
      <c r="J30">
        <v>503.26</v>
      </c>
      <c r="K30">
        <v>475.23</v>
      </c>
      <c r="L30">
        <v>8052.16</v>
      </c>
      <c r="M30">
        <v>7603.68</v>
      </c>
      <c r="N30">
        <v>448.47999999999956</v>
      </c>
      <c r="O30" s="17">
        <f t="shared" si="0"/>
        <v>5.8981966626685969</v>
      </c>
      <c r="P30" t="s">
        <v>45</v>
      </c>
    </row>
    <row r="31" spans="1:16">
      <c r="A31">
        <v>29</v>
      </c>
      <c r="B31" t="s">
        <v>677</v>
      </c>
      <c r="C31" t="s">
        <v>678</v>
      </c>
      <c r="D31" t="s">
        <v>678</v>
      </c>
      <c r="E31" t="s">
        <v>72</v>
      </c>
      <c r="F31" t="s">
        <v>679</v>
      </c>
      <c r="G31">
        <v>30</v>
      </c>
      <c r="H31" s="27" t="s">
        <v>952</v>
      </c>
      <c r="I31" s="27" t="s">
        <v>989</v>
      </c>
      <c r="J31">
        <v>469.5</v>
      </c>
      <c r="K31">
        <v>420.11</v>
      </c>
      <c r="L31">
        <v>14085</v>
      </c>
      <c r="M31">
        <v>12603.300000000001</v>
      </c>
      <c r="N31">
        <v>1481.6999999999996</v>
      </c>
      <c r="O31" s="17">
        <f t="shared" si="0"/>
        <v>11.756444740663156</v>
      </c>
      <c r="P31" t="s">
        <v>45</v>
      </c>
    </row>
    <row r="32" spans="1:16">
      <c r="A32">
        <v>30</v>
      </c>
      <c r="B32" t="s">
        <v>522</v>
      </c>
      <c r="C32" t="s">
        <v>523</v>
      </c>
      <c r="D32" t="s">
        <v>523</v>
      </c>
      <c r="E32" t="s">
        <v>72</v>
      </c>
      <c r="F32" t="s">
        <v>524</v>
      </c>
      <c r="G32">
        <v>95</v>
      </c>
      <c r="H32" s="27" t="s">
        <v>928</v>
      </c>
      <c r="I32" s="27" t="s">
        <v>989</v>
      </c>
      <c r="J32">
        <v>97.69</v>
      </c>
      <c r="K32">
        <v>96</v>
      </c>
      <c r="L32">
        <v>9280.5499999999993</v>
      </c>
      <c r="M32">
        <v>9120</v>
      </c>
      <c r="N32">
        <v>160.54999999999978</v>
      </c>
      <c r="O32" s="17">
        <f t="shared" si="0"/>
        <v>1.7604166666666643</v>
      </c>
      <c r="P32" t="s">
        <v>45</v>
      </c>
    </row>
    <row r="33" spans="1:16">
      <c r="A33">
        <v>31</v>
      </c>
      <c r="B33" t="s">
        <v>650</v>
      </c>
      <c r="C33" t="s">
        <v>655</v>
      </c>
      <c r="D33" t="s">
        <v>655</v>
      </c>
      <c r="E33" t="s">
        <v>72</v>
      </c>
      <c r="F33" t="s">
        <v>656</v>
      </c>
      <c r="G33">
        <v>2</v>
      </c>
      <c r="H33" s="27" t="s">
        <v>941</v>
      </c>
      <c r="I33" s="27" t="s">
        <v>989</v>
      </c>
      <c r="J33">
        <v>5061.7</v>
      </c>
      <c r="K33">
        <v>4187.5</v>
      </c>
      <c r="L33">
        <v>10123.4</v>
      </c>
      <c r="M33">
        <v>8375</v>
      </c>
      <c r="N33">
        <v>1748.3999999999996</v>
      </c>
      <c r="O33" s="17">
        <f t="shared" si="0"/>
        <v>20.876417910447756</v>
      </c>
      <c r="P33" t="s">
        <v>45</v>
      </c>
    </row>
    <row r="34" spans="1:16">
      <c r="A34">
        <v>32</v>
      </c>
      <c r="B34" t="s">
        <v>746</v>
      </c>
      <c r="C34" t="s">
        <v>747</v>
      </c>
      <c r="D34" t="s">
        <v>747</v>
      </c>
      <c r="E34" t="s">
        <v>72</v>
      </c>
      <c r="F34" t="s">
        <v>748</v>
      </c>
      <c r="G34">
        <v>19</v>
      </c>
      <c r="H34" s="27" t="s">
        <v>928</v>
      </c>
      <c r="I34" s="27" t="s">
        <v>989</v>
      </c>
      <c r="J34">
        <v>611.80999999999995</v>
      </c>
      <c r="K34">
        <v>468</v>
      </c>
      <c r="L34">
        <v>11624.39</v>
      </c>
      <c r="M34">
        <v>8892</v>
      </c>
      <c r="N34">
        <v>2732.389999999999</v>
      </c>
      <c r="O34" s="17">
        <f t="shared" si="0"/>
        <v>30.728632478632466</v>
      </c>
      <c r="P34" t="s">
        <v>45</v>
      </c>
    </row>
    <row r="35" spans="1:16">
      <c r="A35">
        <v>33</v>
      </c>
      <c r="B35" t="s">
        <v>842</v>
      </c>
      <c r="C35" t="s">
        <v>843</v>
      </c>
      <c r="D35" t="s">
        <v>843</v>
      </c>
      <c r="E35" t="s">
        <v>72</v>
      </c>
      <c r="F35" t="s">
        <v>844</v>
      </c>
      <c r="G35">
        <v>5</v>
      </c>
      <c r="H35" s="27" t="s">
        <v>883</v>
      </c>
      <c r="I35" s="27" t="s">
        <v>989</v>
      </c>
      <c r="J35">
        <v>1062.6400000000001</v>
      </c>
      <c r="K35">
        <v>734.7</v>
      </c>
      <c r="L35">
        <v>5313.2000000000007</v>
      </c>
      <c r="M35">
        <v>3673.5</v>
      </c>
      <c r="N35">
        <v>1639.7000000000003</v>
      </c>
      <c r="O35" s="17">
        <f t="shared" si="0"/>
        <v>44.635905811896023</v>
      </c>
      <c r="P35" t="s">
        <v>45</v>
      </c>
    </row>
    <row r="36" spans="1:16">
      <c r="A36">
        <v>34</v>
      </c>
      <c r="B36" t="s">
        <v>842</v>
      </c>
      <c r="C36" t="s">
        <v>843</v>
      </c>
      <c r="D36" t="s">
        <v>843</v>
      </c>
      <c r="E36" t="s">
        <v>72</v>
      </c>
      <c r="F36" t="s">
        <v>844</v>
      </c>
      <c r="G36">
        <v>6</v>
      </c>
      <c r="H36" s="27" t="s">
        <v>871</v>
      </c>
      <c r="I36" s="27" t="s">
        <v>989</v>
      </c>
      <c r="J36">
        <v>1062.6400000000001</v>
      </c>
      <c r="K36">
        <v>789.95</v>
      </c>
      <c r="L36">
        <v>6375.84</v>
      </c>
      <c r="M36">
        <v>4739.7000000000007</v>
      </c>
      <c r="N36">
        <v>1636.1400000000003</v>
      </c>
      <c r="O36" s="17">
        <f t="shared" si="0"/>
        <v>34.519906323185012</v>
      </c>
      <c r="P36" t="s">
        <v>45</v>
      </c>
    </row>
    <row r="37" spans="1:16">
      <c r="A37">
        <v>35</v>
      </c>
      <c r="B37" t="s">
        <v>469</v>
      </c>
      <c r="C37" t="s">
        <v>467</v>
      </c>
      <c r="D37" t="s">
        <v>478</v>
      </c>
      <c r="E37" t="s">
        <v>72</v>
      </c>
      <c r="F37" t="s">
        <v>589</v>
      </c>
      <c r="G37">
        <v>30</v>
      </c>
      <c r="H37" s="27" t="s">
        <v>945</v>
      </c>
      <c r="I37" s="27" t="s">
        <v>989</v>
      </c>
      <c r="J37">
        <v>897.6</v>
      </c>
      <c r="K37">
        <v>816.3</v>
      </c>
      <c r="L37">
        <v>26928</v>
      </c>
      <c r="M37">
        <v>24489</v>
      </c>
      <c r="N37">
        <v>2439.0000000000018</v>
      </c>
      <c r="O37" s="17">
        <f t="shared" si="0"/>
        <v>9.9595736861448074</v>
      </c>
      <c r="P37" t="s">
        <v>45</v>
      </c>
    </row>
    <row r="38" spans="1:16">
      <c r="A38">
        <v>36</v>
      </c>
      <c r="B38" t="s">
        <v>751</v>
      </c>
      <c r="C38" t="s">
        <v>763</v>
      </c>
      <c r="D38" t="s">
        <v>752</v>
      </c>
      <c r="E38" t="s">
        <v>72</v>
      </c>
      <c r="F38" t="s">
        <v>754</v>
      </c>
      <c r="G38">
        <v>5</v>
      </c>
      <c r="H38" s="27" t="s">
        <v>987</v>
      </c>
      <c r="I38" s="27" t="s">
        <v>989</v>
      </c>
      <c r="J38">
        <v>2338</v>
      </c>
      <c r="K38">
        <v>2182.14</v>
      </c>
      <c r="L38">
        <v>11690</v>
      </c>
      <c r="M38">
        <v>10910.699999999999</v>
      </c>
      <c r="N38">
        <v>779.30000000000064</v>
      </c>
      <c r="O38" s="17">
        <f t="shared" si="0"/>
        <v>7.1425298101863373</v>
      </c>
      <c r="P38" t="s">
        <v>45</v>
      </c>
    </row>
    <row r="39" spans="1:16">
      <c r="A39">
        <v>37</v>
      </c>
      <c r="B39" t="s">
        <v>230</v>
      </c>
      <c r="C39" t="s">
        <v>117</v>
      </c>
      <c r="D39" t="s">
        <v>117</v>
      </c>
      <c r="E39" t="s">
        <v>72</v>
      </c>
      <c r="F39" t="s">
        <v>118</v>
      </c>
      <c r="G39">
        <v>56</v>
      </c>
      <c r="H39" s="27" t="s">
        <v>928</v>
      </c>
      <c r="I39" s="27" t="s">
        <v>989</v>
      </c>
      <c r="J39">
        <v>224.98</v>
      </c>
      <c r="K39">
        <v>236</v>
      </c>
      <c r="L39">
        <v>12598.88</v>
      </c>
      <c r="M39">
        <v>13216</v>
      </c>
      <c r="N39">
        <v>-617.12000000000057</v>
      </c>
      <c r="O39" s="17">
        <f t="shared" si="0"/>
        <v>-4.6694915254237337</v>
      </c>
      <c r="P39" t="s">
        <v>45</v>
      </c>
    </row>
    <row r="40" spans="1:16">
      <c r="A40">
        <v>38</v>
      </c>
      <c r="B40" t="s">
        <v>512</v>
      </c>
      <c r="C40" t="s">
        <v>511</v>
      </c>
      <c r="D40" t="s">
        <v>511</v>
      </c>
      <c r="E40" t="s">
        <v>72</v>
      </c>
      <c r="F40" t="s">
        <v>513</v>
      </c>
      <c r="G40">
        <v>3</v>
      </c>
      <c r="H40" s="27" t="s">
        <v>941</v>
      </c>
      <c r="I40" s="27" t="s">
        <v>989</v>
      </c>
      <c r="J40">
        <v>3141.6</v>
      </c>
      <c r="K40">
        <v>2644.16</v>
      </c>
      <c r="L40">
        <v>9424.7999999999993</v>
      </c>
      <c r="M40">
        <v>7932.48</v>
      </c>
      <c r="N40">
        <v>1492.3200000000002</v>
      </c>
      <c r="O40" s="17">
        <f t="shared" si="0"/>
        <v>18.812779862035583</v>
      </c>
      <c r="P40" t="s">
        <v>45</v>
      </c>
    </row>
    <row r="41" spans="1:16">
      <c r="A41">
        <v>39</v>
      </c>
      <c r="B41" t="s">
        <v>536</v>
      </c>
      <c r="C41" t="s">
        <v>537</v>
      </c>
      <c r="D41" t="s">
        <v>550</v>
      </c>
      <c r="E41" t="s">
        <v>72</v>
      </c>
      <c r="F41" t="s">
        <v>538</v>
      </c>
      <c r="G41">
        <v>5</v>
      </c>
      <c r="H41" s="27" t="s">
        <v>948</v>
      </c>
      <c r="I41" s="27" t="s">
        <v>989</v>
      </c>
      <c r="J41">
        <v>5024</v>
      </c>
      <c r="K41">
        <v>4435.8</v>
      </c>
      <c r="L41">
        <v>25120</v>
      </c>
      <c r="M41">
        <v>22179</v>
      </c>
      <c r="N41">
        <v>2940.9999999999991</v>
      </c>
      <c r="O41" s="17">
        <f t="shared" si="0"/>
        <v>13.260291266513365</v>
      </c>
      <c r="P41" t="s">
        <v>45</v>
      </c>
    </row>
    <row r="42" spans="1:16">
      <c r="A42">
        <v>40</v>
      </c>
      <c r="B42" t="s">
        <v>12</v>
      </c>
      <c r="C42" t="s">
        <v>410</v>
      </c>
      <c r="D42" t="s">
        <v>81</v>
      </c>
      <c r="E42" t="s">
        <v>72</v>
      </c>
      <c r="F42" t="s">
        <v>82</v>
      </c>
      <c r="G42">
        <v>16</v>
      </c>
      <c r="H42" s="27" t="s">
        <v>947</v>
      </c>
      <c r="I42" s="27" t="s">
        <v>989</v>
      </c>
      <c r="J42">
        <v>781.18</v>
      </c>
      <c r="K42">
        <v>686.2</v>
      </c>
      <c r="L42">
        <v>12498.88</v>
      </c>
      <c r="M42">
        <v>10979.2</v>
      </c>
      <c r="N42">
        <v>1519.6799999999985</v>
      </c>
      <c r="O42" s="17">
        <f t="shared" si="0"/>
        <v>13.841445642669761</v>
      </c>
      <c r="P42" t="s">
        <v>45</v>
      </c>
    </row>
    <row r="43" spans="1:16">
      <c r="A43">
        <v>41</v>
      </c>
      <c r="B43" t="s">
        <v>441</v>
      </c>
      <c r="C43" t="s">
        <v>445</v>
      </c>
      <c r="D43" t="s">
        <v>445</v>
      </c>
      <c r="E43" t="s">
        <v>72</v>
      </c>
      <c r="F43" t="s">
        <v>584</v>
      </c>
      <c r="G43">
        <v>10</v>
      </c>
      <c r="H43" s="27" t="s">
        <v>945</v>
      </c>
      <c r="I43" s="27" t="s">
        <v>990</v>
      </c>
      <c r="J43">
        <v>1640.15</v>
      </c>
      <c r="K43">
        <v>1385.15</v>
      </c>
      <c r="L43">
        <v>16401.5</v>
      </c>
      <c r="M43">
        <v>13851.5</v>
      </c>
      <c r="N43">
        <v>2550</v>
      </c>
      <c r="O43" s="17">
        <f t="shared" si="0"/>
        <v>18.409558531566979</v>
      </c>
      <c r="P43" t="s">
        <v>45</v>
      </c>
    </row>
    <row r="44" spans="1:16">
      <c r="A44">
        <v>42</v>
      </c>
      <c r="B44" t="s">
        <v>674</v>
      </c>
      <c r="C44" t="s">
        <v>675</v>
      </c>
      <c r="D44" t="s">
        <v>675</v>
      </c>
      <c r="E44" t="s">
        <v>72</v>
      </c>
      <c r="F44" t="s">
        <v>676</v>
      </c>
      <c r="G44">
        <v>20</v>
      </c>
      <c r="H44" s="27" t="s">
        <v>941</v>
      </c>
      <c r="I44" s="27" t="s">
        <v>990</v>
      </c>
      <c r="J44">
        <v>577.9</v>
      </c>
      <c r="K44">
        <v>508.95</v>
      </c>
      <c r="L44">
        <v>11558</v>
      </c>
      <c r="M44">
        <v>10179</v>
      </c>
      <c r="N44">
        <v>1378.9999999999998</v>
      </c>
      <c r="O44" s="17">
        <f t="shared" si="0"/>
        <v>13.547499754396304</v>
      </c>
      <c r="P44" t="s">
        <v>45</v>
      </c>
    </row>
    <row r="45" spans="1:16">
      <c r="A45">
        <v>43</v>
      </c>
      <c r="B45" t="s">
        <v>539</v>
      </c>
      <c r="C45" t="s">
        <v>540</v>
      </c>
      <c r="D45" t="s">
        <v>540</v>
      </c>
      <c r="E45" t="s">
        <v>72</v>
      </c>
      <c r="F45" t="s">
        <v>541</v>
      </c>
      <c r="G45">
        <v>11</v>
      </c>
      <c r="H45" s="27" t="s">
        <v>934</v>
      </c>
      <c r="I45" s="27" t="s">
        <v>990</v>
      </c>
      <c r="J45">
        <v>1106.97</v>
      </c>
      <c r="K45">
        <v>1051.07</v>
      </c>
      <c r="L45">
        <v>12176.67</v>
      </c>
      <c r="M45">
        <v>11561.769999999999</v>
      </c>
      <c r="N45">
        <v>614.900000000001</v>
      </c>
      <c r="O45" s="17">
        <f t="shared" si="0"/>
        <v>5.3183898313147644</v>
      </c>
      <c r="P45" t="s">
        <v>45</v>
      </c>
    </row>
    <row r="46" spans="1:16">
      <c r="A46">
        <v>44</v>
      </c>
      <c r="B46" t="s">
        <v>27</v>
      </c>
      <c r="C46">
        <v>500288</v>
      </c>
      <c r="D46" t="s">
        <v>104</v>
      </c>
      <c r="E46" t="s">
        <v>72</v>
      </c>
      <c r="F46" t="s">
        <v>105</v>
      </c>
      <c r="G46">
        <v>100</v>
      </c>
      <c r="H46" s="27" t="s">
        <v>947</v>
      </c>
      <c r="I46" s="27" t="s">
        <v>990</v>
      </c>
      <c r="J46">
        <v>43.15</v>
      </c>
      <c r="K46">
        <v>37.44</v>
      </c>
      <c r="L46">
        <v>4315</v>
      </c>
      <c r="M46">
        <v>3744</v>
      </c>
      <c r="N46">
        <v>571.00000000000011</v>
      </c>
      <c r="O46" s="17">
        <f t="shared" si="0"/>
        <v>15.25106837606838</v>
      </c>
      <c r="P46" t="s">
        <v>45</v>
      </c>
    </row>
    <row r="47" spans="1:16">
      <c r="A47">
        <v>45</v>
      </c>
      <c r="B47" t="s">
        <v>522</v>
      </c>
      <c r="C47" t="s">
        <v>523</v>
      </c>
      <c r="D47" t="s">
        <v>523</v>
      </c>
      <c r="E47" t="s">
        <v>72</v>
      </c>
      <c r="F47" t="s">
        <v>524</v>
      </c>
      <c r="G47">
        <v>100</v>
      </c>
      <c r="H47" s="27" t="s">
        <v>928</v>
      </c>
      <c r="I47" s="27" t="s">
        <v>990</v>
      </c>
      <c r="J47">
        <v>91.35</v>
      </c>
      <c r="K47">
        <v>96</v>
      </c>
      <c r="L47">
        <v>9135</v>
      </c>
      <c r="M47">
        <v>9600</v>
      </c>
      <c r="N47">
        <v>-465.00000000000057</v>
      </c>
      <c r="O47" s="17">
        <f t="shared" si="0"/>
        <v>-4.8437500000000062</v>
      </c>
      <c r="P47" t="s">
        <v>45</v>
      </c>
    </row>
    <row r="48" spans="1:16">
      <c r="A48">
        <v>46</v>
      </c>
      <c r="B48" t="s">
        <v>723</v>
      </c>
      <c r="C48" t="s">
        <v>840</v>
      </c>
      <c r="D48" t="s">
        <v>724</v>
      </c>
      <c r="E48" t="s">
        <v>72</v>
      </c>
      <c r="F48" t="s">
        <v>726</v>
      </c>
      <c r="G48">
        <v>4</v>
      </c>
      <c r="H48" s="27" t="s">
        <v>929</v>
      </c>
      <c r="I48" s="27" t="s">
        <v>990</v>
      </c>
      <c r="J48">
        <v>503.63</v>
      </c>
      <c r="K48">
        <v>475.23</v>
      </c>
      <c r="L48">
        <v>2014.52</v>
      </c>
      <c r="M48">
        <v>1900.92</v>
      </c>
      <c r="N48">
        <v>113.59999999999991</v>
      </c>
      <c r="O48" s="17">
        <f t="shared" si="0"/>
        <v>5.9760537003135275</v>
      </c>
      <c r="P48" t="s">
        <v>45</v>
      </c>
    </row>
    <row r="49" spans="1:16">
      <c r="A49">
        <v>47</v>
      </c>
      <c r="B49" t="s">
        <v>650</v>
      </c>
      <c r="C49" t="s">
        <v>655</v>
      </c>
      <c r="D49" t="s">
        <v>655</v>
      </c>
      <c r="E49" t="s">
        <v>72</v>
      </c>
      <c r="F49" t="s">
        <v>656</v>
      </c>
      <c r="G49">
        <v>2</v>
      </c>
      <c r="H49" s="27" t="s">
        <v>941</v>
      </c>
      <c r="I49" s="27" t="s">
        <v>990</v>
      </c>
      <c r="J49">
        <v>4742.5</v>
      </c>
      <c r="K49">
        <v>4187.5</v>
      </c>
      <c r="L49">
        <v>9485</v>
      </c>
      <c r="M49">
        <v>8375</v>
      </c>
      <c r="N49">
        <v>1110</v>
      </c>
      <c r="O49" s="17">
        <f t="shared" si="0"/>
        <v>13.253731343283581</v>
      </c>
      <c r="P49" t="s">
        <v>45</v>
      </c>
    </row>
    <row r="50" spans="1:16">
      <c r="A50">
        <v>48</v>
      </c>
      <c r="B50" t="s">
        <v>25</v>
      </c>
      <c r="C50" t="s">
        <v>100</v>
      </c>
      <c r="D50" t="s">
        <v>100</v>
      </c>
      <c r="E50" t="s">
        <v>72</v>
      </c>
      <c r="F50" t="s">
        <v>101</v>
      </c>
      <c r="G50">
        <v>26</v>
      </c>
      <c r="H50" s="27" t="s">
        <v>928</v>
      </c>
      <c r="I50" s="27" t="s">
        <v>990</v>
      </c>
      <c r="J50">
        <v>380.02</v>
      </c>
      <c r="K50">
        <v>339</v>
      </c>
      <c r="L50">
        <v>9880.52</v>
      </c>
      <c r="M50">
        <v>8814</v>
      </c>
      <c r="N50">
        <v>1066.5199999999995</v>
      </c>
      <c r="O50" s="17">
        <f t="shared" si="0"/>
        <v>12.100294985250732</v>
      </c>
      <c r="P50" t="s">
        <v>45</v>
      </c>
    </row>
    <row r="51" spans="1:16">
      <c r="A51">
        <v>49</v>
      </c>
      <c r="B51" t="s">
        <v>475</v>
      </c>
      <c r="C51" t="s">
        <v>476</v>
      </c>
      <c r="D51" t="s">
        <v>477</v>
      </c>
      <c r="E51" t="s">
        <v>72</v>
      </c>
      <c r="F51" t="s">
        <v>588</v>
      </c>
      <c r="G51">
        <v>7</v>
      </c>
      <c r="H51" s="27" t="s">
        <v>945</v>
      </c>
      <c r="I51" s="27" t="s">
        <v>990</v>
      </c>
      <c r="J51">
        <v>1657.86</v>
      </c>
      <c r="K51">
        <v>1570.79</v>
      </c>
      <c r="L51">
        <v>11605.019999999999</v>
      </c>
      <c r="M51">
        <v>10995.529999999999</v>
      </c>
      <c r="N51">
        <v>609.48999999999955</v>
      </c>
      <c r="O51" s="17">
        <f t="shared" si="0"/>
        <v>5.5430706841780211</v>
      </c>
      <c r="P51" t="s">
        <v>45</v>
      </c>
    </row>
    <row r="52" spans="1:16">
      <c r="A52">
        <v>50</v>
      </c>
      <c r="B52" t="s">
        <v>10</v>
      </c>
      <c r="C52" t="s">
        <v>78</v>
      </c>
      <c r="D52" t="s">
        <v>78</v>
      </c>
      <c r="E52" t="s">
        <v>72</v>
      </c>
      <c r="F52" t="s">
        <v>79</v>
      </c>
      <c r="G52">
        <v>6</v>
      </c>
      <c r="H52" s="27" t="s">
        <v>146</v>
      </c>
      <c r="I52" s="27" t="s">
        <v>990</v>
      </c>
      <c r="J52">
        <v>216.35</v>
      </c>
      <c r="K52">
        <v>141.94999999999999</v>
      </c>
      <c r="L52">
        <v>1298.0999999999999</v>
      </c>
      <c r="M52">
        <v>851.69999999999993</v>
      </c>
      <c r="N52">
        <v>446.40000000000003</v>
      </c>
      <c r="O52" s="17">
        <f t="shared" si="0"/>
        <v>52.412821415991552</v>
      </c>
      <c r="P52" t="s">
        <v>45</v>
      </c>
    </row>
    <row r="53" spans="1:16">
      <c r="A53">
        <v>51</v>
      </c>
      <c r="B53" t="s">
        <v>566</v>
      </c>
      <c r="C53" t="s">
        <v>567</v>
      </c>
      <c r="D53" t="s">
        <v>567</v>
      </c>
      <c r="E53" t="s">
        <v>72</v>
      </c>
      <c r="F53" t="s">
        <v>585</v>
      </c>
      <c r="G53">
        <v>26</v>
      </c>
      <c r="H53" s="27" t="s">
        <v>928</v>
      </c>
      <c r="I53" s="27" t="s">
        <v>1016</v>
      </c>
      <c r="J53">
        <v>543.02</v>
      </c>
      <c r="K53">
        <v>443</v>
      </c>
      <c r="L53">
        <v>14118.52</v>
      </c>
      <c r="M53">
        <v>11518</v>
      </c>
      <c r="N53">
        <v>2600.5199999999995</v>
      </c>
      <c r="O53" s="17">
        <f t="shared" si="0"/>
        <v>22.577878103837467</v>
      </c>
      <c r="P53" t="s">
        <v>45</v>
      </c>
    </row>
    <row r="54" spans="1:16">
      <c r="A54">
        <v>52</v>
      </c>
      <c r="B54" t="s">
        <v>771</v>
      </c>
      <c r="C54" t="s">
        <v>895</v>
      </c>
      <c r="D54" t="s">
        <v>896</v>
      </c>
      <c r="E54" t="s">
        <v>72</v>
      </c>
      <c r="F54" t="s">
        <v>773</v>
      </c>
      <c r="G54">
        <v>8</v>
      </c>
      <c r="H54" s="27" t="s">
        <v>940</v>
      </c>
      <c r="I54" s="27" t="s">
        <v>1017</v>
      </c>
      <c r="J54">
        <v>484.4</v>
      </c>
      <c r="K54">
        <v>371.19</v>
      </c>
      <c r="L54">
        <v>3875.2</v>
      </c>
      <c r="M54">
        <v>2969.52</v>
      </c>
      <c r="N54">
        <v>905.67999999999984</v>
      </c>
      <c r="O54" s="17">
        <f t="shared" si="0"/>
        <v>30.499205258762352</v>
      </c>
      <c r="P54" t="s">
        <v>45</v>
      </c>
    </row>
    <row r="55" spans="1:16">
      <c r="A55">
        <v>53</v>
      </c>
      <c r="B55" t="s">
        <v>771</v>
      </c>
      <c r="C55" t="s">
        <v>895</v>
      </c>
      <c r="D55" t="s">
        <v>896</v>
      </c>
      <c r="E55" t="s">
        <v>72</v>
      </c>
      <c r="F55" t="s">
        <v>773</v>
      </c>
      <c r="G55">
        <v>17</v>
      </c>
      <c r="H55" s="27" t="s">
        <v>951</v>
      </c>
      <c r="I55" s="27" t="s">
        <v>1017</v>
      </c>
      <c r="J55">
        <v>484.4</v>
      </c>
      <c r="K55">
        <v>418.21</v>
      </c>
      <c r="L55">
        <v>8234.7999999999993</v>
      </c>
      <c r="M55">
        <v>7109.57</v>
      </c>
      <c r="N55">
        <v>1125.23</v>
      </c>
      <c r="O55" s="17">
        <f t="shared" si="0"/>
        <v>15.826976877645205</v>
      </c>
      <c r="P55" t="s">
        <v>45</v>
      </c>
    </row>
    <row r="56" spans="1:16">
      <c r="A56">
        <v>54</v>
      </c>
      <c r="B56" t="s">
        <v>26</v>
      </c>
      <c r="C56" t="s">
        <v>102</v>
      </c>
      <c r="D56" t="s">
        <v>102</v>
      </c>
      <c r="E56" t="s">
        <v>72</v>
      </c>
      <c r="F56" t="s">
        <v>103</v>
      </c>
      <c r="G56">
        <v>25</v>
      </c>
      <c r="H56" s="27" t="s">
        <v>947</v>
      </c>
      <c r="I56" s="27" t="s">
        <v>1017</v>
      </c>
      <c r="J56">
        <v>122.2</v>
      </c>
      <c r="K56">
        <v>111.53</v>
      </c>
      <c r="L56">
        <v>3055</v>
      </c>
      <c r="M56">
        <v>2788.25</v>
      </c>
      <c r="N56">
        <v>266.75000000000006</v>
      </c>
      <c r="O56" s="17">
        <f t="shared" si="0"/>
        <v>9.5669326638572603</v>
      </c>
      <c r="P56" t="s">
        <v>45</v>
      </c>
    </row>
    <row r="57" spans="1:16">
      <c r="A57">
        <v>55</v>
      </c>
      <c r="B57" t="s">
        <v>34</v>
      </c>
      <c r="C57" t="s">
        <v>115</v>
      </c>
      <c r="D57" t="s">
        <v>115</v>
      </c>
      <c r="E57" t="s">
        <v>72</v>
      </c>
      <c r="F57" t="s">
        <v>116</v>
      </c>
      <c r="G57">
        <v>76</v>
      </c>
      <c r="H57" s="27" t="s">
        <v>258</v>
      </c>
      <c r="I57" s="27" t="s">
        <v>1017</v>
      </c>
      <c r="J57">
        <v>140.94999999999999</v>
      </c>
      <c r="K57">
        <v>110.15</v>
      </c>
      <c r="L57">
        <v>10712.199999999999</v>
      </c>
      <c r="M57">
        <v>8371.4</v>
      </c>
      <c r="N57">
        <v>2340.7999999999988</v>
      </c>
      <c r="O57" s="17">
        <f t="shared" si="0"/>
        <v>27.961870177031308</v>
      </c>
      <c r="P57" t="s">
        <v>45</v>
      </c>
    </row>
    <row r="58" spans="1:16">
      <c r="A58">
        <v>56</v>
      </c>
      <c r="B58" t="s">
        <v>34</v>
      </c>
      <c r="C58" t="s">
        <v>115</v>
      </c>
      <c r="D58" t="s">
        <v>115</v>
      </c>
      <c r="E58" t="s">
        <v>72</v>
      </c>
      <c r="F58" t="s">
        <v>116</v>
      </c>
      <c r="G58">
        <v>24</v>
      </c>
      <c r="H58" s="27" t="s">
        <v>255</v>
      </c>
      <c r="I58" s="27" t="s">
        <v>1017</v>
      </c>
      <c r="J58">
        <v>140.94999999999999</v>
      </c>
      <c r="K58">
        <v>125.01</v>
      </c>
      <c r="L58">
        <v>3382.7999999999997</v>
      </c>
      <c r="M58">
        <v>3000.2400000000002</v>
      </c>
      <c r="N58">
        <v>382.5599999999996</v>
      </c>
      <c r="O58" s="17">
        <f t="shared" si="0"/>
        <v>12.750979921606257</v>
      </c>
      <c r="P58" t="s">
        <v>45</v>
      </c>
    </row>
    <row r="59" spans="1:16">
      <c r="A59">
        <v>57</v>
      </c>
      <c r="B59" t="s">
        <v>969</v>
      </c>
      <c r="C59" t="s">
        <v>970</v>
      </c>
      <c r="D59" t="s">
        <v>970</v>
      </c>
      <c r="E59" t="s">
        <v>72</v>
      </c>
      <c r="F59" t="s">
        <v>919</v>
      </c>
      <c r="G59">
        <v>6</v>
      </c>
      <c r="H59" s="27" t="s">
        <v>928</v>
      </c>
      <c r="I59" s="27" t="s">
        <v>1017</v>
      </c>
      <c r="J59">
        <v>1667.5</v>
      </c>
      <c r="K59">
        <v>1500</v>
      </c>
      <c r="L59">
        <v>10005</v>
      </c>
      <c r="M59">
        <v>9000</v>
      </c>
      <c r="N59">
        <v>1005</v>
      </c>
      <c r="O59" s="17">
        <f t="shared" si="0"/>
        <v>11.166666666666666</v>
      </c>
      <c r="P59" t="s">
        <v>45</v>
      </c>
    </row>
    <row r="60" spans="1:16">
      <c r="A60">
        <v>58</v>
      </c>
      <c r="B60" t="s">
        <v>651</v>
      </c>
      <c r="C60" t="s">
        <v>653</v>
      </c>
      <c r="D60" t="s">
        <v>653</v>
      </c>
      <c r="E60" t="s">
        <v>72</v>
      </c>
      <c r="F60" t="s">
        <v>654</v>
      </c>
      <c r="G60">
        <v>20</v>
      </c>
      <c r="H60" s="27" t="s">
        <v>946</v>
      </c>
      <c r="I60" s="27" t="s">
        <v>1017</v>
      </c>
      <c r="J60">
        <v>913.55</v>
      </c>
      <c r="K60">
        <v>749.3</v>
      </c>
      <c r="L60">
        <v>18271</v>
      </c>
      <c r="M60">
        <v>14986</v>
      </c>
      <c r="N60">
        <v>3285</v>
      </c>
      <c r="O60" s="17">
        <f t="shared" si="0"/>
        <v>21.920459095155476</v>
      </c>
      <c r="P60" t="s">
        <v>45</v>
      </c>
    </row>
    <row r="61" spans="1:16">
      <c r="A61">
        <v>59</v>
      </c>
      <c r="B61" t="s">
        <v>475</v>
      </c>
      <c r="C61" t="s">
        <v>476</v>
      </c>
      <c r="D61" t="s">
        <v>477</v>
      </c>
      <c r="E61" t="s">
        <v>72</v>
      </c>
      <c r="F61" t="s">
        <v>588</v>
      </c>
      <c r="G61">
        <v>5</v>
      </c>
      <c r="H61" s="27" t="s">
        <v>945</v>
      </c>
      <c r="I61" s="27" t="s">
        <v>1018</v>
      </c>
      <c r="J61">
        <v>1747.86</v>
      </c>
      <c r="K61">
        <v>1570.79</v>
      </c>
      <c r="L61">
        <v>8739.2999999999993</v>
      </c>
      <c r="M61">
        <v>7853.95</v>
      </c>
      <c r="N61">
        <v>885.34999999999968</v>
      </c>
      <c r="O61" s="17">
        <f t="shared" si="0"/>
        <v>11.272671712959717</v>
      </c>
      <c r="P61" t="s">
        <v>45</v>
      </c>
    </row>
    <row r="62" spans="1:16">
      <c r="A62">
        <v>60</v>
      </c>
      <c r="B62" t="s">
        <v>475</v>
      </c>
      <c r="C62" t="s">
        <v>476</v>
      </c>
      <c r="D62" t="s">
        <v>477</v>
      </c>
      <c r="E62" t="s">
        <v>72</v>
      </c>
      <c r="F62" t="s">
        <v>588</v>
      </c>
      <c r="G62">
        <v>2</v>
      </c>
      <c r="H62" s="27" t="s">
        <v>841</v>
      </c>
      <c r="I62" s="27" t="s">
        <v>1018</v>
      </c>
      <c r="J62">
        <v>1747.86</v>
      </c>
      <c r="K62">
        <v>1659.9</v>
      </c>
      <c r="L62">
        <v>3495.72</v>
      </c>
      <c r="M62">
        <v>3319.8</v>
      </c>
      <c r="N62">
        <v>175.91999999999962</v>
      </c>
      <c r="O62" s="17">
        <f t="shared" si="0"/>
        <v>5.2991144044821858</v>
      </c>
      <c r="P62" t="s">
        <v>45</v>
      </c>
    </row>
    <row r="63" spans="1:16">
      <c r="A63">
        <v>61</v>
      </c>
      <c r="B63" t="s">
        <v>630</v>
      </c>
      <c r="C63" t="s">
        <v>631</v>
      </c>
      <c r="D63" t="s">
        <v>631</v>
      </c>
      <c r="E63" t="s">
        <v>72</v>
      </c>
      <c r="F63" t="s">
        <v>632</v>
      </c>
      <c r="G63">
        <v>4</v>
      </c>
      <c r="H63" s="27" t="s">
        <v>928</v>
      </c>
      <c r="I63" s="27" t="s">
        <v>1018</v>
      </c>
      <c r="J63">
        <v>3231.25</v>
      </c>
      <c r="K63">
        <v>3035</v>
      </c>
      <c r="L63">
        <v>12925</v>
      </c>
      <c r="M63">
        <v>12140</v>
      </c>
      <c r="N63">
        <v>785</v>
      </c>
      <c r="O63" s="17">
        <f t="shared" si="0"/>
        <v>6.466227347611202</v>
      </c>
      <c r="P63" t="s">
        <v>45</v>
      </c>
    </row>
    <row r="64" spans="1:16">
      <c r="A64">
        <v>62</v>
      </c>
      <c r="B64" t="s">
        <v>651</v>
      </c>
      <c r="C64" t="s">
        <v>653</v>
      </c>
      <c r="D64" t="s">
        <v>653</v>
      </c>
      <c r="E64" t="s">
        <v>72</v>
      </c>
      <c r="F64" t="s">
        <v>654</v>
      </c>
      <c r="G64">
        <v>15</v>
      </c>
      <c r="H64" s="27" t="s">
        <v>946</v>
      </c>
      <c r="I64" s="27" t="s">
        <v>1018</v>
      </c>
      <c r="J64">
        <v>837</v>
      </c>
      <c r="K64">
        <v>749.3</v>
      </c>
      <c r="L64">
        <v>12555</v>
      </c>
      <c r="M64">
        <v>11239.5</v>
      </c>
      <c r="N64">
        <v>1315.5000000000007</v>
      </c>
      <c r="O64" s="17">
        <f t="shared" si="0"/>
        <v>11.704257306819704</v>
      </c>
      <c r="P64" t="s">
        <v>45</v>
      </c>
    </row>
    <row r="65" spans="1:16">
      <c r="A65">
        <v>63</v>
      </c>
      <c r="B65" t="s">
        <v>894</v>
      </c>
      <c r="C65" t="s">
        <v>898</v>
      </c>
      <c r="D65" t="s">
        <v>898</v>
      </c>
      <c r="E65" t="s">
        <v>72</v>
      </c>
      <c r="F65" t="s">
        <v>899</v>
      </c>
      <c r="G65">
        <v>1</v>
      </c>
      <c r="H65" s="27" t="s">
        <v>935</v>
      </c>
      <c r="I65" s="27" t="s">
        <v>1018</v>
      </c>
      <c r="J65">
        <v>4640</v>
      </c>
      <c r="K65">
        <v>4772</v>
      </c>
      <c r="L65">
        <v>4640</v>
      </c>
      <c r="M65">
        <v>4772</v>
      </c>
      <c r="N65">
        <v>-132</v>
      </c>
      <c r="O65" s="17">
        <f t="shared" si="0"/>
        <v>-2.7661357921207044</v>
      </c>
      <c r="P65" t="s">
        <v>45</v>
      </c>
    </row>
    <row r="66" spans="1:16">
      <c r="A66">
        <v>64</v>
      </c>
      <c r="B66" t="s">
        <v>894</v>
      </c>
      <c r="C66" t="s">
        <v>898</v>
      </c>
      <c r="D66" t="s">
        <v>898</v>
      </c>
      <c r="E66" t="s">
        <v>72</v>
      </c>
      <c r="F66" t="s">
        <v>899</v>
      </c>
      <c r="G66">
        <v>2</v>
      </c>
      <c r="H66" s="27" t="s">
        <v>947</v>
      </c>
      <c r="I66" s="27" t="s">
        <v>1018</v>
      </c>
      <c r="J66">
        <v>4640</v>
      </c>
      <c r="K66">
        <v>4246.5</v>
      </c>
      <c r="L66">
        <v>9280</v>
      </c>
      <c r="M66">
        <v>8493</v>
      </c>
      <c r="N66">
        <v>787</v>
      </c>
      <c r="O66" s="17">
        <f t="shared" si="0"/>
        <v>9.2664547274225821</v>
      </c>
      <c r="P66" t="s">
        <v>45</v>
      </c>
    </row>
    <row r="67" spans="1:16">
      <c r="A67">
        <v>65</v>
      </c>
      <c r="B67" t="s">
        <v>893</v>
      </c>
      <c r="C67" t="s">
        <v>904</v>
      </c>
      <c r="D67" t="s">
        <v>904</v>
      </c>
      <c r="E67" t="s">
        <v>72</v>
      </c>
      <c r="F67" t="s">
        <v>905</v>
      </c>
      <c r="G67">
        <v>12</v>
      </c>
      <c r="H67" s="27" t="s">
        <v>941</v>
      </c>
      <c r="I67" s="27" t="s">
        <v>1018</v>
      </c>
      <c r="J67">
        <v>996.4</v>
      </c>
      <c r="K67">
        <v>940.02</v>
      </c>
      <c r="L67">
        <v>11956.8</v>
      </c>
      <c r="M67">
        <v>11280.24</v>
      </c>
      <c r="N67">
        <v>676.56</v>
      </c>
      <c r="O67" s="17">
        <f t="shared" si="0"/>
        <v>5.9977447288355563</v>
      </c>
      <c r="P67" t="s">
        <v>45</v>
      </c>
    </row>
    <row r="68" spans="1:16">
      <c r="A68">
        <v>66</v>
      </c>
      <c r="B68" t="s">
        <v>812</v>
      </c>
      <c r="C68" t="s">
        <v>813</v>
      </c>
      <c r="D68" t="s">
        <v>815</v>
      </c>
      <c r="E68" t="s">
        <v>72</v>
      </c>
      <c r="F68" t="s">
        <v>814</v>
      </c>
      <c r="G68">
        <v>30</v>
      </c>
      <c r="H68" s="27" t="s">
        <v>947</v>
      </c>
      <c r="I68" s="27" t="s">
        <v>1019</v>
      </c>
      <c r="J68">
        <v>348</v>
      </c>
      <c r="K68">
        <v>293.64</v>
      </c>
      <c r="L68">
        <v>10440</v>
      </c>
      <c r="M68">
        <v>8809.1999999999989</v>
      </c>
      <c r="N68">
        <v>1630.8000000000004</v>
      </c>
      <c r="O68" s="17">
        <f t="shared" ref="O68:O131" si="1">N68/M68%</f>
        <v>18.5124642419289</v>
      </c>
      <c r="P68" t="s">
        <v>45</v>
      </c>
    </row>
    <row r="69" spans="1:16">
      <c r="A69">
        <v>67</v>
      </c>
      <c r="B69" t="s">
        <v>68</v>
      </c>
      <c r="C69">
        <v>500235</v>
      </c>
      <c r="D69" t="s">
        <v>98</v>
      </c>
      <c r="E69" t="s">
        <v>72</v>
      </c>
      <c r="F69" t="s">
        <v>99</v>
      </c>
      <c r="G69">
        <v>30</v>
      </c>
      <c r="H69" s="27" t="s">
        <v>928</v>
      </c>
      <c r="I69" s="27" t="s">
        <v>1019</v>
      </c>
      <c r="J69">
        <v>335.12</v>
      </c>
      <c r="K69">
        <v>281</v>
      </c>
      <c r="L69">
        <v>10053.6</v>
      </c>
      <c r="M69">
        <v>8430</v>
      </c>
      <c r="N69">
        <v>1623.6000000000001</v>
      </c>
      <c r="O69" s="17">
        <f t="shared" si="1"/>
        <v>19.259786476868328</v>
      </c>
      <c r="P69" t="s">
        <v>45</v>
      </c>
    </row>
    <row r="70" spans="1:16">
      <c r="A70">
        <v>68</v>
      </c>
      <c r="B70" t="s">
        <v>689</v>
      </c>
      <c r="C70" t="s">
        <v>690</v>
      </c>
      <c r="D70" t="s">
        <v>690</v>
      </c>
      <c r="E70" t="s">
        <v>72</v>
      </c>
      <c r="F70" t="s">
        <v>691</v>
      </c>
      <c r="G70">
        <v>3</v>
      </c>
      <c r="H70" s="27" t="s">
        <v>928</v>
      </c>
      <c r="I70" s="27" t="s">
        <v>1019</v>
      </c>
      <c r="J70">
        <v>3098.75</v>
      </c>
      <c r="K70">
        <v>2733</v>
      </c>
      <c r="L70">
        <v>9296.25</v>
      </c>
      <c r="M70">
        <v>8199</v>
      </c>
      <c r="N70">
        <v>1097.25</v>
      </c>
      <c r="O70" s="17">
        <f t="shared" si="1"/>
        <v>13.382729601170876</v>
      </c>
      <c r="P70" t="s">
        <v>45</v>
      </c>
    </row>
    <row r="71" spans="1:16">
      <c r="A71">
        <v>69</v>
      </c>
      <c r="B71" t="s">
        <v>931</v>
      </c>
      <c r="C71" t="s">
        <v>931</v>
      </c>
      <c r="D71" t="s">
        <v>931</v>
      </c>
      <c r="E71" t="s">
        <v>72</v>
      </c>
      <c r="F71" t="s">
        <v>932</v>
      </c>
      <c r="G71">
        <v>90</v>
      </c>
      <c r="H71" s="27" t="s">
        <v>933</v>
      </c>
      <c r="I71" s="27" t="s">
        <v>1019</v>
      </c>
      <c r="J71">
        <v>174.73</v>
      </c>
      <c r="K71">
        <v>156.28</v>
      </c>
      <c r="L71">
        <v>15725.699999999999</v>
      </c>
      <c r="M71">
        <v>14065.2</v>
      </c>
      <c r="N71">
        <v>1660.4999999999991</v>
      </c>
      <c r="O71" s="17">
        <f t="shared" si="1"/>
        <v>11.805733299206544</v>
      </c>
      <c r="P71" t="s">
        <v>45</v>
      </c>
    </row>
    <row r="72" spans="1:16">
      <c r="A72">
        <v>70</v>
      </c>
      <c r="B72" t="s">
        <v>539</v>
      </c>
      <c r="C72" t="s">
        <v>540</v>
      </c>
      <c r="D72" t="s">
        <v>540</v>
      </c>
      <c r="E72" t="s">
        <v>72</v>
      </c>
      <c r="F72" t="s">
        <v>541</v>
      </c>
      <c r="G72">
        <v>11</v>
      </c>
      <c r="H72" s="27" t="s">
        <v>934</v>
      </c>
      <c r="I72" s="27" t="s">
        <v>1019</v>
      </c>
      <c r="J72">
        <v>1171.74</v>
      </c>
      <c r="K72">
        <v>1051.07</v>
      </c>
      <c r="L72">
        <v>12889.14</v>
      </c>
      <c r="M72">
        <v>11561.769999999999</v>
      </c>
      <c r="N72">
        <v>1327.3700000000008</v>
      </c>
      <c r="O72" s="17">
        <f t="shared" si="1"/>
        <v>11.480681591140465</v>
      </c>
      <c r="P72" t="s">
        <v>45</v>
      </c>
    </row>
    <row r="73" spans="1:16">
      <c r="A73">
        <v>71</v>
      </c>
      <c r="B73" t="s">
        <v>727</v>
      </c>
      <c r="C73" t="s">
        <v>728</v>
      </c>
      <c r="D73" t="s">
        <v>728</v>
      </c>
      <c r="E73" t="s">
        <v>72</v>
      </c>
      <c r="F73" t="s">
        <v>729</v>
      </c>
      <c r="G73">
        <v>8</v>
      </c>
      <c r="H73" s="27" t="s">
        <v>1037</v>
      </c>
      <c r="I73" s="27" t="s">
        <v>1040</v>
      </c>
      <c r="J73">
        <v>1429.93</v>
      </c>
      <c r="K73">
        <v>1354.98</v>
      </c>
      <c r="L73">
        <v>11439.44</v>
      </c>
      <c r="M73">
        <v>10839.84</v>
      </c>
      <c r="N73">
        <v>599.60000000000036</v>
      </c>
      <c r="O73" s="17">
        <f t="shared" si="1"/>
        <v>5.5314469586266988</v>
      </c>
      <c r="P73" t="s">
        <v>45</v>
      </c>
    </row>
    <row r="74" spans="1:16">
      <c r="A74">
        <v>72</v>
      </c>
      <c r="B74" t="s">
        <v>783</v>
      </c>
      <c r="C74" t="s">
        <v>784</v>
      </c>
      <c r="D74" t="s">
        <v>784</v>
      </c>
      <c r="E74" t="s">
        <v>72</v>
      </c>
      <c r="F74" t="s">
        <v>785</v>
      </c>
      <c r="G74">
        <v>5</v>
      </c>
      <c r="H74" s="27" t="s">
        <v>947</v>
      </c>
      <c r="I74" s="27" t="s">
        <v>1031</v>
      </c>
      <c r="J74">
        <v>670.3</v>
      </c>
      <c r="K74">
        <v>494.14</v>
      </c>
      <c r="L74">
        <v>3351.5</v>
      </c>
      <c r="M74">
        <v>2470.6999999999998</v>
      </c>
      <c r="N74">
        <v>880.79999999999984</v>
      </c>
      <c r="O74" s="17">
        <f t="shared" si="1"/>
        <v>35.649815841664307</v>
      </c>
      <c r="P74" t="s">
        <v>45</v>
      </c>
    </row>
    <row r="75" spans="1:16">
      <c r="A75">
        <v>73</v>
      </c>
      <c r="B75" t="s">
        <v>635</v>
      </c>
      <c r="C75" t="s">
        <v>633</v>
      </c>
      <c r="D75" t="s">
        <v>633</v>
      </c>
      <c r="E75" t="s">
        <v>72</v>
      </c>
      <c r="F75" t="s">
        <v>634</v>
      </c>
      <c r="G75">
        <v>1</v>
      </c>
      <c r="H75" s="27" t="s">
        <v>657</v>
      </c>
      <c r="I75" s="27" t="s">
        <v>1031</v>
      </c>
      <c r="J75">
        <v>4640</v>
      </c>
      <c r="K75">
        <v>3082.98</v>
      </c>
      <c r="L75">
        <v>4640</v>
      </c>
      <c r="M75">
        <v>3082.98</v>
      </c>
      <c r="N75">
        <v>1557.02</v>
      </c>
      <c r="O75" s="17">
        <f t="shared" si="1"/>
        <v>50.503733400800527</v>
      </c>
      <c r="P75" t="s">
        <v>45</v>
      </c>
    </row>
    <row r="76" spans="1:16">
      <c r="A76">
        <v>74</v>
      </c>
      <c r="B76" t="s">
        <v>623</v>
      </c>
      <c r="C76" t="s">
        <v>624</v>
      </c>
      <c r="D76" t="s">
        <v>624</v>
      </c>
      <c r="E76" t="s">
        <v>72</v>
      </c>
      <c r="F76" t="s">
        <v>625</v>
      </c>
      <c r="G76">
        <v>3</v>
      </c>
      <c r="H76" s="27" t="s">
        <v>928</v>
      </c>
      <c r="I76" s="27" t="s">
        <v>1031</v>
      </c>
      <c r="J76">
        <v>1503.05</v>
      </c>
      <c r="K76">
        <v>1450</v>
      </c>
      <c r="L76">
        <v>4509.1499999999996</v>
      </c>
      <c r="M76">
        <v>4350</v>
      </c>
      <c r="N76">
        <v>159.14999999999986</v>
      </c>
      <c r="O76" s="17">
        <f t="shared" si="1"/>
        <v>3.6586206896551694</v>
      </c>
      <c r="P76" t="s">
        <v>45</v>
      </c>
    </row>
    <row r="77" spans="1:16">
      <c r="A77">
        <v>75</v>
      </c>
      <c r="B77" t="s">
        <v>983</v>
      </c>
      <c r="C77" t="s">
        <v>984</v>
      </c>
      <c r="D77" t="s">
        <v>984</v>
      </c>
      <c r="E77" t="s">
        <v>72</v>
      </c>
      <c r="F77" t="s">
        <v>985</v>
      </c>
      <c r="G77">
        <v>2799</v>
      </c>
      <c r="H77" s="27" t="s">
        <v>866</v>
      </c>
      <c r="I77" s="27" t="s">
        <v>1033</v>
      </c>
      <c r="J77">
        <v>40.479999999999997</v>
      </c>
      <c r="K77">
        <v>36</v>
      </c>
      <c r="L77">
        <v>113303.51999999999</v>
      </c>
      <c r="M77">
        <v>100764</v>
      </c>
      <c r="N77">
        <v>12539.519999999991</v>
      </c>
      <c r="O77" s="17">
        <f t="shared" si="1"/>
        <v>12.444444444444436</v>
      </c>
      <c r="P77" t="s">
        <v>45</v>
      </c>
    </row>
    <row r="78" spans="1:16">
      <c r="A78">
        <v>76</v>
      </c>
      <c r="B78" t="s">
        <v>842</v>
      </c>
      <c r="C78" t="s">
        <v>843</v>
      </c>
      <c r="D78" t="s">
        <v>843</v>
      </c>
      <c r="E78" t="s">
        <v>72</v>
      </c>
      <c r="F78" t="s">
        <v>844</v>
      </c>
      <c r="G78">
        <v>14</v>
      </c>
      <c r="H78" s="27" t="s">
        <v>871</v>
      </c>
      <c r="I78" s="27" t="s">
        <v>1033</v>
      </c>
      <c r="J78">
        <v>1421.08</v>
      </c>
      <c r="K78">
        <v>789.95</v>
      </c>
      <c r="L78">
        <v>19895.12</v>
      </c>
      <c r="M78">
        <v>11059.300000000001</v>
      </c>
      <c r="N78">
        <v>8835.8199999999979</v>
      </c>
      <c r="O78" s="17">
        <f t="shared" si="1"/>
        <v>79.894930058864446</v>
      </c>
      <c r="P78" t="s">
        <v>45</v>
      </c>
    </row>
    <row r="79" spans="1:16">
      <c r="A79">
        <v>77</v>
      </c>
      <c r="B79" t="s">
        <v>485</v>
      </c>
      <c r="C79" t="s">
        <v>486</v>
      </c>
      <c r="D79" t="s">
        <v>486</v>
      </c>
      <c r="E79" t="s">
        <v>72</v>
      </c>
      <c r="F79" t="s">
        <v>590</v>
      </c>
      <c r="G79">
        <v>1</v>
      </c>
      <c r="H79" s="27" t="s">
        <v>1039</v>
      </c>
      <c r="I79" s="27" t="s">
        <v>1033</v>
      </c>
      <c r="J79">
        <v>2524.96</v>
      </c>
      <c r="K79">
        <v>2563.1999999999998</v>
      </c>
      <c r="L79">
        <v>2524.96</v>
      </c>
      <c r="M79">
        <v>2563.1999999999998</v>
      </c>
      <c r="N79">
        <v>-38.239999999999782</v>
      </c>
      <c r="O79" s="17">
        <f t="shared" si="1"/>
        <v>-1.4918851435705285</v>
      </c>
      <c r="P79" t="s">
        <v>45</v>
      </c>
    </row>
    <row r="80" spans="1:16">
      <c r="A80">
        <v>78</v>
      </c>
      <c r="B80" t="s">
        <v>485</v>
      </c>
      <c r="C80" t="s">
        <v>486</v>
      </c>
      <c r="D80" t="s">
        <v>486</v>
      </c>
      <c r="E80" t="s">
        <v>72</v>
      </c>
      <c r="F80" t="s">
        <v>590</v>
      </c>
      <c r="G80">
        <v>3</v>
      </c>
      <c r="H80" s="27" t="s">
        <v>928</v>
      </c>
      <c r="I80" s="27" t="s">
        <v>1033</v>
      </c>
      <c r="J80">
        <v>2524.96</v>
      </c>
      <c r="K80">
        <v>2404</v>
      </c>
      <c r="L80">
        <v>7574.88</v>
      </c>
      <c r="M80">
        <v>7212</v>
      </c>
      <c r="N80">
        <v>362.88000000000011</v>
      </c>
      <c r="O80" s="17">
        <f t="shared" si="1"/>
        <v>5.0316139767054917</v>
      </c>
      <c r="P80" t="s">
        <v>45</v>
      </c>
    </row>
    <row r="81" spans="1:16">
      <c r="A81">
        <v>79</v>
      </c>
      <c r="B81" t="s">
        <v>485</v>
      </c>
      <c r="C81" t="s">
        <v>486</v>
      </c>
      <c r="D81" t="s">
        <v>486</v>
      </c>
      <c r="E81" t="s">
        <v>72</v>
      </c>
      <c r="F81" t="s">
        <v>590</v>
      </c>
      <c r="G81">
        <v>8</v>
      </c>
      <c r="H81" s="27" t="s">
        <v>858</v>
      </c>
      <c r="I81" s="27" t="s">
        <v>1033</v>
      </c>
      <c r="J81">
        <v>2524.96</v>
      </c>
      <c r="K81">
        <v>2339.65</v>
      </c>
      <c r="L81">
        <v>20199.68</v>
      </c>
      <c r="M81">
        <v>18717.2</v>
      </c>
      <c r="N81">
        <v>1482.4799999999996</v>
      </c>
      <c r="O81" s="17">
        <f t="shared" si="1"/>
        <v>7.9204154467548546</v>
      </c>
      <c r="P81" t="s">
        <v>45</v>
      </c>
    </row>
    <row r="82" spans="1:16">
      <c r="A82">
        <v>80</v>
      </c>
      <c r="B82" t="s">
        <v>485</v>
      </c>
      <c r="C82" t="s">
        <v>486</v>
      </c>
      <c r="D82" t="s">
        <v>486</v>
      </c>
      <c r="E82" t="s">
        <v>72</v>
      </c>
      <c r="F82" t="s">
        <v>590</v>
      </c>
      <c r="G82">
        <v>3</v>
      </c>
      <c r="H82" s="27" t="s">
        <v>847</v>
      </c>
      <c r="I82" s="27" t="s">
        <v>1033</v>
      </c>
      <c r="J82">
        <v>2524.96</v>
      </c>
      <c r="K82">
        <v>2418.73</v>
      </c>
      <c r="L82">
        <v>7574.88</v>
      </c>
      <c r="M82">
        <v>7256.1900000000005</v>
      </c>
      <c r="N82">
        <v>318.69000000000005</v>
      </c>
      <c r="O82" s="17">
        <f t="shared" si="1"/>
        <v>4.3919743005626923</v>
      </c>
      <c r="P82" t="s">
        <v>45</v>
      </c>
    </row>
    <row r="83" spans="1:16">
      <c r="A83">
        <v>81</v>
      </c>
      <c r="B83" t="s">
        <v>485</v>
      </c>
      <c r="C83" t="s">
        <v>486</v>
      </c>
      <c r="D83" t="s">
        <v>486</v>
      </c>
      <c r="E83" t="s">
        <v>72</v>
      </c>
      <c r="F83" t="s">
        <v>590</v>
      </c>
      <c r="G83">
        <v>1</v>
      </c>
      <c r="H83" s="27" t="s">
        <v>833</v>
      </c>
      <c r="I83" s="27" t="s">
        <v>1033</v>
      </c>
      <c r="J83">
        <v>2524.96</v>
      </c>
      <c r="K83">
        <v>2318.5</v>
      </c>
      <c r="L83">
        <v>2524.96</v>
      </c>
      <c r="M83">
        <v>2318.5</v>
      </c>
      <c r="N83">
        <v>206.46000000000004</v>
      </c>
      <c r="O83" s="17">
        <f t="shared" si="1"/>
        <v>8.9048954065128338</v>
      </c>
      <c r="P83" t="s">
        <v>45</v>
      </c>
    </row>
    <row r="84" spans="1:16">
      <c r="A84">
        <v>82</v>
      </c>
      <c r="B84" t="s">
        <v>771</v>
      </c>
      <c r="C84" t="s">
        <v>895</v>
      </c>
      <c r="D84" t="s">
        <v>896</v>
      </c>
      <c r="E84" t="s">
        <v>72</v>
      </c>
      <c r="F84" t="s">
        <v>773</v>
      </c>
      <c r="G84">
        <v>53</v>
      </c>
      <c r="H84" s="27" t="s">
        <v>951</v>
      </c>
      <c r="I84" s="27" t="s">
        <v>1034</v>
      </c>
      <c r="J84">
        <v>578.82000000000005</v>
      </c>
      <c r="K84">
        <v>418.21</v>
      </c>
      <c r="L84">
        <v>30677.460000000003</v>
      </c>
      <c r="M84">
        <v>22165.129999999997</v>
      </c>
      <c r="N84">
        <v>8512.3300000000036</v>
      </c>
      <c r="O84" s="17">
        <f t="shared" si="1"/>
        <v>38.404151024604886</v>
      </c>
      <c r="P84" t="s">
        <v>45</v>
      </c>
    </row>
    <row r="85" spans="1:16">
      <c r="A85">
        <v>83</v>
      </c>
      <c r="B85" t="s">
        <v>771</v>
      </c>
      <c r="C85" t="s">
        <v>895</v>
      </c>
      <c r="D85" t="s">
        <v>896</v>
      </c>
      <c r="E85" t="s">
        <v>72</v>
      </c>
      <c r="F85" t="s">
        <v>773</v>
      </c>
      <c r="G85">
        <v>10</v>
      </c>
      <c r="H85" s="27" t="s">
        <v>953</v>
      </c>
      <c r="I85" s="27" t="s">
        <v>1034</v>
      </c>
      <c r="J85">
        <v>578.82000000000005</v>
      </c>
      <c r="K85">
        <v>449.95</v>
      </c>
      <c r="L85">
        <v>5788.2000000000007</v>
      </c>
      <c r="M85">
        <v>4499.5</v>
      </c>
      <c r="N85">
        <v>1288.7000000000007</v>
      </c>
      <c r="O85" s="17">
        <f t="shared" si="1"/>
        <v>28.640960106678538</v>
      </c>
      <c r="P85" t="s">
        <v>45</v>
      </c>
    </row>
    <row r="86" spans="1:16">
      <c r="A86">
        <v>84</v>
      </c>
      <c r="B86" t="s">
        <v>771</v>
      </c>
      <c r="C86" t="s">
        <v>895</v>
      </c>
      <c r="D86" t="s">
        <v>896</v>
      </c>
      <c r="E86" t="s">
        <v>72</v>
      </c>
      <c r="F86" t="s">
        <v>773</v>
      </c>
      <c r="G86">
        <v>10</v>
      </c>
      <c r="H86" s="27" t="s">
        <v>897</v>
      </c>
      <c r="I86" s="27" t="s">
        <v>1034</v>
      </c>
      <c r="J86">
        <v>578.82000000000005</v>
      </c>
      <c r="K86">
        <v>491.5</v>
      </c>
      <c r="L86">
        <v>5788.2000000000007</v>
      </c>
      <c r="M86">
        <v>4915</v>
      </c>
      <c r="N86">
        <v>873.2000000000005</v>
      </c>
      <c r="O86" s="17">
        <f t="shared" si="1"/>
        <v>17.766022380467966</v>
      </c>
      <c r="P86" t="s">
        <v>45</v>
      </c>
    </row>
    <row r="87" spans="1:16">
      <c r="A87">
        <v>85</v>
      </c>
      <c r="B87" t="s">
        <v>771</v>
      </c>
      <c r="C87" t="s">
        <v>895</v>
      </c>
      <c r="D87" t="s">
        <v>896</v>
      </c>
      <c r="E87" t="s">
        <v>72</v>
      </c>
      <c r="F87" t="s">
        <v>773</v>
      </c>
      <c r="G87">
        <v>2</v>
      </c>
      <c r="H87" s="27" t="s">
        <v>911</v>
      </c>
      <c r="I87" s="27" t="s">
        <v>1034</v>
      </c>
      <c r="J87">
        <v>578.82000000000005</v>
      </c>
      <c r="K87">
        <v>443.8</v>
      </c>
      <c r="L87">
        <v>1157.6400000000001</v>
      </c>
      <c r="M87">
        <v>887.6</v>
      </c>
      <c r="N87">
        <v>270.04000000000008</v>
      </c>
      <c r="O87" s="17">
        <f t="shared" si="1"/>
        <v>30.423614240648952</v>
      </c>
      <c r="P87" t="s">
        <v>45</v>
      </c>
    </row>
    <row r="88" spans="1:16">
      <c r="A88">
        <v>86</v>
      </c>
      <c r="B88" t="s">
        <v>842</v>
      </c>
      <c r="C88" t="s">
        <v>843</v>
      </c>
      <c r="D88" t="s">
        <v>843</v>
      </c>
      <c r="E88" t="s">
        <v>72</v>
      </c>
      <c r="F88" t="s">
        <v>844</v>
      </c>
      <c r="G88">
        <v>10</v>
      </c>
      <c r="H88" s="27" t="s">
        <v>871</v>
      </c>
      <c r="I88" s="27" t="s">
        <v>1034</v>
      </c>
      <c r="J88">
        <v>1305.97</v>
      </c>
      <c r="K88">
        <v>789.95</v>
      </c>
      <c r="L88">
        <v>13059.7</v>
      </c>
      <c r="M88">
        <v>7899.5</v>
      </c>
      <c r="N88">
        <v>5160.2</v>
      </c>
      <c r="O88" s="17">
        <f t="shared" si="1"/>
        <v>65.32312171656433</v>
      </c>
      <c r="P88" t="s">
        <v>45</v>
      </c>
    </row>
    <row r="89" spans="1:16">
      <c r="A89">
        <v>87</v>
      </c>
      <c r="B89" t="s">
        <v>842</v>
      </c>
      <c r="C89" t="s">
        <v>843</v>
      </c>
      <c r="D89" t="s">
        <v>843</v>
      </c>
      <c r="E89" t="s">
        <v>72</v>
      </c>
      <c r="F89" t="s">
        <v>844</v>
      </c>
      <c r="G89">
        <v>10</v>
      </c>
      <c r="H89" s="27" t="s">
        <v>856</v>
      </c>
      <c r="I89" s="27" t="s">
        <v>1034</v>
      </c>
      <c r="J89">
        <v>1305.97</v>
      </c>
      <c r="K89">
        <v>874.25</v>
      </c>
      <c r="L89">
        <v>13059.7</v>
      </c>
      <c r="M89">
        <v>8742.5</v>
      </c>
      <c r="N89">
        <v>4317.2000000000007</v>
      </c>
      <c r="O89" s="17">
        <f t="shared" si="1"/>
        <v>49.381755790677737</v>
      </c>
      <c r="P89" t="s">
        <v>45</v>
      </c>
    </row>
    <row r="90" spans="1:16">
      <c r="A90">
        <v>88</v>
      </c>
      <c r="B90" t="s">
        <v>842</v>
      </c>
      <c r="C90" t="s">
        <v>843</v>
      </c>
      <c r="D90" t="s">
        <v>843</v>
      </c>
      <c r="E90" t="s">
        <v>72</v>
      </c>
      <c r="F90" t="s">
        <v>844</v>
      </c>
      <c r="G90">
        <v>5</v>
      </c>
      <c r="H90" s="27" t="s">
        <v>858</v>
      </c>
      <c r="I90" s="27" t="s">
        <v>1034</v>
      </c>
      <c r="J90">
        <v>1305.97</v>
      </c>
      <c r="K90">
        <v>905.55</v>
      </c>
      <c r="L90">
        <v>6529.85</v>
      </c>
      <c r="M90">
        <v>4527.75</v>
      </c>
      <c r="N90">
        <v>2002.1000000000004</v>
      </c>
      <c r="O90" s="17">
        <f t="shared" si="1"/>
        <v>44.218430787918948</v>
      </c>
      <c r="P90" t="s">
        <v>45</v>
      </c>
    </row>
    <row r="91" spans="1:16">
      <c r="A91">
        <v>89</v>
      </c>
      <c r="B91" t="s">
        <v>842</v>
      </c>
      <c r="C91" t="s">
        <v>843</v>
      </c>
      <c r="D91" t="s">
        <v>843</v>
      </c>
      <c r="E91" t="s">
        <v>72</v>
      </c>
      <c r="F91" t="s">
        <v>844</v>
      </c>
      <c r="G91">
        <v>4</v>
      </c>
      <c r="H91" s="27" t="s">
        <v>853</v>
      </c>
      <c r="I91" s="27" t="s">
        <v>1034</v>
      </c>
      <c r="J91">
        <v>1305.97</v>
      </c>
      <c r="K91">
        <v>960.75</v>
      </c>
      <c r="L91">
        <v>5223.88</v>
      </c>
      <c r="M91">
        <v>3843</v>
      </c>
      <c r="N91">
        <v>1380.88</v>
      </c>
      <c r="O91" s="17">
        <f t="shared" si="1"/>
        <v>35.932344522508458</v>
      </c>
      <c r="P91" t="s">
        <v>45</v>
      </c>
    </row>
    <row r="92" spans="1:16">
      <c r="A92">
        <v>90</v>
      </c>
      <c r="B92" t="s">
        <v>842</v>
      </c>
      <c r="C92" t="s">
        <v>843</v>
      </c>
      <c r="D92" t="s">
        <v>843</v>
      </c>
      <c r="E92" t="s">
        <v>72</v>
      </c>
      <c r="F92" t="s">
        <v>844</v>
      </c>
      <c r="G92">
        <v>6</v>
      </c>
      <c r="H92" s="27" t="s">
        <v>846</v>
      </c>
      <c r="I92" s="27" t="s">
        <v>1034</v>
      </c>
      <c r="J92">
        <v>1305.97</v>
      </c>
      <c r="K92">
        <v>931</v>
      </c>
      <c r="L92">
        <v>7835.82</v>
      </c>
      <c r="M92">
        <v>5586</v>
      </c>
      <c r="N92">
        <v>2249.8200000000002</v>
      </c>
      <c r="O92" s="17">
        <f t="shared" si="1"/>
        <v>40.276047261009673</v>
      </c>
      <c r="P92" t="s">
        <v>45</v>
      </c>
    </row>
    <row r="93" spans="1:16">
      <c r="A93">
        <v>91</v>
      </c>
      <c r="B93" t="s">
        <v>677</v>
      </c>
      <c r="C93" t="s">
        <v>678</v>
      </c>
      <c r="D93" t="s">
        <v>678</v>
      </c>
      <c r="E93" t="s">
        <v>72</v>
      </c>
      <c r="F93" t="s">
        <v>679</v>
      </c>
      <c r="G93">
        <v>15</v>
      </c>
      <c r="H93" s="27" t="s">
        <v>1037</v>
      </c>
      <c r="I93" s="27" t="s">
        <v>1034</v>
      </c>
      <c r="J93">
        <v>481</v>
      </c>
      <c r="K93">
        <v>456.89</v>
      </c>
      <c r="L93">
        <v>7215</v>
      </c>
      <c r="M93">
        <v>6853.3499999999995</v>
      </c>
      <c r="N93">
        <v>361.6500000000002</v>
      </c>
      <c r="O93" s="17">
        <f t="shared" si="1"/>
        <v>5.2769813302983248</v>
      </c>
      <c r="P93" t="s">
        <v>45</v>
      </c>
    </row>
    <row r="94" spans="1:16">
      <c r="A94">
        <v>92</v>
      </c>
      <c r="B94" t="s">
        <v>12</v>
      </c>
      <c r="C94" t="s">
        <v>410</v>
      </c>
      <c r="D94" t="s">
        <v>81</v>
      </c>
      <c r="E94" t="s">
        <v>72</v>
      </c>
      <c r="F94" t="s">
        <v>82</v>
      </c>
      <c r="G94">
        <v>5</v>
      </c>
      <c r="H94" s="27" t="s">
        <v>1031</v>
      </c>
      <c r="I94" s="27" t="s">
        <v>1036</v>
      </c>
      <c r="J94">
        <v>809.64</v>
      </c>
      <c r="K94">
        <v>715.6</v>
      </c>
      <c r="L94">
        <v>4048.2</v>
      </c>
      <c r="M94">
        <v>3578</v>
      </c>
      <c r="N94">
        <v>470.19999999999982</v>
      </c>
      <c r="O94" s="17">
        <f t="shared" si="1"/>
        <v>13.141419787590827</v>
      </c>
      <c r="P94" t="s">
        <v>45</v>
      </c>
    </row>
    <row r="95" spans="1:16">
      <c r="A95">
        <v>93</v>
      </c>
      <c r="B95" t="s">
        <v>27</v>
      </c>
      <c r="C95">
        <v>500288</v>
      </c>
      <c r="D95" t="s">
        <v>104</v>
      </c>
      <c r="E95" t="s">
        <v>72</v>
      </c>
      <c r="F95" t="s">
        <v>105</v>
      </c>
      <c r="G95">
        <v>100</v>
      </c>
      <c r="H95" s="27" t="s">
        <v>947</v>
      </c>
      <c r="I95" s="27" t="s">
        <v>1036</v>
      </c>
      <c r="J95">
        <v>53.2</v>
      </c>
      <c r="K95">
        <v>37.44</v>
      </c>
      <c r="L95">
        <v>5320</v>
      </c>
      <c r="M95">
        <v>3744</v>
      </c>
      <c r="N95">
        <v>1576.0000000000005</v>
      </c>
      <c r="O95" s="17">
        <f t="shared" si="1"/>
        <v>42.094017094017111</v>
      </c>
      <c r="P95" t="s">
        <v>45</v>
      </c>
    </row>
    <row r="96" spans="1:16">
      <c r="A96">
        <v>94</v>
      </c>
      <c r="B96" t="s">
        <v>842</v>
      </c>
      <c r="C96" t="s">
        <v>843</v>
      </c>
      <c r="D96" t="s">
        <v>843</v>
      </c>
      <c r="E96" t="s">
        <v>72</v>
      </c>
      <c r="F96" t="s">
        <v>844</v>
      </c>
      <c r="G96">
        <v>9</v>
      </c>
      <c r="H96" s="27" t="s">
        <v>846</v>
      </c>
      <c r="I96" s="27" t="s">
        <v>1037</v>
      </c>
      <c r="J96">
        <v>1128.8499999999999</v>
      </c>
      <c r="K96">
        <v>931</v>
      </c>
      <c r="L96">
        <v>10159.65</v>
      </c>
      <c r="M96">
        <v>8379</v>
      </c>
      <c r="N96">
        <v>1780.6499999999992</v>
      </c>
      <c r="O96" s="17">
        <f t="shared" si="1"/>
        <v>21.251342642320076</v>
      </c>
      <c r="P96" t="s">
        <v>45</v>
      </c>
    </row>
    <row r="97" spans="1:16">
      <c r="A97">
        <v>95</v>
      </c>
      <c r="B97" t="s">
        <v>842</v>
      </c>
      <c r="C97" t="s">
        <v>843</v>
      </c>
      <c r="D97" t="s">
        <v>843</v>
      </c>
      <c r="E97" t="s">
        <v>72</v>
      </c>
      <c r="F97" t="s">
        <v>844</v>
      </c>
      <c r="G97">
        <v>4</v>
      </c>
      <c r="H97" s="27" t="s">
        <v>847</v>
      </c>
      <c r="I97" s="27" t="s">
        <v>1037</v>
      </c>
      <c r="J97">
        <v>1128.8499999999999</v>
      </c>
      <c r="K97">
        <v>972.8</v>
      </c>
      <c r="L97">
        <v>4515.3999999999996</v>
      </c>
      <c r="M97">
        <v>3891.2</v>
      </c>
      <c r="N97">
        <v>624.19999999999982</v>
      </c>
      <c r="O97" s="17">
        <f t="shared" si="1"/>
        <v>16.04132401315789</v>
      </c>
      <c r="P97" t="s">
        <v>45</v>
      </c>
    </row>
    <row r="98" spans="1:16">
      <c r="A98">
        <v>96</v>
      </c>
      <c r="B98" t="s">
        <v>522</v>
      </c>
      <c r="C98" t="s">
        <v>523</v>
      </c>
      <c r="D98" t="s">
        <v>523</v>
      </c>
      <c r="E98" t="s">
        <v>72</v>
      </c>
      <c r="F98" t="s">
        <v>524</v>
      </c>
      <c r="G98">
        <v>50</v>
      </c>
      <c r="H98" s="27" t="s">
        <v>928</v>
      </c>
      <c r="I98" s="27" t="s">
        <v>1038</v>
      </c>
      <c r="J98">
        <v>116.7</v>
      </c>
      <c r="K98">
        <v>96</v>
      </c>
      <c r="L98">
        <v>5835</v>
      </c>
      <c r="M98">
        <v>4800</v>
      </c>
      <c r="N98">
        <v>1035.0000000000002</v>
      </c>
      <c r="O98" s="17">
        <f t="shared" si="1"/>
        <v>21.562500000000004</v>
      </c>
      <c r="P98" t="s">
        <v>45</v>
      </c>
    </row>
    <row r="99" spans="1:16">
      <c r="A99">
        <v>97</v>
      </c>
      <c r="B99" t="s">
        <v>522</v>
      </c>
      <c r="C99" t="s">
        <v>523</v>
      </c>
      <c r="D99" t="s">
        <v>523</v>
      </c>
      <c r="E99" t="s">
        <v>72</v>
      </c>
      <c r="F99" t="s">
        <v>524</v>
      </c>
      <c r="G99">
        <v>50</v>
      </c>
      <c r="H99" s="27" t="s">
        <v>930</v>
      </c>
      <c r="I99" s="27" t="s">
        <v>1038</v>
      </c>
      <c r="J99">
        <v>116.7</v>
      </c>
      <c r="K99">
        <v>85.89</v>
      </c>
      <c r="L99">
        <v>5835</v>
      </c>
      <c r="M99">
        <v>4294.5</v>
      </c>
      <c r="N99">
        <v>1540.5</v>
      </c>
      <c r="O99" s="17">
        <f t="shared" si="1"/>
        <v>35.87146349982536</v>
      </c>
      <c r="P99" t="s">
        <v>45</v>
      </c>
    </row>
    <row r="100" spans="1:16">
      <c r="A100">
        <v>98</v>
      </c>
      <c r="B100" t="s">
        <v>635</v>
      </c>
      <c r="C100" t="s">
        <v>633</v>
      </c>
      <c r="D100" t="s">
        <v>633</v>
      </c>
      <c r="E100" t="s">
        <v>72</v>
      </c>
      <c r="F100" t="s">
        <v>634</v>
      </c>
      <c r="G100">
        <v>2</v>
      </c>
      <c r="H100" s="27" t="s">
        <v>657</v>
      </c>
      <c r="I100" s="27" t="s">
        <v>1038</v>
      </c>
      <c r="J100">
        <v>4427.8</v>
      </c>
      <c r="K100">
        <v>3082.98</v>
      </c>
      <c r="L100">
        <v>8855.6</v>
      </c>
      <c r="M100">
        <v>6165.96</v>
      </c>
      <c r="N100">
        <v>2689.6400000000003</v>
      </c>
      <c r="O100" s="17">
        <f t="shared" si="1"/>
        <v>43.620782489669097</v>
      </c>
      <c r="P100" t="s">
        <v>45</v>
      </c>
    </row>
    <row r="101" spans="1:16">
      <c r="A101">
        <v>99</v>
      </c>
      <c r="B101" t="s">
        <v>483</v>
      </c>
      <c r="C101" t="s">
        <v>474</v>
      </c>
      <c r="D101" t="s">
        <v>473</v>
      </c>
      <c r="E101" t="s">
        <v>72</v>
      </c>
      <c r="F101" t="s">
        <v>587</v>
      </c>
      <c r="G101">
        <v>2</v>
      </c>
      <c r="H101" s="27" t="s">
        <v>780</v>
      </c>
      <c r="I101" s="27" t="s">
        <v>1038</v>
      </c>
      <c r="J101">
        <v>889.25</v>
      </c>
      <c r="K101">
        <v>608</v>
      </c>
      <c r="L101">
        <v>1778.5</v>
      </c>
      <c r="M101">
        <v>1216</v>
      </c>
      <c r="N101">
        <v>562.5</v>
      </c>
      <c r="O101" s="17">
        <f t="shared" si="1"/>
        <v>46.258223684210527</v>
      </c>
      <c r="P101" t="s">
        <v>45</v>
      </c>
    </row>
    <row r="102" spans="1:16">
      <c r="A102">
        <v>100</v>
      </c>
      <c r="B102" t="s">
        <v>483</v>
      </c>
      <c r="C102" t="s">
        <v>474</v>
      </c>
      <c r="D102" t="s">
        <v>473</v>
      </c>
      <c r="E102" t="s">
        <v>72</v>
      </c>
      <c r="F102" t="s">
        <v>587</v>
      </c>
      <c r="G102">
        <v>18</v>
      </c>
      <c r="H102" s="27" t="s">
        <v>781</v>
      </c>
      <c r="I102" s="27" t="s">
        <v>1038</v>
      </c>
      <c r="J102">
        <v>889.25</v>
      </c>
      <c r="K102">
        <v>635.97</v>
      </c>
      <c r="L102">
        <v>16006.5</v>
      </c>
      <c r="M102">
        <v>11447.460000000001</v>
      </c>
      <c r="N102">
        <v>4559.0399999999991</v>
      </c>
      <c r="O102" s="17">
        <f t="shared" si="1"/>
        <v>39.825777945500562</v>
      </c>
      <c r="P102" t="s">
        <v>45</v>
      </c>
    </row>
    <row r="103" spans="1:16">
      <c r="A103">
        <v>101</v>
      </c>
      <c r="B103" t="s">
        <v>38</v>
      </c>
      <c r="C103" t="s">
        <v>121</v>
      </c>
      <c r="D103" t="s">
        <v>121</v>
      </c>
      <c r="E103" t="s">
        <v>72</v>
      </c>
      <c r="F103" t="s">
        <v>122</v>
      </c>
      <c r="G103">
        <v>94</v>
      </c>
      <c r="H103" s="27" t="s">
        <v>273</v>
      </c>
      <c r="I103" s="27" t="s">
        <v>1039</v>
      </c>
      <c r="J103">
        <v>129.59</v>
      </c>
      <c r="K103">
        <v>86.07</v>
      </c>
      <c r="L103">
        <v>12181.460000000001</v>
      </c>
      <c r="M103">
        <v>8090.579999999999</v>
      </c>
      <c r="N103">
        <v>4090.880000000001</v>
      </c>
      <c r="O103" s="17">
        <f t="shared" si="1"/>
        <v>50.563494829789725</v>
      </c>
      <c r="P103" t="s">
        <v>45</v>
      </c>
    </row>
    <row r="104" spans="1:16">
      <c r="A104">
        <v>102</v>
      </c>
      <c r="B104" t="s">
        <v>38</v>
      </c>
      <c r="C104" t="s">
        <v>121</v>
      </c>
      <c r="D104" t="s">
        <v>121</v>
      </c>
      <c r="E104" t="s">
        <v>72</v>
      </c>
      <c r="F104" t="s">
        <v>122</v>
      </c>
      <c r="G104">
        <v>100</v>
      </c>
      <c r="H104" s="27" t="s">
        <v>272</v>
      </c>
      <c r="I104" s="27" t="s">
        <v>1039</v>
      </c>
      <c r="J104">
        <v>129.59</v>
      </c>
      <c r="K104">
        <v>105.6</v>
      </c>
      <c r="L104">
        <v>12959</v>
      </c>
      <c r="M104">
        <v>10560</v>
      </c>
      <c r="N104">
        <v>2399.0000000000009</v>
      </c>
      <c r="O104" s="17">
        <f t="shared" si="1"/>
        <v>22.717803030303042</v>
      </c>
      <c r="P104" t="s">
        <v>45</v>
      </c>
    </row>
    <row r="105" spans="1:16">
      <c r="A105">
        <v>103</v>
      </c>
      <c r="B105" t="s">
        <v>38</v>
      </c>
      <c r="C105" t="s">
        <v>121</v>
      </c>
      <c r="D105" t="s">
        <v>121</v>
      </c>
      <c r="E105" t="s">
        <v>72</v>
      </c>
      <c r="F105" t="s">
        <v>122</v>
      </c>
      <c r="G105">
        <v>25</v>
      </c>
      <c r="H105" s="27" t="s">
        <v>265</v>
      </c>
      <c r="I105" s="27" t="s">
        <v>1039</v>
      </c>
      <c r="J105">
        <v>129.59</v>
      </c>
      <c r="K105">
        <v>118.24</v>
      </c>
      <c r="L105">
        <v>3239.75</v>
      </c>
      <c r="M105">
        <v>2956</v>
      </c>
      <c r="N105">
        <v>283.75000000000023</v>
      </c>
      <c r="O105" s="17">
        <f t="shared" si="1"/>
        <v>9.5991204330175997</v>
      </c>
      <c r="P105" t="s">
        <v>45</v>
      </c>
    </row>
    <row r="106" spans="1:16">
      <c r="A106">
        <v>104</v>
      </c>
      <c r="B106" t="s">
        <v>38</v>
      </c>
      <c r="C106" t="s">
        <v>121</v>
      </c>
      <c r="D106" t="s">
        <v>121</v>
      </c>
      <c r="E106" t="s">
        <v>72</v>
      </c>
      <c r="F106" t="s">
        <v>122</v>
      </c>
      <c r="G106">
        <v>41</v>
      </c>
      <c r="H106" s="27" t="s">
        <v>266</v>
      </c>
      <c r="I106" s="27" t="s">
        <v>1039</v>
      </c>
      <c r="J106">
        <v>129.59</v>
      </c>
      <c r="K106">
        <v>127.3</v>
      </c>
      <c r="L106">
        <v>5313.1900000000005</v>
      </c>
      <c r="M106">
        <v>5219.3</v>
      </c>
      <c r="N106">
        <v>93.890000000000256</v>
      </c>
      <c r="O106" s="17">
        <f t="shared" si="1"/>
        <v>1.7989002356637911</v>
      </c>
      <c r="P106" t="s">
        <v>45</v>
      </c>
    </row>
    <row r="107" spans="1:16">
      <c r="A107">
        <v>105</v>
      </c>
      <c r="B107" t="s">
        <v>9</v>
      </c>
      <c r="C107" t="s">
        <v>75</v>
      </c>
      <c r="D107" t="s">
        <v>75</v>
      </c>
      <c r="E107" t="s">
        <v>76</v>
      </c>
      <c r="F107" t="s">
        <v>77</v>
      </c>
      <c r="G107">
        <v>2</v>
      </c>
      <c r="H107" s="27" t="s">
        <v>190</v>
      </c>
      <c r="I107" s="27" t="s">
        <v>1039</v>
      </c>
      <c r="J107">
        <v>1217.5</v>
      </c>
      <c r="K107">
        <v>427.88</v>
      </c>
      <c r="L107">
        <v>2435</v>
      </c>
      <c r="M107">
        <v>855.76</v>
      </c>
      <c r="N107">
        <v>1579.24</v>
      </c>
      <c r="O107" s="17">
        <f t="shared" si="1"/>
        <v>184.54239506403664</v>
      </c>
      <c r="P107" t="s">
        <v>45</v>
      </c>
    </row>
    <row r="108" spans="1:16">
      <c r="A108">
        <v>106</v>
      </c>
      <c r="B108" t="s">
        <v>635</v>
      </c>
      <c r="C108" t="s">
        <v>633</v>
      </c>
      <c r="D108" t="s">
        <v>633</v>
      </c>
      <c r="E108" t="s">
        <v>72</v>
      </c>
      <c r="F108" t="s">
        <v>634</v>
      </c>
      <c r="G108">
        <v>1</v>
      </c>
      <c r="H108" s="27" t="s">
        <v>658</v>
      </c>
      <c r="I108" s="27" t="s">
        <v>1039</v>
      </c>
      <c r="J108">
        <v>4336.6499999999996</v>
      </c>
      <c r="K108">
        <v>3279.5</v>
      </c>
      <c r="L108">
        <v>4336.6499999999996</v>
      </c>
      <c r="M108">
        <v>3279.5</v>
      </c>
      <c r="N108">
        <v>1057.1499999999996</v>
      </c>
      <c r="O108" s="17">
        <f t="shared" si="1"/>
        <v>32.23509681353864</v>
      </c>
      <c r="P108" t="s">
        <v>45</v>
      </c>
    </row>
    <row r="109" spans="1:16">
      <c r="A109">
        <v>107</v>
      </c>
      <c r="B109" t="s">
        <v>27</v>
      </c>
      <c r="C109">
        <v>500288</v>
      </c>
      <c r="D109" t="s">
        <v>104</v>
      </c>
      <c r="E109" t="s">
        <v>72</v>
      </c>
      <c r="F109" t="s">
        <v>105</v>
      </c>
      <c r="G109">
        <v>125</v>
      </c>
      <c r="H109" s="27" t="s">
        <v>954</v>
      </c>
      <c r="I109" s="27" t="s">
        <v>1039</v>
      </c>
      <c r="J109">
        <v>50.58</v>
      </c>
      <c r="K109">
        <v>50.72</v>
      </c>
      <c r="L109">
        <v>6322.5</v>
      </c>
      <c r="M109">
        <v>6340</v>
      </c>
      <c r="N109">
        <v>-17.500000000000071</v>
      </c>
      <c r="O109" s="17">
        <f t="shared" si="1"/>
        <v>-0.27602523659306105</v>
      </c>
      <c r="P109" t="s">
        <v>45</v>
      </c>
    </row>
    <row r="110" spans="1:16">
      <c r="A110">
        <v>108</v>
      </c>
      <c r="B110" t="s">
        <v>20</v>
      </c>
      <c r="C110" t="s">
        <v>93</v>
      </c>
      <c r="D110" t="s">
        <v>94</v>
      </c>
      <c r="E110" t="s">
        <v>76</v>
      </c>
      <c r="F110" t="s">
        <v>95</v>
      </c>
      <c r="G110">
        <v>15</v>
      </c>
      <c r="H110" s="27" t="s">
        <v>133</v>
      </c>
      <c r="I110" s="27" t="s">
        <v>1039</v>
      </c>
      <c r="J110">
        <v>195.9</v>
      </c>
      <c r="K110">
        <v>70.2</v>
      </c>
      <c r="L110">
        <v>2938.5</v>
      </c>
      <c r="M110">
        <v>1053</v>
      </c>
      <c r="N110">
        <v>1885.5</v>
      </c>
      <c r="O110" s="17">
        <f t="shared" si="1"/>
        <v>179.05982905982907</v>
      </c>
      <c r="P110" t="s">
        <v>45</v>
      </c>
    </row>
    <row r="111" spans="1:16">
      <c r="A111">
        <v>109</v>
      </c>
      <c r="B111" t="s">
        <v>483</v>
      </c>
      <c r="C111" t="s">
        <v>474</v>
      </c>
      <c r="D111" t="s">
        <v>473</v>
      </c>
      <c r="E111" t="s">
        <v>72</v>
      </c>
      <c r="F111" t="s">
        <v>587</v>
      </c>
      <c r="G111">
        <v>31</v>
      </c>
      <c r="H111" s="27" t="s">
        <v>781</v>
      </c>
      <c r="I111" s="27" t="s">
        <v>1039</v>
      </c>
      <c r="J111">
        <v>839.52</v>
      </c>
      <c r="K111">
        <v>635.97</v>
      </c>
      <c r="L111">
        <v>26025.119999999999</v>
      </c>
      <c r="M111">
        <v>19715.07</v>
      </c>
      <c r="N111">
        <v>6310.0499999999984</v>
      </c>
      <c r="O111" s="17">
        <f t="shared" si="1"/>
        <v>32.006226708807013</v>
      </c>
      <c r="P111" t="s">
        <v>45</v>
      </c>
    </row>
    <row r="112" spans="1:16">
      <c r="A112">
        <v>110</v>
      </c>
      <c r="B112" t="s">
        <v>786</v>
      </c>
      <c r="C112" t="s">
        <v>787</v>
      </c>
      <c r="D112" t="s">
        <v>787</v>
      </c>
      <c r="E112" t="s">
        <v>72</v>
      </c>
      <c r="F112" t="s">
        <v>788</v>
      </c>
      <c r="G112">
        <v>50</v>
      </c>
      <c r="H112" s="27" t="s">
        <v>792</v>
      </c>
      <c r="I112" s="27" t="s">
        <v>1041</v>
      </c>
      <c r="J112">
        <v>171</v>
      </c>
      <c r="K112">
        <v>130.47999999999999</v>
      </c>
      <c r="L112">
        <v>8550</v>
      </c>
      <c r="M112">
        <v>6523.9999999999991</v>
      </c>
      <c r="N112">
        <v>2026.0000000000005</v>
      </c>
      <c r="O112" s="17">
        <f t="shared" si="1"/>
        <v>31.054567749846729</v>
      </c>
      <c r="P112" t="s">
        <v>45</v>
      </c>
    </row>
    <row r="113" spans="1:16">
      <c r="A113">
        <v>111</v>
      </c>
      <c r="B113" t="s">
        <v>771</v>
      </c>
      <c r="C113" t="s">
        <v>895</v>
      </c>
      <c r="D113" t="s">
        <v>896</v>
      </c>
      <c r="E113" t="s">
        <v>72</v>
      </c>
      <c r="F113" t="s">
        <v>773</v>
      </c>
      <c r="G113">
        <v>15</v>
      </c>
      <c r="H113" s="27" t="s">
        <v>911</v>
      </c>
      <c r="I113" s="27" t="s">
        <v>1042</v>
      </c>
      <c r="J113">
        <v>756.5</v>
      </c>
      <c r="K113">
        <v>443.8</v>
      </c>
      <c r="L113">
        <v>11347.5</v>
      </c>
      <c r="M113">
        <v>6657</v>
      </c>
      <c r="N113">
        <v>4690.5</v>
      </c>
      <c r="O113" s="17">
        <f t="shared" si="1"/>
        <v>70.459666516448863</v>
      </c>
      <c r="P113" t="s">
        <v>45</v>
      </c>
    </row>
    <row r="114" spans="1:16">
      <c r="A114">
        <v>112</v>
      </c>
      <c r="B114" t="s">
        <v>30</v>
      </c>
      <c r="C114" t="s">
        <v>109</v>
      </c>
      <c r="D114" t="s">
        <v>109</v>
      </c>
      <c r="E114" t="s">
        <v>72</v>
      </c>
      <c r="F114" t="s">
        <v>110</v>
      </c>
      <c r="G114">
        <v>150</v>
      </c>
      <c r="H114" s="27" t="s">
        <v>1039</v>
      </c>
      <c r="I114" s="27" t="s">
        <v>1042</v>
      </c>
      <c r="J114">
        <v>65.05</v>
      </c>
      <c r="K114">
        <v>62.55</v>
      </c>
      <c r="L114">
        <v>9757.5</v>
      </c>
      <c r="M114">
        <v>9382.5</v>
      </c>
      <c r="N114">
        <v>375</v>
      </c>
      <c r="O114" s="17">
        <f t="shared" si="1"/>
        <v>3.9968025579536368</v>
      </c>
      <c r="P114" t="s">
        <v>45</v>
      </c>
    </row>
    <row r="115" spans="1:16">
      <c r="A115">
        <v>113</v>
      </c>
      <c r="B115" t="s">
        <v>475</v>
      </c>
      <c r="C115" t="s">
        <v>476</v>
      </c>
      <c r="D115" t="s">
        <v>477</v>
      </c>
      <c r="E115" t="s">
        <v>72</v>
      </c>
      <c r="F115" t="s">
        <v>588</v>
      </c>
      <c r="G115">
        <v>7</v>
      </c>
      <c r="H115" s="27" t="s">
        <v>808</v>
      </c>
      <c r="I115" s="27" t="s">
        <v>1043</v>
      </c>
      <c r="J115">
        <v>1578.46</v>
      </c>
      <c r="K115">
        <v>1649.07</v>
      </c>
      <c r="L115">
        <v>11049.220000000001</v>
      </c>
      <c r="M115">
        <v>11543.49</v>
      </c>
      <c r="N115">
        <v>-494.2699999999993</v>
      </c>
      <c r="O115" s="17">
        <f t="shared" si="1"/>
        <v>-4.2818073217025292</v>
      </c>
      <c r="P115" t="s">
        <v>45</v>
      </c>
    </row>
    <row r="116" spans="1:16">
      <c r="A116">
        <v>114</v>
      </c>
      <c r="B116" t="s">
        <v>475</v>
      </c>
      <c r="C116" t="s">
        <v>476</v>
      </c>
      <c r="D116" t="s">
        <v>477</v>
      </c>
      <c r="E116" t="s">
        <v>72</v>
      </c>
      <c r="F116" t="s">
        <v>588</v>
      </c>
      <c r="G116">
        <v>2</v>
      </c>
      <c r="H116" s="27" t="s">
        <v>789</v>
      </c>
      <c r="I116" s="27" t="s">
        <v>1043</v>
      </c>
      <c r="J116">
        <v>1578.46</v>
      </c>
      <c r="K116">
        <v>1727.9</v>
      </c>
      <c r="L116">
        <v>3156.92</v>
      </c>
      <c r="M116">
        <v>3455.8</v>
      </c>
      <c r="N116">
        <v>-298.88000000000011</v>
      </c>
      <c r="O116" s="17">
        <f t="shared" si="1"/>
        <v>-8.6486486486486527</v>
      </c>
      <c r="P116" t="s">
        <v>45</v>
      </c>
    </row>
    <row r="117" spans="1:16">
      <c r="A117">
        <v>115</v>
      </c>
      <c r="B117" t="s">
        <v>475</v>
      </c>
      <c r="C117" t="s">
        <v>476</v>
      </c>
      <c r="D117" t="s">
        <v>477</v>
      </c>
      <c r="E117" t="s">
        <v>72</v>
      </c>
      <c r="F117" t="s">
        <v>588</v>
      </c>
      <c r="G117">
        <v>4</v>
      </c>
      <c r="H117" s="27" t="s">
        <v>780</v>
      </c>
      <c r="I117" s="27" t="s">
        <v>1043</v>
      </c>
      <c r="J117">
        <v>1578.46</v>
      </c>
      <c r="K117">
        <v>1507.8</v>
      </c>
      <c r="L117">
        <v>6313.84</v>
      </c>
      <c r="M117">
        <v>6031.2</v>
      </c>
      <c r="N117">
        <v>282.64000000000033</v>
      </c>
      <c r="O117" s="17">
        <f t="shared" si="1"/>
        <v>4.6862979174956951</v>
      </c>
      <c r="P117" t="s">
        <v>45</v>
      </c>
    </row>
    <row r="118" spans="1:16">
      <c r="A118">
        <v>116</v>
      </c>
      <c r="B118" t="s">
        <v>475</v>
      </c>
      <c r="C118" t="s">
        <v>476</v>
      </c>
      <c r="D118" t="s">
        <v>477</v>
      </c>
      <c r="E118" t="s">
        <v>72</v>
      </c>
      <c r="F118" t="s">
        <v>588</v>
      </c>
      <c r="G118">
        <v>43</v>
      </c>
      <c r="H118" s="27" t="s">
        <v>484</v>
      </c>
      <c r="I118" s="27" t="s">
        <v>1043</v>
      </c>
      <c r="J118">
        <v>1578.46</v>
      </c>
      <c r="K118">
        <v>1118.1199999999999</v>
      </c>
      <c r="L118">
        <v>67873.78</v>
      </c>
      <c r="M118">
        <v>48079.159999999996</v>
      </c>
      <c r="N118">
        <v>19794.620000000006</v>
      </c>
      <c r="O118" s="17">
        <f t="shared" si="1"/>
        <v>41.170894000643955</v>
      </c>
      <c r="P118" t="s">
        <v>45</v>
      </c>
    </row>
    <row r="119" spans="1:16">
      <c r="A119">
        <v>117</v>
      </c>
      <c r="B119" t="s">
        <v>771</v>
      </c>
      <c r="C119" t="s">
        <v>895</v>
      </c>
      <c r="D119" t="s">
        <v>896</v>
      </c>
      <c r="E119" t="s">
        <v>72</v>
      </c>
      <c r="F119" t="s">
        <v>773</v>
      </c>
      <c r="G119">
        <v>13</v>
      </c>
      <c r="H119" s="27" t="s">
        <v>911</v>
      </c>
      <c r="I119" s="27" t="s">
        <v>1043</v>
      </c>
      <c r="J119">
        <v>689.81</v>
      </c>
      <c r="K119">
        <v>443.8</v>
      </c>
      <c r="L119">
        <v>8967.5299999999988</v>
      </c>
      <c r="M119">
        <v>5769.4000000000005</v>
      </c>
      <c r="N119">
        <v>3198.1299999999992</v>
      </c>
      <c r="O119" s="17">
        <f t="shared" si="1"/>
        <v>55.4326273095989</v>
      </c>
      <c r="P119" t="s">
        <v>45</v>
      </c>
    </row>
    <row r="120" spans="1:16">
      <c r="A120">
        <v>118</v>
      </c>
      <c r="B120" t="s">
        <v>771</v>
      </c>
      <c r="C120" t="s">
        <v>772</v>
      </c>
      <c r="D120" t="s">
        <v>772</v>
      </c>
      <c r="E120" t="s">
        <v>72</v>
      </c>
      <c r="F120" t="s">
        <v>773</v>
      </c>
      <c r="G120">
        <v>6</v>
      </c>
      <c r="H120" s="27" t="s">
        <v>892</v>
      </c>
      <c r="I120" s="27" t="s">
        <v>1043</v>
      </c>
      <c r="J120">
        <v>689.81</v>
      </c>
      <c r="K120">
        <v>358.25</v>
      </c>
      <c r="L120">
        <v>4138.8599999999997</v>
      </c>
      <c r="M120">
        <v>2149.5</v>
      </c>
      <c r="N120">
        <v>1989.3599999999997</v>
      </c>
      <c r="O120" s="17">
        <f t="shared" si="1"/>
        <v>92.549895324494045</v>
      </c>
      <c r="P120" t="s">
        <v>45</v>
      </c>
    </row>
    <row r="121" spans="1:16">
      <c r="A121">
        <v>119</v>
      </c>
      <c r="B121" t="s">
        <v>771</v>
      </c>
      <c r="C121" t="s">
        <v>772</v>
      </c>
      <c r="D121" t="s">
        <v>772</v>
      </c>
      <c r="E121" t="s">
        <v>72</v>
      </c>
      <c r="F121" t="s">
        <v>773</v>
      </c>
      <c r="G121">
        <v>9</v>
      </c>
      <c r="H121" s="27" t="s">
        <v>841</v>
      </c>
      <c r="I121" s="27" t="s">
        <v>1043</v>
      </c>
      <c r="J121">
        <v>689.81</v>
      </c>
      <c r="K121">
        <v>336.55</v>
      </c>
      <c r="L121">
        <v>6208.2899999999991</v>
      </c>
      <c r="M121">
        <v>3028.9500000000003</v>
      </c>
      <c r="N121">
        <v>3179.3399999999992</v>
      </c>
      <c r="O121" s="17">
        <f t="shared" si="1"/>
        <v>104.96508691130586</v>
      </c>
      <c r="P121" t="s">
        <v>45</v>
      </c>
    </row>
    <row r="122" spans="1:16">
      <c r="A122">
        <v>120</v>
      </c>
      <c r="B122" t="s">
        <v>623</v>
      </c>
      <c r="C122" t="s">
        <v>624</v>
      </c>
      <c r="D122" t="s">
        <v>624</v>
      </c>
      <c r="E122" t="s">
        <v>72</v>
      </c>
      <c r="F122" t="s">
        <v>625</v>
      </c>
      <c r="G122">
        <v>12</v>
      </c>
      <c r="H122" s="27" t="s">
        <v>928</v>
      </c>
      <c r="I122" s="27" t="s">
        <v>1043</v>
      </c>
      <c r="J122">
        <v>1525.1</v>
      </c>
      <c r="K122">
        <v>1450</v>
      </c>
      <c r="L122">
        <v>18301.199999999997</v>
      </c>
      <c r="M122">
        <v>17400</v>
      </c>
      <c r="N122">
        <v>901.19999999999891</v>
      </c>
      <c r="O122" s="17">
        <f t="shared" si="1"/>
        <v>5.1793103448275799</v>
      </c>
      <c r="P122" t="s">
        <v>45</v>
      </c>
    </row>
    <row r="123" spans="1:16">
      <c r="A123">
        <v>121</v>
      </c>
      <c r="B123" t="s">
        <v>12</v>
      </c>
      <c r="C123" t="s">
        <v>410</v>
      </c>
      <c r="D123" t="s">
        <v>81</v>
      </c>
      <c r="E123" t="s">
        <v>72</v>
      </c>
      <c r="F123" t="s">
        <v>82</v>
      </c>
      <c r="G123">
        <v>7</v>
      </c>
      <c r="H123" s="27" t="s">
        <v>1044</v>
      </c>
      <c r="I123" s="27" t="s">
        <v>1043</v>
      </c>
      <c r="J123">
        <v>718.71</v>
      </c>
      <c r="K123">
        <v>691.87</v>
      </c>
      <c r="L123">
        <v>5030.97</v>
      </c>
      <c r="M123">
        <v>4843.09</v>
      </c>
      <c r="N123">
        <v>187.88000000000022</v>
      </c>
      <c r="O123" s="17">
        <f t="shared" si="1"/>
        <v>3.8793414947894882</v>
      </c>
      <c r="P123" t="s">
        <v>45</v>
      </c>
    </row>
    <row r="124" spans="1:16">
      <c r="A124">
        <v>122</v>
      </c>
      <c r="B124" t="s">
        <v>25</v>
      </c>
      <c r="C124" t="s">
        <v>100</v>
      </c>
      <c r="D124" t="s">
        <v>100</v>
      </c>
      <c r="E124" t="s">
        <v>72</v>
      </c>
      <c r="F124" t="s">
        <v>101</v>
      </c>
      <c r="G124">
        <v>5</v>
      </c>
      <c r="H124" s="27" t="s">
        <v>928</v>
      </c>
      <c r="I124" s="27" t="s">
        <v>1044</v>
      </c>
      <c r="J124">
        <v>387.65</v>
      </c>
      <c r="K124">
        <v>339</v>
      </c>
      <c r="L124">
        <v>1938.25</v>
      </c>
      <c r="M124">
        <v>1695</v>
      </c>
      <c r="N124">
        <v>243.24999999999989</v>
      </c>
      <c r="O124" s="17">
        <f t="shared" si="1"/>
        <v>14.351032448377575</v>
      </c>
      <c r="P124" t="s">
        <v>45</v>
      </c>
    </row>
    <row r="125" spans="1:16">
      <c r="A125">
        <v>123</v>
      </c>
      <c r="B125" t="s">
        <v>441</v>
      </c>
      <c r="C125" t="s">
        <v>445</v>
      </c>
      <c r="D125" t="s">
        <v>445</v>
      </c>
      <c r="E125" t="s">
        <v>72</v>
      </c>
      <c r="F125" t="s">
        <v>584</v>
      </c>
      <c r="G125">
        <v>3</v>
      </c>
      <c r="H125" s="27" t="s">
        <v>1038</v>
      </c>
      <c r="I125" s="27" t="s">
        <v>1044</v>
      </c>
      <c r="J125">
        <v>1399</v>
      </c>
      <c r="K125">
        <v>1362.61</v>
      </c>
      <c r="L125">
        <v>4197</v>
      </c>
      <c r="M125">
        <v>4087.83</v>
      </c>
      <c r="N125">
        <v>109.1700000000003</v>
      </c>
      <c r="O125" s="17">
        <f t="shared" si="1"/>
        <v>2.6706100791862752</v>
      </c>
      <c r="P125" t="s">
        <v>45</v>
      </c>
    </row>
    <row r="126" spans="1:16">
      <c r="A126">
        <v>124</v>
      </c>
      <c r="B126" t="s">
        <v>485</v>
      </c>
      <c r="C126" t="s">
        <v>486</v>
      </c>
      <c r="D126" t="s">
        <v>486</v>
      </c>
      <c r="E126" t="s">
        <v>72</v>
      </c>
      <c r="F126" t="s">
        <v>590</v>
      </c>
      <c r="G126">
        <v>1</v>
      </c>
      <c r="H126" s="27" t="s">
        <v>833</v>
      </c>
      <c r="I126" s="27" t="s">
        <v>1044</v>
      </c>
      <c r="J126">
        <v>2458.3000000000002</v>
      </c>
      <c r="K126">
        <v>2318.5</v>
      </c>
      <c r="L126">
        <v>2458.3000000000002</v>
      </c>
      <c r="M126">
        <v>2318.5</v>
      </c>
      <c r="N126">
        <v>139.80000000000018</v>
      </c>
      <c r="O126" s="17">
        <f t="shared" si="1"/>
        <v>6.0297606210912313</v>
      </c>
      <c r="P126" t="s">
        <v>45</v>
      </c>
    </row>
    <row r="127" spans="1:16">
      <c r="A127">
        <v>125</v>
      </c>
      <c r="B127" t="s">
        <v>771</v>
      </c>
      <c r="C127" t="s">
        <v>772</v>
      </c>
      <c r="D127" t="s">
        <v>772</v>
      </c>
      <c r="E127" t="s">
        <v>72</v>
      </c>
      <c r="F127" t="s">
        <v>773</v>
      </c>
      <c r="G127">
        <v>15</v>
      </c>
      <c r="H127" s="27" t="s">
        <v>841</v>
      </c>
      <c r="I127" s="27" t="s">
        <v>1044</v>
      </c>
      <c r="J127">
        <v>656.5</v>
      </c>
      <c r="K127">
        <v>336.55</v>
      </c>
      <c r="L127">
        <v>9847.5</v>
      </c>
      <c r="M127">
        <v>5048.25</v>
      </c>
      <c r="N127">
        <v>4799.25</v>
      </c>
      <c r="O127" s="17">
        <f t="shared" si="1"/>
        <v>95.067597682365175</v>
      </c>
      <c r="P127" t="s">
        <v>45</v>
      </c>
    </row>
    <row r="128" spans="1:16">
      <c r="A128">
        <v>126</v>
      </c>
      <c r="B128" t="s">
        <v>1028</v>
      </c>
      <c r="C128" t="s">
        <v>1029</v>
      </c>
      <c r="D128" t="s">
        <v>1029</v>
      </c>
      <c r="E128" t="s">
        <v>72</v>
      </c>
      <c r="F128" t="s">
        <v>1030</v>
      </c>
      <c r="G128">
        <v>16</v>
      </c>
      <c r="H128" s="27" t="s">
        <v>1056</v>
      </c>
      <c r="I128" s="27" t="s">
        <v>1057</v>
      </c>
      <c r="J128">
        <v>630.33000000000004</v>
      </c>
      <c r="K128">
        <v>558.86</v>
      </c>
      <c r="L128">
        <v>10085.280000000001</v>
      </c>
      <c r="M128">
        <v>8941.76</v>
      </c>
      <c r="N128">
        <v>1143.5200000000004</v>
      </c>
      <c r="O128" s="17">
        <f t="shared" si="1"/>
        <v>12.788533800951942</v>
      </c>
      <c r="P128" t="s">
        <v>45</v>
      </c>
    </row>
    <row r="129" spans="1:16">
      <c r="A129">
        <v>127</v>
      </c>
      <c r="B129" t="s">
        <v>665</v>
      </c>
      <c r="C129" t="s">
        <v>666</v>
      </c>
      <c r="D129" t="s">
        <v>666</v>
      </c>
      <c r="E129" t="s">
        <v>72</v>
      </c>
      <c r="F129" t="s">
        <v>667</v>
      </c>
      <c r="G129">
        <v>10</v>
      </c>
      <c r="H129" s="27" t="s">
        <v>1058</v>
      </c>
      <c r="I129" s="27" t="s">
        <v>1057</v>
      </c>
      <c r="J129">
        <v>2143.61</v>
      </c>
      <c r="K129">
        <v>1918.15</v>
      </c>
      <c r="L129">
        <v>21436.100000000002</v>
      </c>
      <c r="M129">
        <v>19181.5</v>
      </c>
      <c r="N129">
        <v>2254.6000000000004</v>
      </c>
      <c r="O129" s="17">
        <f t="shared" si="1"/>
        <v>11.754033834684463</v>
      </c>
      <c r="P129" t="s">
        <v>45</v>
      </c>
    </row>
    <row r="130" spans="1:16">
      <c r="A130">
        <v>128</v>
      </c>
      <c r="B130" t="s">
        <v>230</v>
      </c>
      <c r="C130" t="s">
        <v>117</v>
      </c>
      <c r="D130" t="s">
        <v>117</v>
      </c>
      <c r="E130" t="s">
        <v>72</v>
      </c>
      <c r="F130" t="s">
        <v>118</v>
      </c>
      <c r="G130">
        <v>50</v>
      </c>
      <c r="H130" s="27" t="s">
        <v>1059</v>
      </c>
      <c r="I130" s="27" t="s">
        <v>1057</v>
      </c>
      <c r="J130">
        <v>209.12</v>
      </c>
      <c r="K130">
        <v>181.79</v>
      </c>
      <c r="L130">
        <v>10456</v>
      </c>
      <c r="M130">
        <v>9089.5</v>
      </c>
      <c r="N130">
        <v>1366.5000000000007</v>
      </c>
      <c r="O130" s="17">
        <f t="shared" si="1"/>
        <v>15.033830243687779</v>
      </c>
      <c r="P130" t="s">
        <v>45</v>
      </c>
    </row>
    <row r="131" spans="1:16">
      <c r="A131">
        <v>129</v>
      </c>
      <c r="B131" t="s">
        <v>13</v>
      </c>
      <c r="C131" t="s">
        <v>83</v>
      </c>
      <c r="D131" t="s">
        <v>246</v>
      </c>
      <c r="E131" t="s">
        <v>76</v>
      </c>
      <c r="F131" t="s">
        <v>84</v>
      </c>
      <c r="G131">
        <v>10</v>
      </c>
      <c r="H131" s="27" t="s">
        <v>1046</v>
      </c>
      <c r="I131" s="27" t="s">
        <v>1057</v>
      </c>
      <c r="J131">
        <v>1212.5</v>
      </c>
      <c r="K131">
        <v>1151.6300000000001</v>
      </c>
      <c r="L131">
        <v>12125</v>
      </c>
      <c r="M131">
        <v>11516.300000000001</v>
      </c>
      <c r="N131">
        <v>608.69999999999891</v>
      </c>
      <c r="O131" s="17">
        <f t="shared" si="1"/>
        <v>5.2855517831247782</v>
      </c>
      <c r="P131" t="s">
        <v>45</v>
      </c>
    </row>
    <row r="132" spans="1:16">
      <c r="A132">
        <v>130</v>
      </c>
      <c r="B132" t="s">
        <v>893</v>
      </c>
      <c r="C132" t="s">
        <v>904</v>
      </c>
      <c r="D132" t="s">
        <v>904</v>
      </c>
      <c r="E132" t="s">
        <v>72</v>
      </c>
      <c r="F132" t="s">
        <v>905</v>
      </c>
      <c r="G132">
        <v>15</v>
      </c>
      <c r="H132" s="27" t="s">
        <v>1046</v>
      </c>
      <c r="I132" s="27" t="s">
        <v>1058</v>
      </c>
      <c r="J132">
        <v>937.85</v>
      </c>
      <c r="K132">
        <v>835.33</v>
      </c>
      <c r="L132">
        <v>14067.75</v>
      </c>
      <c r="M132">
        <v>12529.95</v>
      </c>
      <c r="N132">
        <v>1537.7999999999997</v>
      </c>
      <c r="O132" s="17">
        <f t="shared" ref="O132:O195" si="2">N132/M132%</f>
        <v>12.272993906599783</v>
      </c>
      <c r="P132" t="s">
        <v>45</v>
      </c>
    </row>
    <row r="133" spans="1:16">
      <c r="A133">
        <v>131</v>
      </c>
      <c r="B133" t="s">
        <v>881</v>
      </c>
      <c r="C133" t="s">
        <v>880</v>
      </c>
      <c r="D133" t="s">
        <v>880</v>
      </c>
      <c r="E133" t="s">
        <v>72</v>
      </c>
      <c r="F133" t="s">
        <v>882</v>
      </c>
      <c r="G133">
        <v>15</v>
      </c>
      <c r="H133" s="27" t="s">
        <v>1042</v>
      </c>
      <c r="I133" s="27" t="s">
        <v>1058</v>
      </c>
      <c r="J133">
        <v>729.25</v>
      </c>
      <c r="K133">
        <v>605.35</v>
      </c>
      <c r="L133">
        <v>10938.75</v>
      </c>
      <c r="M133">
        <v>9080.25</v>
      </c>
      <c r="N133">
        <v>1858.4999999999995</v>
      </c>
      <c r="O133" s="17">
        <f t="shared" si="2"/>
        <v>20.467498141570989</v>
      </c>
      <c r="P133" t="s">
        <v>45</v>
      </c>
    </row>
    <row r="134" spans="1:16">
      <c r="A134">
        <v>132</v>
      </c>
      <c r="B134" t="s">
        <v>1028</v>
      </c>
      <c r="C134" t="s">
        <v>1029</v>
      </c>
      <c r="D134" t="s">
        <v>1029</v>
      </c>
      <c r="E134" t="s">
        <v>72</v>
      </c>
      <c r="F134" t="s">
        <v>1030</v>
      </c>
      <c r="G134">
        <v>16</v>
      </c>
      <c r="H134" s="27" t="s">
        <v>1056</v>
      </c>
      <c r="I134" s="27" t="s">
        <v>1060</v>
      </c>
      <c r="J134">
        <v>640.11</v>
      </c>
      <c r="K134">
        <v>558.86</v>
      </c>
      <c r="L134">
        <v>10241.76</v>
      </c>
      <c r="M134">
        <v>8941.76</v>
      </c>
      <c r="N134">
        <v>1300</v>
      </c>
      <c r="O134" s="17">
        <f t="shared" si="2"/>
        <v>14.538524854167411</v>
      </c>
      <c r="P134" t="s">
        <v>45</v>
      </c>
    </row>
    <row r="135" spans="1:16">
      <c r="A135">
        <v>133</v>
      </c>
      <c r="B135" t="s">
        <v>842</v>
      </c>
      <c r="C135" t="s">
        <v>843</v>
      </c>
      <c r="D135" t="s">
        <v>843</v>
      </c>
      <c r="E135" t="s">
        <v>72</v>
      </c>
      <c r="F135" t="s">
        <v>844</v>
      </c>
      <c r="G135">
        <v>10</v>
      </c>
      <c r="H135" s="27" t="s">
        <v>1045</v>
      </c>
      <c r="I135" s="27" t="s">
        <v>1060</v>
      </c>
      <c r="J135">
        <v>1377.45</v>
      </c>
      <c r="K135">
        <v>1258.25</v>
      </c>
      <c r="L135">
        <v>13774.5</v>
      </c>
      <c r="M135">
        <v>12582.5</v>
      </c>
      <c r="N135">
        <v>1192.0000000000005</v>
      </c>
      <c r="O135" s="17">
        <f t="shared" si="2"/>
        <v>9.4734750645738171</v>
      </c>
      <c r="P135" t="s">
        <v>45</v>
      </c>
    </row>
    <row r="136" spans="1:16">
      <c r="A136">
        <v>134</v>
      </c>
      <c r="B136" t="s">
        <v>483</v>
      </c>
      <c r="C136" t="s">
        <v>474</v>
      </c>
      <c r="D136" t="s">
        <v>473</v>
      </c>
      <c r="E136" t="s">
        <v>72</v>
      </c>
      <c r="F136" t="s">
        <v>587</v>
      </c>
      <c r="G136">
        <v>20</v>
      </c>
      <c r="H136" s="27" t="s">
        <v>1048</v>
      </c>
      <c r="I136" s="27" t="s">
        <v>1060</v>
      </c>
      <c r="J136">
        <v>843.3</v>
      </c>
      <c r="K136">
        <v>790.43</v>
      </c>
      <c r="L136">
        <v>16866</v>
      </c>
      <c r="M136">
        <v>15808.599999999999</v>
      </c>
      <c r="N136">
        <v>1057.4000000000001</v>
      </c>
      <c r="O136" s="17">
        <f t="shared" si="2"/>
        <v>6.688764343458625</v>
      </c>
      <c r="P136" t="s">
        <v>45</v>
      </c>
    </row>
    <row r="137" spans="1:16">
      <c r="A137">
        <v>135</v>
      </c>
      <c r="B137" t="s">
        <v>12</v>
      </c>
      <c r="C137" t="s">
        <v>410</v>
      </c>
      <c r="D137" t="s">
        <v>81</v>
      </c>
      <c r="E137" t="s">
        <v>72</v>
      </c>
      <c r="F137" t="s">
        <v>82</v>
      </c>
      <c r="G137">
        <v>19</v>
      </c>
      <c r="H137" s="27" t="s">
        <v>1044</v>
      </c>
      <c r="I137" s="27" t="s">
        <v>1061</v>
      </c>
      <c r="J137">
        <v>791.56</v>
      </c>
      <c r="K137">
        <v>691.87</v>
      </c>
      <c r="L137">
        <v>15039.64</v>
      </c>
      <c r="M137">
        <v>13145.53</v>
      </c>
      <c r="N137">
        <v>1894.1099999999988</v>
      </c>
      <c r="O137" s="17">
        <f t="shared" si="2"/>
        <v>14.408776215184925</v>
      </c>
      <c r="P137" t="s">
        <v>45</v>
      </c>
    </row>
    <row r="138" spans="1:16">
      <c r="A138">
        <v>136</v>
      </c>
      <c r="B138" t="s">
        <v>771</v>
      </c>
      <c r="C138" t="s">
        <v>895</v>
      </c>
      <c r="D138" t="s">
        <v>772</v>
      </c>
      <c r="E138" t="s">
        <v>72</v>
      </c>
      <c r="F138" t="s">
        <v>773</v>
      </c>
      <c r="G138">
        <v>18</v>
      </c>
      <c r="H138" s="27" t="s">
        <v>1059</v>
      </c>
      <c r="I138" s="27" t="s">
        <v>1061</v>
      </c>
      <c r="J138">
        <v>790.42</v>
      </c>
      <c r="K138">
        <v>707.75</v>
      </c>
      <c r="L138">
        <v>14227.56</v>
      </c>
      <c r="M138">
        <v>12739.5</v>
      </c>
      <c r="N138">
        <v>1488.0599999999993</v>
      </c>
      <c r="O138" s="17">
        <f t="shared" si="2"/>
        <v>11.680678205581062</v>
      </c>
      <c r="P138" t="s">
        <v>45</v>
      </c>
    </row>
    <row r="139" spans="1:16">
      <c r="A139">
        <v>137</v>
      </c>
      <c r="B139" t="s">
        <v>649</v>
      </c>
      <c r="C139" t="s">
        <v>648</v>
      </c>
      <c r="D139" t="s">
        <v>648</v>
      </c>
      <c r="E139" t="s">
        <v>72</v>
      </c>
      <c r="F139" t="s">
        <v>975</v>
      </c>
      <c r="G139">
        <v>50</v>
      </c>
      <c r="H139" s="27" t="s">
        <v>1062</v>
      </c>
      <c r="I139" s="27" t="s">
        <v>1063</v>
      </c>
      <c r="J139">
        <v>150.69999999999999</v>
      </c>
      <c r="K139">
        <v>136.08000000000001</v>
      </c>
      <c r="L139">
        <v>7534.9999999999991</v>
      </c>
      <c r="M139">
        <v>6804.0000000000009</v>
      </c>
      <c r="N139">
        <v>730.99999999999886</v>
      </c>
      <c r="O139" s="17">
        <f t="shared" si="2"/>
        <v>10.743680188124614</v>
      </c>
      <c r="P139" t="s">
        <v>45</v>
      </c>
    </row>
    <row r="140" spans="1:16">
      <c r="A140">
        <v>138</v>
      </c>
      <c r="B140" t="s">
        <v>545</v>
      </c>
      <c r="C140" t="s">
        <v>546</v>
      </c>
      <c r="D140" t="s">
        <v>546</v>
      </c>
      <c r="E140" t="s">
        <v>72</v>
      </c>
      <c r="F140" t="s">
        <v>547</v>
      </c>
      <c r="G140">
        <v>7</v>
      </c>
      <c r="H140" s="27" t="s">
        <v>1045</v>
      </c>
      <c r="I140" s="27" t="s">
        <v>1064</v>
      </c>
      <c r="J140">
        <v>1476.76</v>
      </c>
      <c r="K140">
        <v>1344.88</v>
      </c>
      <c r="L140">
        <v>10337.32</v>
      </c>
      <c r="M140">
        <v>9414.16</v>
      </c>
      <c r="N140">
        <v>923.15999999999917</v>
      </c>
      <c r="O140" s="17">
        <f t="shared" si="2"/>
        <v>9.8060793528047032</v>
      </c>
      <c r="P140" t="s">
        <v>45</v>
      </c>
    </row>
    <row r="141" spans="1:16">
      <c r="A141">
        <v>139</v>
      </c>
      <c r="B141" t="s">
        <v>771</v>
      </c>
      <c r="C141" t="s">
        <v>895</v>
      </c>
      <c r="D141" t="s">
        <v>772</v>
      </c>
      <c r="E141" t="s">
        <v>72</v>
      </c>
      <c r="F141" t="s">
        <v>773</v>
      </c>
      <c r="G141">
        <v>2</v>
      </c>
      <c r="H141" s="27" t="s">
        <v>1059</v>
      </c>
      <c r="I141" s="27" t="s">
        <v>1064</v>
      </c>
      <c r="J141">
        <v>709.02</v>
      </c>
      <c r="K141">
        <v>707.75</v>
      </c>
      <c r="L141">
        <v>1418.04</v>
      </c>
      <c r="M141">
        <v>1415.5</v>
      </c>
      <c r="N141">
        <v>2.5399999999999636</v>
      </c>
      <c r="O141" s="17">
        <f t="shared" si="2"/>
        <v>0.17944189332391125</v>
      </c>
      <c r="P141" t="s">
        <v>45</v>
      </c>
    </row>
    <row r="142" spans="1:16">
      <c r="A142">
        <v>140</v>
      </c>
      <c r="B142" t="s">
        <v>771</v>
      </c>
      <c r="C142" t="s">
        <v>895</v>
      </c>
      <c r="D142" t="s">
        <v>772</v>
      </c>
      <c r="E142" t="s">
        <v>72</v>
      </c>
      <c r="F142" t="s">
        <v>773</v>
      </c>
      <c r="G142">
        <v>10</v>
      </c>
      <c r="H142" s="27" t="s">
        <v>1045</v>
      </c>
      <c r="I142" s="27" t="s">
        <v>1064</v>
      </c>
      <c r="J142">
        <v>709.02</v>
      </c>
      <c r="K142">
        <v>665.6</v>
      </c>
      <c r="L142">
        <v>7090.2</v>
      </c>
      <c r="M142">
        <v>6656</v>
      </c>
      <c r="N142">
        <v>434.19999999999959</v>
      </c>
      <c r="O142" s="17">
        <f t="shared" si="2"/>
        <v>6.5234374999999938</v>
      </c>
      <c r="P142" t="s">
        <v>45</v>
      </c>
    </row>
    <row r="143" spans="1:16">
      <c r="A143">
        <v>141</v>
      </c>
      <c r="B143" t="s">
        <v>627</v>
      </c>
      <c r="C143" t="s">
        <v>683</v>
      </c>
      <c r="D143" t="s">
        <v>628</v>
      </c>
      <c r="E143" t="s">
        <v>72</v>
      </c>
      <c r="F143" t="s">
        <v>629</v>
      </c>
      <c r="G143">
        <v>35</v>
      </c>
      <c r="H143" s="27" t="s">
        <v>1065</v>
      </c>
      <c r="I143" s="27" t="s">
        <v>1064</v>
      </c>
      <c r="J143">
        <v>371.57</v>
      </c>
      <c r="K143">
        <v>328.21</v>
      </c>
      <c r="L143">
        <v>13004.949999999999</v>
      </c>
      <c r="M143">
        <v>11487.349999999999</v>
      </c>
      <c r="N143">
        <v>1517.6000000000004</v>
      </c>
      <c r="O143" s="17">
        <f t="shared" si="2"/>
        <v>13.211053898418701</v>
      </c>
      <c r="P143" t="s">
        <v>45</v>
      </c>
    </row>
    <row r="144" spans="1:16">
      <c r="A144">
        <v>142</v>
      </c>
      <c r="B144" t="s">
        <v>751</v>
      </c>
      <c r="C144" t="s">
        <v>763</v>
      </c>
      <c r="D144" t="s">
        <v>752</v>
      </c>
      <c r="E144" t="s">
        <v>72</v>
      </c>
      <c r="F144" t="s">
        <v>754</v>
      </c>
      <c r="G144">
        <v>7</v>
      </c>
      <c r="H144" s="27" t="s">
        <v>1063</v>
      </c>
      <c r="I144" s="27" t="s">
        <v>1064</v>
      </c>
      <c r="J144">
        <v>1805.86</v>
      </c>
      <c r="K144">
        <v>1628.9</v>
      </c>
      <c r="L144">
        <v>12641.019999999999</v>
      </c>
      <c r="M144">
        <v>11402.300000000001</v>
      </c>
      <c r="N144">
        <v>1238.7199999999987</v>
      </c>
      <c r="O144" s="17">
        <f t="shared" si="2"/>
        <v>10.863773098409958</v>
      </c>
      <c r="P144" t="s">
        <v>45</v>
      </c>
    </row>
    <row r="145" spans="1:16">
      <c r="A145">
        <v>143</v>
      </c>
      <c r="B145" t="s">
        <v>12</v>
      </c>
      <c r="C145" t="s">
        <v>410</v>
      </c>
      <c r="D145" t="s">
        <v>81</v>
      </c>
      <c r="E145" t="s">
        <v>72</v>
      </c>
      <c r="F145" t="s">
        <v>82</v>
      </c>
      <c r="G145">
        <v>14</v>
      </c>
      <c r="H145" s="27" t="s">
        <v>1044</v>
      </c>
      <c r="I145" s="27" t="s">
        <v>1064</v>
      </c>
      <c r="J145">
        <v>739.27</v>
      </c>
      <c r="K145">
        <v>691.87</v>
      </c>
      <c r="L145">
        <v>10349.779999999999</v>
      </c>
      <c r="M145">
        <v>9686.18</v>
      </c>
      <c r="N145">
        <v>663.59999999999968</v>
      </c>
      <c r="O145" s="17">
        <f t="shared" si="2"/>
        <v>6.8509980198592189</v>
      </c>
      <c r="P145" t="s">
        <v>45</v>
      </c>
    </row>
    <row r="146" spans="1:16">
      <c r="A146">
        <v>144</v>
      </c>
      <c r="B146" t="s">
        <v>12</v>
      </c>
      <c r="C146" t="s">
        <v>410</v>
      </c>
      <c r="D146" t="s">
        <v>81</v>
      </c>
      <c r="E146" t="s">
        <v>72</v>
      </c>
      <c r="F146" t="s">
        <v>82</v>
      </c>
      <c r="G146">
        <v>4</v>
      </c>
      <c r="H146" s="27" t="s">
        <v>1031</v>
      </c>
      <c r="I146" s="27" t="s">
        <v>1064</v>
      </c>
      <c r="J146">
        <v>739.27</v>
      </c>
      <c r="K146">
        <v>715.6</v>
      </c>
      <c r="L146">
        <v>2957.08</v>
      </c>
      <c r="M146">
        <v>2862.4</v>
      </c>
      <c r="N146">
        <v>94.679999999999836</v>
      </c>
      <c r="O146" s="17">
        <f t="shared" si="2"/>
        <v>3.3077138065958578</v>
      </c>
      <c r="P146" t="s">
        <v>45</v>
      </c>
    </row>
    <row r="147" spans="1:16">
      <c r="A147">
        <v>145</v>
      </c>
      <c r="B147" t="s">
        <v>610</v>
      </c>
      <c r="C147" t="s">
        <v>611</v>
      </c>
      <c r="D147" t="s">
        <v>695</v>
      </c>
      <c r="E147" t="s">
        <v>72</v>
      </c>
      <c r="F147" t="s">
        <v>612</v>
      </c>
      <c r="G147">
        <v>22</v>
      </c>
      <c r="H147" s="27" t="s">
        <v>1047</v>
      </c>
      <c r="I147" s="27" t="s">
        <v>1062</v>
      </c>
      <c r="J147">
        <v>413.32</v>
      </c>
      <c r="K147">
        <v>382.88</v>
      </c>
      <c r="L147">
        <v>9093.0399999999991</v>
      </c>
      <c r="M147">
        <v>8423.36</v>
      </c>
      <c r="N147">
        <v>669.68</v>
      </c>
      <c r="O147" s="17">
        <f t="shared" si="2"/>
        <v>7.9502716255745911</v>
      </c>
      <c r="P147" t="s">
        <v>45</v>
      </c>
    </row>
    <row r="148" spans="1:16">
      <c r="A148">
        <v>146</v>
      </c>
      <c r="B148" t="s">
        <v>1028</v>
      </c>
      <c r="C148" t="s">
        <v>1029</v>
      </c>
      <c r="D148" t="s">
        <v>1029</v>
      </c>
      <c r="E148" t="s">
        <v>72</v>
      </c>
      <c r="F148" t="s">
        <v>1030</v>
      </c>
      <c r="G148">
        <v>14</v>
      </c>
      <c r="H148" s="27" t="s">
        <v>1056</v>
      </c>
      <c r="I148" s="27" t="s">
        <v>1062</v>
      </c>
      <c r="J148">
        <v>577.23</v>
      </c>
      <c r="K148">
        <v>558.86</v>
      </c>
      <c r="L148">
        <v>8081.22</v>
      </c>
      <c r="M148">
        <v>7824.04</v>
      </c>
      <c r="N148">
        <v>257.18000000000006</v>
      </c>
      <c r="O148" s="17">
        <f t="shared" si="2"/>
        <v>3.2870486347206826</v>
      </c>
      <c r="P148" t="s">
        <v>45</v>
      </c>
    </row>
    <row r="149" spans="1:16">
      <c r="A149">
        <v>147</v>
      </c>
      <c r="B149" t="s">
        <v>677</v>
      </c>
      <c r="C149" t="s">
        <v>678</v>
      </c>
      <c r="D149" t="s">
        <v>678</v>
      </c>
      <c r="E149" t="s">
        <v>72</v>
      </c>
      <c r="F149" t="s">
        <v>679</v>
      </c>
      <c r="G149">
        <v>15</v>
      </c>
      <c r="H149" s="27" t="s">
        <v>1056</v>
      </c>
      <c r="I149" s="27" t="s">
        <v>1062</v>
      </c>
      <c r="J149">
        <v>395</v>
      </c>
      <c r="K149">
        <v>378.97</v>
      </c>
      <c r="L149">
        <v>5925</v>
      </c>
      <c r="M149">
        <v>5684.55</v>
      </c>
      <c r="N149">
        <v>240.44999999999959</v>
      </c>
      <c r="O149" s="17">
        <f t="shared" si="2"/>
        <v>4.2298862706810496</v>
      </c>
      <c r="P149" t="s">
        <v>45</v>
      </c>
    </row>
    <row r="150" spans="1:16">
      <c r="A150">
        <v>148</v>
      </c>
      <c r="B150" t="s">
        <v>530</v>
      </c>
      <c r="C150" t="s">
        <v>531</v>
      </c>
      <c r="D150" t="s">
        <v>531</v>
      </c>
      <c r="E150" t="s">
        <v>72</v>
      </c>
      <c r="F150" t="s">
        <v>532</v>
      </c>
      <c r="G150">
        <v>15</v>
      </c>
      <c r="H150" s="27" t="s">
        <v>1058</v>
      </c>
      <c r="I150" s="27" t="s">
        <v>1062</v>
      </c>
      <c r="J150">
        <v>689</v>
      </c>
      <c r="K150">
        <v>533.23</v>
      </c>
      <c r="L150">
        <v>10335</v>
      </c>
      <c r="M150">
        <v>7998.4500000000007</v>
      </c>
      <c r="N150">
        <v>2336.5499999999997</v>
      </c>
      <c r="O150" s="17">
        <f t="shared" si="2"/>
        <v>29.212534928642416</v>
      </c>
      <c r="P150" t="s">
        <v>45</v>
      </c>
    </row>
    <row r="151" spans="1:16">
      <c r="A151">
        <v>149</v>
      </c>
      <c r="B151" t="s">
        <v>230</v>
      </c>
      <c r="C151" t="s">
        <v>117</v>
      </c>
      <c r="D151" t="s">
        <v>117</v>
      </c>
      <c r="E151" t="s">
        <v>72</v>
      </c>
      <c r="F151" t="s">
        <v>118</v>
      </c>
      <c r="G151">
        <v>35</v>
      </c>
      <c r="H151" s="27" t="s">
        <v>1059</v>
      </c>
      <c r="I151" s="27" t="s">
        <v>1056</v>
      </c>
      <c r="J151">
        <v>195.07</v>
      </c>
      <c r="K151">
        <v>181.79</v>
      </c>
      <c r="L151">
        <v>6827.45</v>
      </c>
      <c r="M151">
        <v>6362.65</v>
      </c>
      <c r="N151">
        <v>464.80000000000007</v>
      </c>
      <c r="O151" s="17">
        <f t="shared" si="2"/>
        <v>7.3051322955058051</v>
      </c>
      <c r="P151" t="s">
        <v>45</v>
      </c>
    </row>
    <row r="152" spans="1:16">
      <c r="A152">
        <v>150</v>
      </c>
      <c r="B152" t="s">
        <v>982</v>
      </c>
      <c r="C152" t="s">
        <v>943</v>
      </c>
      <c r="D152" t="s">
        <v>943</v>
      </c>
      <c r="E152" t="s">
        <v>72</v>
      </c>
      <c r="F152" t="s">
        <v>944</v>
      </c>
      <c r="G152">
        <v>15</v>
      </c>
      <c r="H152" s="27" t="s">
        <v>1066</v>
      </c>
      <c r="I152" s="27" t="s">
        <v>1056</v>
      </c>
      <c r="J152">
        <v>507</v>
      </c>
      <c r="K152">
        <v>461.23</v>
      </c>
      <c r="L152">
        <v>7605</v>
      </c>
      <c r="M152">
        <v>6918.4500000000007</v>
      </c>
      <c r="N152">
        <v>686.54999999999973</v>
      </c>
      <c r="O152" s="17">
        <f t="shared" si="2"/>
        <v>9.9234655161199345</v>
      </c>
      <c r="P152" t="s">
        <v>45</v>
      </c>
    </row>
    <row r="153" spans="1:16">
      <c r="A153">
        <v>151</v>
      </c>
      <c r="B153" t="s">
        <v>15</v>
      </c>
      <c r="C153" t="s">
        <v>15</v>
      </c>
      <c r="D153" t="s">
        <v>15</v>
      </c>
      <c r="E153" t="s">
        <v>72</v>
      </c>
      <c r="F153" t="s">
        <v>87</v>
      </c>
      <c r="G153">
        <v>20</v>
      </c>
      <c r="H153" s="27" t="s">
        <v>146</v>
      </c>
      <c r="I153" s="27" t="s">
        <v>1067</v>
      </c>
      <c r="J153">
        <v>624.25</v>
      </c>
      <c r="K153">
        <v>383</v>
      </c>
      <c r="L153">
        <v>12485</v>
      </c>
      <c r="M153">
        <v>7660</v>
      </c>
      <c r="N153">
        <v>4825</v>
      </c>
      <c r="O153" s="17">
        <f t="shared" si="2"/>
        <v>62.989556135770236</v>
      </c>
      <c r="P153" t="s">
        <v>45</v>
      </c>
    </row>
    <row r="154" spans="1:16">
      <c r="A154">
        <v>152</v>
      </c>
      <c r="B154" t="s">
        <v>1028</v>
      </c>
      <c r="C154" t="s">
        <v>1029</v>
      </c>
      <c r="D154" t="s">
        <v>1029</v>
      </c>
      <c r="E154" t="s">
        <v>72</v>
      </c>
      <c r="F154" t="s">
        <v>1030</v>
      </c>
      <c r="G154">
        <v>15</v>
      </c>
      <c r="H154" s="27" t="s">
        <v>1056</v>
      </c>
      <c r="I154" s="27" t="s">
        <v>1046</v>
      </c>
      <c r="J154">
        <v>601.6</v>
      </c>
      <c r="K154">
        <v>558.86</v>
      </c>
      <c r="L154">
        <v>9024</v>
      </c>
      <c r="M154">
        <v>8382.9</v>
      </c>
      <c r="N154">
        <v>641.10000000000014</v>
      </c>
      <c r="O154" s="17">
        <f t="shared" si="2"/>
        <v>7.6477114125183432</v>
      </c>
      <c r="P154" t="s">
        <v>45</v>
      </c>
    </row>
    <row r="155" spans="1:16">
      <c r="A155">
        <v>153</v>
      </c>
      <c r="B155" t="s">
        <v>894</v>
      </c>
      <c r="C155" t="s">
        <v>898</v>
      </c>
      <c r="D155" t="s">
        <v>898</v>
      </c>
      <c r="E155" t="s">
        <v>72</v>
      </c>
      <c r="F155" t="s">
        <v>899</v>
      </c>
      <c r="G155">
        <v>3</v>
      </c>
      <c r="H155" s="27" t="s">
        <v>1058</v>
      </c>
      <c r="I155" s="27" t="s">
        <v>1070</v>
      </c>
      <c r="J155">
        <v>3665.55</v>
      </c>
      <c r="K155">
        <v>3448.5</v>
      </c>
      <c r="L155">
        <v>10996.650000000001</v>
      </c>
      <c r="M155">
        <v>10345.5</v>
      </c>
      <c r="N155">
        <v>651.15000000000055</v>
      </c>
      <c r="O155" s="17">
        <f t="shared" si="2"/>
        <v>6.2940408873423284</v>
      </c>
      <c r="P155" t="s">
        <v>45</v>
      </c>
    </row>
    <row r="156" spans="1:16">
      <c r="A156">
        <v>154</v>
      </c>
      <c r="B156" t="s">
        <v>674</v>
      </c>
      <c r="C156" t="s">
        <v>675</v>
      </c>
      <c r="D156" t="s">
        <v>675</v>
      </c>
      <c r="E156" t="s">
        <v>72</v>
      </c>
      <c r="F156" t="s">
        <v>676</v>
      </c>
      <c r="G156">
        <v>6</v>
      </c>
      <c r="H156" s="27" t="s">
        <v>1034</v>
      </c>
      <c r="I156" s="27" t="s">
        <v>1070</v>
      </c>
      <c r="J156">
        <v>612.5</v>
      </c>
      <c r="K156">
        <v>541.9</v>
      </c>
      <c r="L156">
        <v>3675</v>
      </c>
      <c r="M156">
        <v>3251.3999999999996</v>
      </c>
      <c r="N156">
        <v>423.60000000000014</v>
      </c>
      <c r="O156" s="17">
        <f t="shared" si="2"/>
        <v>13.028233991511355</v>
      </c>
      <c r="P156" t="s">
        <v>45</v>
      </c>
    </row>
    <row r="157" spans="1:16">
      <c r="A157">
        <v>155</v>
      </c>
      <c r="B157" t="s">
        <v>674</v>
      </c>
      <c r="C157" t="s">
        <v>675</v>
      </c>
      <c r="D157" t="s">
        <v>675</v>
      </c>
      <c r="E157" t="s">
        <v>72</v>
      </c>
      <c r="F157" t="s">
        <v>676</v>
      </c>
      <c r="G157">
        <v>14</v>
      </c>
      <c r="H157" s="27" t="s">
        <v>941</v>
      </c>
      <c r="I157" s="27" t="s">
        <v>1070</v>
      </c>
      <c r="J157">
        <v>612.5</v>
      </c>
      <c r="K157">
        <v>508.95</v>
      </c>
      <c r="L157">
        <v>8575</v>
      </c>
      <c r="M157">
        <v>7125.3</v>
      </c>
      <c r="N157">
        <v>1449.7000000000003</v>
      </c>
      <c r="O157" s="17">
        <f t="shared" si="2"/>
        <v>20.345810000982418</v>
      </c>
      <c r="P157" t="s">
        <v>45</v>
      </c>
    </row>
    <row r="158" spans="1:16">
      <c r="A158">
        <v>156</v>
      </c>
      <c r="B158" t="s">
        <v>18</v>
      </c>
      <c r="C158">
        <v>532281</v>
      </c>
      <c r="D158" t="s">
        <v>88</v>
      </c>
      <c r="E158" t="s">
        <v>72</v>
      </c>
      <c r="F158" t="s">
        <v>89</v>
      </c>
      <c r="G158">
        <v>10</v>
      </c>
      <c r="H158" s="27" t="s">
        <v>1058</v>
      </c>
      <c r="I158" s="27" t="s">
        <v>1070</v>
      </c>
      <c r="J158">
        <v>1058.5999999999999</v>
      </c>
      <c r="K158">
        <v>1004.6</v>
      </c>
      <c r="L158">
        <v>10586</v>
      </c>
      <c r="M158">
        <v>10046</v>
      </c>
      <c r="N158">
        <v>539.99999999999886</v>
      </c>
      <c r="O158" s="17">
        <f t="shared" si="2"/>
        <v>5.3752737407923439</v>
      </c>
      <c r="P158" t="s">
        <v>45</v>
      </c>
    </row>
    <row r="159" spans="1:16">
      <c r="A159">
        <v>157</v>
      </c>
      <c r="B159" t="s">
        <v>566</v>
      </c>
      <c r="C159" t="s">
        <v>567</v>
      </c>
      <c r="D159" t="s">
        <v>567</v>
      </c>
      <c r="E159" t="s">
        <v>72</v>
      </c>
      <c r="F159" t="s">
        <v>585</v>
      </c>
      <c r="G159">
        <v>25</v>
      </c>
      <c r="H159" s="27" t="s">
        <v>1059</v>
      </c>
      <c r="I159" s="27" t="s">
        <v>1071</v>
      </c>
      <c r="J159">
        <v>442.3</v>
      </c>
      <c r="K159">
        <v>421.3</v>
      </c>
      <c r="L159">
        <v>11057.5</v>
      </c>
      <c r="M159">
        <v>10532.5</v>
      </c>
      <c r="N159">
        <v>525</v>
      </c>
      <c r="O159" s="17">
        <f t="shared" si="2"/>
        <v>4.9845715642060284</v>
      </c>
      <c r="P159" t="s">
        <v>45</v>
      </c>
    </row>
    <row r="160" spans="1:16">
      <c r="A160">
        <v>158</v>
      </c>
      <c r="B160" t="s">
        <v>689</v>
      </c>
      <c r="C160" t="s">
        <v>690</v>
      </c>
      <c r="D160" t="s">
        <v>690</v>
      </c>
      <c r="E160" t="s">
        <v>72</v>
      </c>
      <c r="F160" t="s">
        <v>691</v>
      </c>
      <c r="G160">
        <v>4</v>
      </c>
      <c r="H160" s="27" t="s">
        <v>1046</v>
      </c>
      <c r="I160" s="27" t="s">
        <v>1071</v>
      </c>
      <c r="J160">
        <v>2934.25</v>
      </c>
      <c r="K160">
        <v>2786.36</v>
      </c>
      <c r="L160">
        <v>11737</v>
      </c>
      <c r="M160">
        <v>11145.44</v>
      </c>
      <c r="N160">
        <v>591.55999999999949</v>
      </c>
      <c r="O160" s="17">
        <f t="shared" si="2"/>
        <v>5.3076415107882635</v>
      </c>
      <c r="P160" t="s">
        <v>45</v>
      </c>
    </row>
    <row r="161" spans="1:16">
      <c r="A161">
        <v>159</v>
      </c>
      <c r="B161" t="s">
        <v>635</v>
      </c>
      <c r="C161" t="s">
        <v>633</v>
      </c>
      <c r="D161" t="s">
        <v>633</v>
      </c>
      <c r="E161" t="s">
        <v>72</v>
      </c>
      <c r="F161" t="s">
        <v>634</v>
      </c>
      <c r="G161">
        <v>1</v>
      </c>
      <c r="H161" s="27" t="s">
        <v>658</v>
      </c>
      <c r="I161" s="27" t="s">
        <v>1071</v>
      </c>
      <c r="J161">
        <v>5567</v>
      </c>
      <c r="K161">
        <v>3279.5</v>
      </c>
      <c r="L161">
        <v>5567</v>
      </c>
      <c r="M161">
        <v>3279.5</v>
      </c>
      <c r="N161">
        <v>2287.5</v>
      </c>
      <c r="O161" s="17">
        <f t="shared" si="2"/>
        <v>69.751486507089496</v>
      </c>
      <c r="P161" t="s">
        <v>45</v>
      </c>
    </row>
    <row r="162" spans="1:16">
      <c r="A162">
        <v>160</v>
      </c>
      <c r="B162" t="s">
        <v>635</v>
      </c>
      <c r="C162" t="s">
        <v>633</v>
      </c>
      <c r="D162" t="s">
        <v>633</v>
      </c>
      <c r="E162" t="s">
        <v>72</v>
      </c>
      <c r="F162" t="s">
        <v>634</v>
      </c>
      <c r="G162">
        <v>2</v>
      </c>
      <c r="H162" s="27" t="s">
        <v>659</v>
      </c>
      <c r="I162" s="27" t="s">
        <v>1071</v>
      </c>
      <c r="J162">
        <v>5567</v>
      </c>
      <c r="K162">
        <v>3307.5</v>
      </c>
      <c r="L162">
        <v>11134</v>
      </c>
      <c r="M162">
        <v>6615</v>
      </c>
      <c r="N162">
        <v>4519</v>
      </c>
      <c r="O162" s="17">
        <f t="shared" si="2"/>
        <v>68.314436885865447</v>
      </c>
      <c r="P162" t="s">
        <v>45</v>
      </c>
    </row>
    <row r="163" spans="1:16">
      <c r="A163">
        <v>161</v>
      </c>
      <c r="B163" t="s">
        <v>635</v>
      </c>
      <c r="C163" t="s">
        <v>633</v>
      </c>
      <c r="D163" t="s">
        <v>633</v>
      </c>
      <c r="E163" t="s">
        <v>72</v>
      </c>
      <c r="F163" t="s">
        <v>634</v>
      </c>
      <c r="G163">
        <v>1</v>
      </c>
      <c r="H163" s="27" t="s">
        <v>637</v>
      </c>
      <c r="I163" s="27" t="s">
        <v>1071</v>
      </c>
      <c r="J163">
        <v>5567</v>
      </c>
      <c r="K163">
        <v>3181.55</v>
      </c>
      <c r="L163">
        <v>5567</v>
      </c>
      <c r="M163">
        <v>3181.55</v>
      </c>
      <c r="N163">
        <v>2385.4499999999998</v>
      </c>
      <c r="O163" s="17">
        <f t="shared" si="2"/>
        <v>74.977605255300077</v>
      </c>
      <c r="P163" t="s">
        <v>45</v>
      </c>
    </row>
    <row r="164" spans="1:16">
      <c r="A164">
        <v>162</v>
      </c>
      <c r="B164" t="s">
        <v>635</v>
      </c>
      <c r="C164" t="s">
        <v>633</v>
      </c>
      <c r="D164" t="s">
        <v>633</v>
      </c>
      <c r="E164" t="s">
        <v>72</v>
      </c>
      <c r="F164" t="s">
        <v>634</v>
      </c>
      <c r="G164">
        <v>1</v>
      </c>
      <c r="H164" s="27" t="s">
        <v>638</v>
      </c>
      <c r="I164" s="27" t="s">
        <v>1071</v>
      </c>
      <c r="J164">
        <v>5567</v>
      </c>
      <c r="K164">
        <v>3253.25</v>
      </c>
      <c r="L164">
        <v>5567</v>
      </c>
      <c r="M164">
        <v>3253.25</v>
      </c>
      <c r="N164">
        <v>2313.75</v>
      </c>
      <c r="O164" s="17">
        <f t="shared" si="2"/>
        <v>71.121186505801887</v>
      </c>
      <c r="P164" t="s">
        <v>45</v>
      </c>
    </row>
    <row r="165" spans="1:16">
      <c r="A165">
        <v>163</v>
      </c>
      <c r="B165" t="s">
        <v>966</v>
      </c>
      <c r="C165" t="s">
        <v>967</v>
      </c>
      <c r="D165" t="s">
        <v>967</v>
      </c>
      <c r="E165" t="s">
        <v>72</v>
      </c>
      <c r="F165" t="s">
        <v>968</v>
      </c>
      <c r="G165">
        <v>6</v>
      </c>
      <c r="H165" s="27" t="s">
        <v>1059</v>
      </c>
      <c r="I165" s="27" t="s">
        <v>1071</v>
      </c>
      <c r="J165">
        <v>1385.5</v>
      </c>
      <c r="K165">
        <v>1327.5</v>
      </c>
      <c r="L165">
        <v>8313</v>
      </c>
      <c r="M165">
        <v>7965</v>
      </c>
      <c r="N165">
        <v>348</v>
      </c>
      <c r="O165" s="17">
        <f t="shared" si="2"/>
        <v>4.3691148775894533</v>
      </c>
      <c r="P165" t="s">
        <v>45</v>
      </c>
    </row>
    <row r="166" spans="1:16">
      <c r="A166">
        <v>164</v>
      </c>
      <c r="B166" t="s">
        <v>68</v>
      </c>
      <c r="C166">
        <v>500235</v>
      </c>
      <c r="D166" t="s">
        <v>98</v>
      </c>
      <c r="E166" t="s">
        <v>72</v>
      </c>
      <c r="F166" t="s">
        <v>99</v>
      </c>
      <c r="G166">
        <v>10</v>
      </c>
      <c r="H166" s="27" t="s">
        <v>1043</v>
      </c>
      <c r="I166" s="27" t="s">
        <v>1071</v>
      </c>
      <c r="J166">
        <v>306.7</v>
      </c>
      <c r="K166">
        <v>299.2</v>
      </c>
      <c r="L166">
        <v>3067</v>
      </c>
      <c r="M166">
        <v>2992</v>
      </c>
      <c r="N166">
        <v>75</v>
      </c>
      <c r="O166" s="17">
        <f t="shared" si="2"/>
        <v>2.5066844919786093</v>
      </c>
      <c r="P166" t="s">
        <v>45</v>
      </c>
    </row>
    <row r="167" spans="1:16">
      <c r="A167">
        <v>165</v>
      </c>
      <c r="B167" t="s">
        <v>771</v>
      </c>
      <c r="C167" t="s">
        <v>895</v>
      </c>
      <c r="D167" t="s">
        <v>772</v>
      </c>
      <c r="E167" t="s">
        <v>72</v>
      </c>
      <c r="F167" t="s">
        <v>773</v>
      </c>
      <c r="G167">
        <v>5</v>
      </c>
      <c r="H167" s="27" t="s">
        <v>1045</v>
      </c>
      <c r="I167" s="27" t="s">
        <v>1071</v>
      </c>
      <c r="J167">
        <v>747</v>
      </c>
      <c r="K167">
        <v>665.6</v>
      </c>
      <c r="L167">
        <v>3735</v>
      </c>
      <c r="M167">
        <v>3328</v>
      </c>
      <c r="N167">
        <v>406.99999999999989</v>
      </c>
      <c r="O167" s="17">
        <f t="shared" si="2"/>
        <v>12.229567307692303</v>
      </c>
      <c r="P167" t="s">
        <v>45</v>
      </c>
    </row>
    <row r="168" spans="1:16">
      <c r="A168">
        <v>166</v>
      </c>
      <c r="B168" t="s">
        <v>627</v>
      </c>
      <c r="C168" t="s">
        <v>683</v>
      </c>
      <c r="D168" t="s">
        <v>628</v>
      </c>
      <c r="E168" t="s">
        <v>72</v>
      </c>
      <c r="F168" t="s">
        <v>629</v>
      </c>
      <c r="G168">
        <v>35</v>
      </c>
      <c r="H168" s="27" t="s">
        <v>1065</v>
      </c>
      <c r="I168" s="27" t="s">
        <v>1072</v>
      </c>
      <c r="J168">
        <v>344.78</v>
      </c>
      <c r="K168">
        <v>328.21</v>
      </c>
      <c r="L168">
        <v>12067.3</v>
      </c>
      <c r="M168">
        <v>11487.349999999999</v>
      </c>
      <c r="N168">
        <v>579.94999999999982</v>
      </c>
      <c r="O168" s="17">
        <f t="shared" si="2"/>
        <v>5.0485969348892468</v>
      </c>
      <c r="P168" t="s">
        <v>45</v>
      </c>
    </row>
    <row r="169" spans="1:16">
      <c r="A169">
        <v>167</v>
      </c>
      <c r="B169" t="s">
        <v>627</v>
      </c>
      <c r="C169" t="s">
        <v>683</v>
      </c>
      <c r="D169" t="s">
        <v>628</v>
      </c>
      <c r="E169" t="s">
        <v>72</v>
      </c>
      <c r="F169" t="s">
        <v>629</v>
      </c>
      <c r="G169">
        <v>5</v>
      </c>
      <c r="H169" s="27" t="s">
        <v>1046</v>
      </c>
      <c r="I169" s="27" t="s">
        <v>1072</v>
      </c>
      <c r="J169">
        <v>344.78</v>
      </c>
      <c r="K169">
        <v>350.91</v>
      </c>
      <c r="L169">
        <v>1723.8999999999999</v>
      </c>
      <c r="M169">
        <v>1754.5500000000002</v>
      </c>
      <c r="N169">
        <v>-30.650000000000261</v>
      </c>
      <c r="O169" s="17">
        <f t="shared" si="2"/>
        <v>-1.7468866660967348</v>
      </c>
      <c r="P169" t="s">
        <v>45</v>
      </c>
    </row>
    <row r="170" spans="1:16">
      <c r="A170">
        <v>168</v>
      </c>
      <c r="B170" t="s">
        <v>645</v>
      </c>
      <c r="C170" t="s">
        <v>646</v>
      </c>
      <c r="D170" t="s">
        <v>646</v>
      </c>
      <c r="E170" t="s">
        <v>72</v>
      </c>
      <c r="F170" t="s">
        <v>647</v>
      </c>
      <c r="G170">
        <v>6</v>
      </c>
      <c r="H170" s="27" t="s">
        <v>1058</v>
      </c>
      <c r="I170" s="27" t="s">
        <v>1072</v>
      </c>
      <c r="J170">
        <v>1864.96</v>
      </c>
      <c r="K170">
        <v>1760.05</v>
      </c>
      <c r="L170">
        <v>11189.76</v>
      </c>
      <c r="M170">
        <v>10560.3</v>
      </c>
      <c r="N170">
        <v>629.46000000000049</v>
      </c>
      <c r="O170" s="17">
        <f t="shared" si="2"/>
        <v>5.9606261185761822</v>
      </c>
      <c r="P170" t="s">
        <v>45</v>
      </c>
    </row>
    <row r="171" spans="1:16">
      <c r="A171">
        <v>169</v>
      </c>
      <c r="B171" t="s">
        <v>623</v>
      </c>
      <c r="C171" t="s">
        <v>624</v>
      </c>
      <c r="D171" t="s">
        <v>624</v>
      </c>
      <c r="E171" t="s">
        <v>72</v>
      </c>
      <c r="F171" t="s">
        <v>625</v>
      </c>
      <c r="G171">
        <v>12</v>
      </c>
      <c r="H171" s="27" t="s">
        <v>928</v>
      </c>
      <c r="I171" s="27" t="s">
        <v>1072</v>
      </c>
      <c r="J171">
        <v>1604.94</v>
      </c>
      <c r="K171">
        <v>1450</v>
      </c>
      <c r="L171">
        <v>19259.28</v>
      </c>
      <c r="M171">
        <v>17400</v>
      </c>
      <c r="N171">
        <v>1859.2800000000007</v>
      </c>
      <c r="O171" s="17">
        <f t="shared" si="2"/>
        <v>10.685517241379314</v>
      </c>
      <c r="P171" t="s">
        <v>45</v>
      </c>
    </row>
    <row r="172" spans="1:16">
      <c r="A172">
        <v>170</v>
      </c>
      <c r="B172" t="s">
        <v>635</v>
      </c>
      <c r="C172" t="s">
        <v>633</v>
      </c>
      <c r="D172" t="s">
        <v>633</v>
      </c>
      <c r="E172" t="s">
        <v>72</v>
      </c>
      <c r="F172" t="s">
        <v>634</v>
      </c>
      <c r="G172">
        <v>1</v>
      </c>
      <c r="H172" s="27" t="s">
        <v>638</v>
      </c>
      <c r="I172" s="27" t="s">
        <v>1072</v>
      </c>
      <c r="J172">
        <v>5050.13</v>
      </c>
      <c r="K172">
        <v>3253.25</v>
      </c>
      <c r="L172">
        <v>5050.13</v>
      </c>
      <c r="M172">
        <v>3253.25</v>
      </c>
      <c r="N172">
        <v>1796.88</v>
      </c>
      <c r="O172" s="17">
        <f t="shared" si="2"/>
        <v>55.233382002612778</v>
      </c>
      <c r="P172" t="s">
        <v>45</v>
      </c>
    </row>
    <row r="173" spans="1:16">
      <c r="A173">
        <v>171</v>
      </c>
      <c r="B173" t="s">
        <v>635</v>
      </c>
      <c r="C173" t="s">
        <v>633</v>
      </c>
      <c r="D173" t="s">
        <v>633</v>
      </c>
      <c r="E173" t="s">
        <v>72</v>
      </c>
      <c r="F173" t="s">
        <v>634</v>
      </c>
      <c r="G173">
        <v>7</v>
      </c>
      <c r="H173" s="27" t="s">
        <v>639</v>
      </c>
      <c r="I173" s="27" t="s">
        <v>1072</v>
      </c>
      <c r="J173">
        <v>5050.13</v>
      </c>
      <c r="K173">
        <v>3238.7</v>
      </c>
      <c r="L173">
        <v>35350.910000000003</v>
      </c>
      <c r="M173">
        <v>22670.899999999998</v>
      </c>
      <c r="N173">
        <v>12680.010000000002</v>
      </c>
      <c r="O173" s="17">
        <f t="shared" si="2"/>
        <v>55.9307746935499</v>
      </c>
      <c r="P173" t="s">
        <v>45</v>
      </c>
    </row>
    <row r="174" spans="1:16">
      <c r="A174">
        <v>172</v>
      </c>
      <c r="B174" t="s">
        <v>10</v>
      </c>
      <c r="C174" t="s">
        <v>78</v>
      </c>
      <c r="D174" t="s">
        <v>78</v>
      </c>
      <c r="E174" t="s">
        <v>72</v>
      </c>
      <c r="F174" t="s">
        <v>79</v>
      </c>
      <c r="G174">
        <v>5</v>
      </c>
      <c r="H174" s="27" t="s">
        <v>146</v>
      </c>
      <c r="I174" s="27" t="s">
        <v>1072</v>
      </c>
      <c r="J174">
        <v>237.8</v>
      </c>
      <c r="K174">
        <v>141.94999999999999</v>
      </c>
      <c r="L174">
        <v>1189</v>
      </c>
      <c r="M174">
        <v>709.75</v>
      </c>
      <c r="N174">
        <v>479.25000000000011</v>
      </c>
      <c r="O174" s="17">
        <f t="shared" si="2"/>
        <v>67.523775977456864</v>
      </c>
      <c r="P174" t="s">
        <v>45</v>
      </c>
    </row>
    <row r="175" spans="1:16">
      <c r="A175">
        <v>173</v>
      </c>
      <c r="B175" t="s">
        <v>786</v>
      </c>
      <c r="C175" t="s">
        <v>787</v>
      </c>
      <c r="D175" t="s">
        <v>787</v>
      </c>
      <c r="E175" t="s">
        <v>72</v>
      </c>
      <c r="F175" t="s">
        <v>788</v>
      </c>
      <c r="G175">
        <v>10</v>
      </c>
      <c r="H175" s="27" t="s">
        <v>792</v>
      </c>
      <c r="I175" s="27" t="s">
        <v>1072</v>
      </c>
      <c r="J175">
        <v>169.75</v>
      </c>
      <c r="K175">
        <v>130.47999999999999</v>
      </c>
      <c r="L175">
        <v>1697.5</v>
      </c>
      <c r="M175">
        <v>1304.8</v>
      </c>
      <c r="N175">
        <v>392.7000000000001</v>
      </c>
      <c r="O175" s="17">
        <f t="shared" si="2"/>
        <v>30.096566523605158</v>
      </c>
      <c r="P175" t="s">
        <v>45</v>
      </c>
    </row>
    <row r="176" spans="1:16">
      <c r="A176">
        <v>174</v>
      </c>
      <c r="B176" t="s">
        <v>483</v>
      </c>
      <c r="C176" t="s">
        <v>474</v>
      </c>
      <c r="D176" t="s">
        <v>473</v>
      </c>
      <c r="E176" t="s">
        <v>72</v>
      </c>
      <c r="F176" t="s">
        <v>587</v>
      </c>
      <c r="G176">
        <v>15</v>
      </c>
      <c r="H176" s="27" t="s">
        <v>1048</v>
      </c>
      <c r="I176" s="27" t="s">
        <v>1072</v>
      </c>
      <c r="J176">
        <v>1024</v>
      </c>
      <c r="K176">
        <v>790.43</v>
      </c>
      <c r="L176">
        <v>15360</v>
      </c>
      <c r="M176">
        <v>11856.449999999999</v>
      </c>
      <c r="N176">
        <v>3503.5500000000006</v>
      </c>
      <c r="O176" s="17">
        <f t="shared" si="2"/>
        <v>29.549738749794422</v>
      </c>
      <c r="P176" t="s">
        <v>45</v>
      </c>
    </row>
    <row r="177" spans="1:16">
      <c r="A177">
        <v>175</v>
      </c>
      <c r="B177" t="s">
        <v>630</v>
      </c>
      <c r="C177" t="s">
        <v>631</v>
      </c>
      <c r="D177" t="s">
        <v>631</v>
      </c>
      <c r="E177" t="s">
        <v>72</v>
      </c>
      <c r="F177" t="s">
        <v>632</v>
      </c>
      <c r="G177">
        <v>4</v>
      </c>
      <c r="H177" s="27" t="s">
        <v>1042</v>
      </c>
      <c r="I177" s="27" t="s">
        <v>1072</v>
      </c>
      <c r="J177">
        <v>3124.25</v>
      </c>
      <c r="K177">
        <v>2932.95</v>
      </c>
      <c r="L177">
        <v>12497</v>
      </c>
      <c r="M177">
        <v>11731.8</v>
      </c>
      <c r="N177">
        <v>765.20000000000073</v>
      </c>
      <c r="O177" s="17">
        <f t="shared" si="2"/>
        <v>6.5224432738369282</v>
      </c>
      <c r="P177" t="s">
        <v>45</v>
      </c>
    </row>
    <row r="178" spans="1:16">
      <c r="A178">
        <v>176</v>
      </c>
      <c r="B178" t="s">
        <v>823</v>
      </c>
      <c r="C178" t="s">
        <v>824</v>
      </c>
      <c r="D178" t="s">
        <v>824</v>
      </c>
      <c r="E178" t="s">
        <v>72</v>
      </c>
      <c r="F178" t="s">
        <v>825</v>
      </c>
      <c r="G178">
        <v>33</v>
      </c>
      <c r="H178" s="27" t="s">
        <v>1063</v>
      </c>
      <c r="I178" s="27" t="s">
        <v>1073</v>
      </c>
      <c r="J178">
        <v>251.6</v>
      </c>
      <c r="K178">
        <v>234.37</v>
      </c>
      <c r="L178">
        <v>8302.7999999999993</v>
      </c>
      <c r="M178">
        <v>7734.21</v>
      </c>
      <c r="N178">
        <v>568.58999999999969</v>
      </c>
      <c r="O178" s="17">
        <f t="shared" si="2"/>
        <v>7.3516235013013569</v>
      </c>
      <c r="P178" t="s">
        <v>45</v>
      </c>
    </row>
    <row r="179" spans="1:16">
      <c r="A179">
        <v>177</v>
      </c>
      <c r="B179" t="s">
        <v>925</v>
      </c>
      <c r="C179" t="s">
        <v>926</v>
      </c>
      <c r="D179" t="s">
        <v>926</v>
      </c>
      <c r="E179" t="s">
        <v>72</v>
      </c>
      <c r="F179" t="s">
        <v>927</v>
      </c>
      <c r="G179">
        <v>20</v>
      </c>
      <c r="H179" s="27" t="s">
        <v>1046</v>
      </c>
      <c r="I179" s="27" t="s">
        <v>1073</v>
      </c>
      <c r="J179">
        <v>715.05</v>
      </c>
      <c r="K179">
        <v>644.29999999999995</v>
      </c>
      <c r="L179">
        <v>14301</v>
      </c>
      <c r="M179">
        <v>12886</v>
      </c>
      <c r="N179">
        <v>1415</v>
      </c>
      <c r="O179" s="17">
        <f t="shared" si="2"/>
        <v>10.980909514201457</v>
      </c>
      <c r="P179" t="s">
        <v>45</v>
      </c>
    </row>
    <row r="180" spans="1:16">
      <c r="A180">
        <v>178</v>
      </c>
      <c r="B180" t="s">
        <v>743</v>
      </c>
      <c r="C180" t="s">
        <v>744</v>
      </c>
      <c r="D180" t="s">
        <v>744</v>
      </c>
      <c r="E180" t="s">
        <v>72</v>
      </c>
      <c r="F180" t="s">
        <v>745</v>
      </c>
      <c r="G180">
        <v>25</v>
      </c>
      <c r="H180" s="27" t="s">
        <v>1063</v>
      </c>
      <c r="I180" s="27" t="s">
        <v>1073</v>
      </c>
      <c r="J180">
        <v>371.85</v>
      </c>
      <c r="K180">
        <v>348.21</v>
      </c>
      <c r="L180">
        <v>9296.25</v>
      </c>
      <c r="M180">
        <v>8705.25</v>
      </c>
      <c r="N180">
        <v>591.00000000000114</v>
      </c>
      <c r="O180" s="17">
        <f t="shared" si="2"/>
        <v>6.7890066339278157</v>
      </c>
      <c r="P180" t="s">
        <v>45</v>
      </c>
    </row>
    <row r="181" spans="1:16">
      <c r="A181">
        <v>179</v>
      </c>
      <c r="B181" t="s">
        <v>483</v>
      </c>
      <c r="C181" t="s">
        <v>474</v>
      </c>
      <c r="D181" t="s">
        <v>473</v>
      </c>
      <c r="E181" t="s">
        <v>72</v>
      </c>
      <c r="F181" t="s">
        <v>587</v>
      </c>
      <c r="G181">
        <v>13</v>
      </c>
      <c r="H181" s="27" t="s">
        <v>781</v>
      </c>
      <c r="I181" s="27" t="s">
        <v>1073</v>
      </c>
      <c r="J181">
        <v>969.59</v>
      </c>
      <c r="K181">
        <v>635.97</v>
      </c>
      <c r="L181">
        <v>12604.67</v>
      </c>
      <c r="M181">
        <v>8267.61</v>
      </c>
      <c r="N181">
        <v>4337.0600000000004</v>
      </c>
      <c r="O181" s="17">
        <f t="shared" si="2"/>
        <v>52.458449297922861</v>
      </c>
      <c r="P181" t="s">
        <v>45</v>
      </c>
    </row>
    <row r="182" spans="1:16">
      <c r="A182">
        <v>180</v>
      </c>
      <c r="B182" t="s">
        <v>483</v>
      </c>
      <c r="C182" t="s">
        <v>474</v>
      </c>
      <c r="D182" t="s">
        <v>473</v>
      </c>
      <c r="E182" t="s">
        <v>72</v>
      </c>
      <c r="F182" t="s">
        <v>587</v>
      </c>
      <c r="G182">
        <v>5</v>
      </c>
      <c r="H182" s="27" t="s">
        <v>767</v>
      </c>
      <c r="I182" s="27" t="s">
        <v>1073</v>
      </c>
      <c r="J182">
        <v>969.59</v>
      </c>
      <c r="K182">
        <v>677</v>
      </c>
      <c r="L182">
        <v>4847.95</v>
      </c>
      <c r="M182">
        <v>3385</v>
      </c>
      <c r="N182">
        <v>1462.9500000000003</v>
      </c>
      <c r="O182" s="17">
        <f t="shared" si="2"/>
        <v>43.218611521418026</v>
      </c>
      <c r="P182" t="s">
        <v>45</v>
      </c>
    </row>
    <row r="183" spans="1:16">
      <c r="A183">
        <v>181</v>
      </c>
      <c r="B183" t="s">
        <v>483</v>
      </c>
      <c r="C183" t="s">
        <v>474</v>
      </c>
      <c r="D183" t="s">
        <v>473</v>
      </c>
      <c r="E183" t="s">
        <v>72</v>
      </c>
      <c r="F183" t="s">
        <v>587</v>
      </c>
      <c r="G183">
        <v>12</v>
      </c>
      <c r="H183" s="27" t="s">
        <v>760</v>
      </c>
      <c r="I183" s="27" t="s">
        <v>1073</v>
      </c>
      <c r="J183">
        <v>969.59</v>
      </c>
      <c r="K183">
        <v>703.33</v>
      </c>
      <c r="L183">
        <v>11635.08</v>
      </c>
      <c r="M183">
        <v>8439.9600000000009</v>
      </c>
      <c r="N183">
        <v>3195.12</v>
      </c>
      <c r="O183" s="17">
        <f t="shared" si="2"/>
        <v>37.857051455220166</v>
      </c>
      <c r="P183" t="s">
        <v>45</v>
      </c>
    </row>
    <row r="184" spans="1:16">
      <c r="A184">
        <v>182</v>
      </c>
      <c r="B184" t="s">
        <v>483</v>
      </c>
      <c r="C184" t="s">
        <v>474</v>
      </c>
      <c r="D184" t="s">
        <v>473</v>
      </c>
      <c r="E184" t="s">
        <v>72</v>
      </c>
      <c r="F184" t="s">
        <v>587</v>
      </c>
      <c r="G184">
        <v>3</v>
      </c>
      <c r="H184" s="27" t="s">
        <v>762</v>
      </c>
      <c r="I184" s="27" t="s">
        <v>1073</v>
      </c>
      <c r="J184">
        <v>969.59</v>
      </c>
      <c r="K184">
        <v>726.5</v>
      </c>
      <c r="L184">
        <v>2908.77</v>
      </c>
      <c r="M184">
        <v>2179.5</v>
      </c>
      <c r="N184">
        <v>729.2700000000001</v>
      </c>
      <c r="O184" s="17">
        <f t="shared" si="2"/>
        <v>33.460426703372335</v>
      </c>
      <c r="P184" t="s">
        <v>45</v>
      </c>
    </row>
    <row r="185" spans="1:16">
      <c r="A185">
        <v>183</v>
      </c>
      <c r="B185" t="s">
        <v>723</v>
      </c>
      <c r="C185" t="s">
        <v>840</v>
      </c>
      <c r="D185" t="s">
        <v>724</v>
      </c>
      <c r="E185" t="s">
        <v>72</v>
      </c>
      <c r="F185" t="s">
        <v>726</v>
      </c>
      <c r="G185">
        <v>12</v>
      </c>
      <c r="H185" s="27" t="s">
        <v>1068</v>
      </c>
      <c r="I185" s="27" t="s">
        <v>1073</v>
      </c>
      <c r="J185">
        <v>384.15</v>
      </c>
      <c r="K185">
        <v>380.75</v>
      </c>
      <c r="L185">
        <v>4609.7999999999993</v>
      </c>
      <c r="M185">
        <v>4569</v>
      </c>
      <c r="N185">
        <v>40.799999999999727</v>
      </c>
      <c r="O185" s="17">
        <f t="shared" si="2"/>
        <v>0.89297439264608736</v>
      </c>
      <c r="P185" t="s">
        <v>45</v>
      </c>
    </row>
    <row r="186" spans="1:16">
      <c r="A186">
        <v>184</v>
      </c>
      <c r="B186" t="s">
        <v>723</v>
      </c>
      <c r="C186" t="s">
        <v>840</v>
      </c>
      <c r="D186" t="s">
        <v>724</v>
      </c>
      <c r="E186" t="s">
        <v>72</v>
      </c>
      <c r="F186" t="s">
        <v>726</v>
      </c>
      <c r="G186">
        <v>8</v>
      </c>
      <c r="H186" s="27" t="s">
        <v>1045</v>
      </c>
      <c r="I186" s="27" t="s">
        <v>1073</v>
      </c>
      <c r="J186">
        <v>384.15</v>
      </c>
      <c r="K186">
        <v>409.3</v>
      </c>
      <c r="L186">
        <v>3073.2</v>
      </c>
      <c r="M186">
        <v>3274.4</v>
      </c>
      <c r="N186">
        <v>-201.20000000000027</v>
      </c>
      <c r="O186" s="17">
        <f t="shared" si="2"/>
        <v>-6.1446371854385617</v>
      </c>
      <c r="P186" t="s">
        <v>45</v>
      </c>
    </row>
    <row r="187" spans="1:16">
      <c r="A187">
        <v>185</v>
      </c>
      <c r="B187" t="s">
        <v>982</v>
      </c>
      <c r="C187" t="s">
        <v>943</v>
      </c>
      <c r="D187" t="s">
        <v>943</v>
      </c>
      <c r="E187" t="s">
        <v>72</v>
      </c>
      <c r="F187" t="s">
        <v>944</v>
      </c>
      <c r="G187">
        <v>50</v>
      </c>
      <c r="H187" s="27" t="s">
        <v>1066</v>
      </c>
      <c r="I187" s="27" t="s">
        <v>1073</v>
      </c>
      <c r="J187">
        <v>527.78</v>
      </c>
      <c r="K187">
        <v>461.23</v>
      </c>
      <c r="L187">
        <v>26389</v>
      </c>
      <c r="M187">
        <v>23061.5</v>
      </c>
      <c r="N187">
        <v>3327.4999999999977</v>
      </c>
      <c r="O187" s="17">
        <f t="shared" si="2"/>
        <v>14.42880992129739</v>
      </c>
      <c r="P187" t="s">
        <v>45</v>
      </c>
    </row>
    <row r="188" spans="1:16">
      <c r="A188">
        <v>186</v>
      </c>
      <c r="B188" t="s">
        <v>712</v>
      </c>
      <c r="C188" t="s">
        <v>713</v>
      </c>
      <c r="D188" t="s">
        <v>716</v>
      </c>
      <c r="E188" t="s">
        <v>72</v>
      </c>
      <c r="F188" t="s">
        <v>971</v>
      </c>
      <c r="G188">
        <v>10</v>
      </c>
      <c r="H188" s="27" t="s">
        <v>1058</v>
      </c>
      <c r="I188" s="27" t="s">
        <v>1073</v>
      </c>
      <c r="J188">
        <v>1038.5899999999999</v>
      </c>
      <c r="K188">
        <v>1031.5</v>
      </c>
      <c r="L188">
        <v>10385.9</v>
      </c>
      <c r="M188">
        <v>10315</v>
      </c>
      <c r="N188">
        <v>70.899999999999181</v>
      </c>
      <c r="O188" s="17">
        <f t="shared" si="2"/>
        <v>0.6873485215705204</v>
      </c>
      <c r="P188" t="s">
        <v>45</v>
      </c>
    </row>
    <row r="189" spans="1:16">
      <c r="A189">
        <v>187</v>
      </c>
      <c r="B189" t="s">
        <v>712</v>
      </c>
      <c r="C189" t="s">
        <v>713</v>
      </c>
      <c r="D189" t="s">
        <v>716</v>
      </c>
      <c r="E189" t="s">
        <v>72</v>
      </c>
      <c r="F189" t="s">
        <v>971</v>
      </c>
      <c r="G189">
        <v>15</v>
      </c>
      <c r="H189" s="27" t="s">
        <v>1062</v>
      </c>
      <c r="I189" s="27" t="s">
        <v>1073</v>
      </c>
      <c r="J189">
        <v>1038.5899999999999</v>
      </c>
      <c r="K189">
        <v>1023.59</v>
      </c>
      <c r="L189">
        <v>15578.849999999999</v>
      </c>
      <c r="M189">
        <v>15353.85</v>
      </c>
      <c r="N189">
        <v>224.99999999999829</v>
      </c>
      <c r="O189" s="17">
        <f t="shared" si="2"/>
        <v>1.4654304946316286</v>
      </c>
      <c r="P189" t="s">
        <v>45</v>
      </c>
    </row>
    <row r="190" spans="1:16">
      <c r="A190">
        <v>188</v>
      </c>
      <c r="B190" t="s">
        <v>842</v>
      </c>
      <c r="C190" t="s">
        <v>843</v>
      </c>
      <c r="D190" t="s">
        <v>843</v>
      </c>
      <c r="E190" t="s">
        <v>72</v>
      </c>
      <c r="F190" t="s">
        <v>844</v>
      </c>
      <c r="G190">
        <v>12</v>
      </c>
      <c r="H190" s="27" t="s">
        <v>1045</v>
      </c>
      <c r="I190" s="27" t="s">
        <v>1073</v>
      </c>
      <c r="J190">
        <v>1456.15</v>
      </c>
      <c r="K190">
        <v>1258.25</v>
      </c>
      <c r="L190">
        <v>17473.800000000003</v>
      </c>
      <c r="M190">
        <v>15099</v>
      </c>
      <c r="N190">
        <v>2374.8000000000011</v>
      </c>
      <c r="O190" s="17">
        <f t="shared" si="2"/>
        <v>15.728193920127167</v>
      </c>
      <c r="P190" t="s">
        <v>45</v>
      </c>
    </row>
    <row r="191" spans="1:16">
      <c r="A191">
        <v>189</v>
      </c>
      <c r="B191" t="s">
        <v>31</v>
      </c>
      <c r="C191" t="s">
        <v>111</v>
      </c>
      <c r="D191" t="s">
        <v>111</v>
      </c>
      <c r="E191" t="s">
        <v>72</v>
      </c>
      <c r="F191" t="s">
        <v>112</v>
      </c>
      <c r="G191">
        <v>100</v>
      </c>
      <c r="H191" s="27" t="s">
        <v>1059</v>
      </c>
      <c r="I191" s="27" t="s">
        <v>1073</v>
      </c>
      <c r="J191">
        <v>111.35</v>
      </c>
      <c r="K191">
        <v>106</v>
      </c>
      <c r="L191">
        <v>11135</v>
      </c>
      <c r="M191">
        <v>10600</v>
      </c>
      <c r="N191">
        <v>534.99999999999943</v>
      </c>
      <c r="O191" s="17">
        <f t="shared" si="2"/>
        <v>5.0471698113207495</v>
      </c>
      <c r="P191" t="s">
        <v>45</v>
      </c>
    </row>
    <row r="192" spans="1:16">
      <c r="A192">
        <v>190</v>
      </c>
      <c r="B192" t="s">
        <v>727</v>
      </c>
      <c r="C192" t="s">
        <v>728</v>
      </c>
      <c r="D192" t="s">
        <v>728</v>
      </c>
      <c r="E192" t="s">
        <v>72</v>
      </c>
      <c r="F192" t="s">
        <v>729</v>
      </c>
      <c r="G192">
        <v>3</v>
      </c>
      <c r="H192" s="27" t="s">
        <v>1056</v>
      </c>
      <c r="I192" s="27" t="s">
        <v>1073</v>
      </c>
      <c r="J192">
        <v>1364.13</v>
      </c>
      <c r="K192">
        <v>1173.6500000000001</v>
      </c>
      <c r="L192">
        <v>4092.3900000000003</v>
      </c>
      <c r="M192">
        <v>3520.9500000000003</v>
      </c>
      <c r="N192">
        <v>571.44000000000005</v>
      </c>
      <c r="O192" s="17">
        <f t="shared" si="2"/>
        <v>16.229710731478718</v>
      </c>
      <c r="P192" t="s">
        <v>45</v>
      </c>
    </row>
    <row r="193" spans="1:16">
      <c r="A193">
        <v>191</v>
      </c>
      <c r="B193" t="s">
        <v>727</v>
      </c>
      <c r="C193" t="s">
        <v>728</v>
      </c>
      <c r="D193" t="s">
        <v>728</v>
      </c>
      <c r="E193" t="s">
        <v>72</v>
      </c>
      <c r="F193" t="s">
        <v>729</v>
      </c>
      <c r="G193">
        <v>5</v>
      </c>
      <c r="H193" s="27" t="s">
        <v>1042</v>
      </c>
      <c r="I193" s="27" t="s">
        <v>1073</v>
      </c>
      <c r="J193">
        <v>1364.13</v>
      </c>
      <c r="K193">
        <v>1282.6500000000001</v>
      </c>
      <c r="L193">
        <v>6820.6500000000005</v>
      </c>
      <c r="M193">
        <v>6413.25</v>
      </c>
      <c r="N193">
        <v>407.40000000000009</v>
      </c>
      <c r="O193" s="17">
        <f t="shared" si="2"/>
        <v>6.352473394924572</v>
      </c>
      <c r="P193" t="s">
        <v>45</v>
      </c>
    </row>
    <row r="194" spans="1:16">
      <c r="A194">
        <v>192</v>
      </c>
      <c r="B194" t="s">
        <v>530</v>
      </c>
      <c r="C194" t="s">
        <v>531</v>
      </c>
      <c r="D194" t="s">
        <v>531</v>
      </c>
      <c r="E194" t="s">
        <v>72</v>
      </c>
      <c r="F194" t="s">
        <v>532</v>
      </c>
      <c r="G194">
        <v>35</v>
      </c>
      <c r="H194" s="27" t="s">
        <v>1058</v>
      </c>
      <c r="I194" s="27" t="s">
        <v>1073</v>
      </c>
      <c r="J194">
        <v>597.41</v>
      </c>
      <c r="K194">
        <v>533.23</v>
      </c>
      <c r="L194">
        <v>20909.349999999999</v>
      </c>
      <c r="M194">
        <v>18663.05</v>
      </c>
      <c r="N194">
        <v>2246.2999999999984</v>
      </c>
      <c r="O194" s="17">
        <f t="shared" si="2"/>
        <v>12.036081990885727</v>
      </c>
      <c r="P194" t="s">
        <v>45</v>
      </c>
    </row>
    <row r="195" spans="1:16">
      <c r="A195">
        <v>193</v>
      </c>
      <c r="B195" t="s">
        <v>651</v>
      </c>
      <c r="C195" t="s">
        <v>653</v>
      </c>
      <c r="D195" t="s">
        <v>653</v>
      </c>
      <c r="E195" t="s">
        <v>72</v>
      </c>
      <c r="F195" t="s">
        <v>654</v>
      </c>
      <c r="G195">
        <v>20</v>
      </c>
      <c r="H195" s="27" t="s">
        <v>1092</v>
      </c>
      <c r="I195" s="27" t="s">
        <v>1086</v>
      </c>
      <c r="J195">
        <v>619.28</v>
      </c>
      <c r="K195">
        <v>546.91999999999996</v>
      </c>
      <c r="L195">
        <v>12385.599999999999</v>
      </c>
      <c r="M195">
        <v>10938.4</v>
      </c>
      <c r="N195">
        <v>1447.2000000000003</v>
      </c>
      <c r="O195" s="17">
        <f t="shared" si="2"/>
        <v>13.230454179770353</v>
      </c>
      <c r="P195" t="s">
        <v>45</v>
      </c>
    </row>
    <row r="196" spans="1:16">
      <c r="A196">
        <v>194</v>
      </c>
      <c r="B196" t="s">
        <v>740</v>
      </c>
      <c r="C196" t="s">
        <v>740</v>
      </c>
      <c r="D196" t="s">
        <v>740</v>
      </c>
      <c r="E196" t="s">
        <v>72</v>
      </c>
      <c r="F196" t="s">
        <v>741</v>
      </c>
      <c r="G196">
        <v>50</v>
      </c>
      <c r="H196" s="27" t="s">
        <v>1056</v>
      </c>
      <c r="I196" s="27" t="s">
        <v>1086</v>
      </c>
      <c r="J196">
        <v>312.04000000000002</v>
      </c>
      <c r="K196">
        <v>246.95</v>
      </c>
      <c r="L196">
        <v>15602.000000000002</v>
      </c>
      <c r="M196">
        <v>12347.5</v>
      </c>
      <c r="N196">
        <v>3254.5000000000018</v>
      </c>
      <c r="O196" s="17">
        <f t="shared" ref="O196:O259" si="3">N196/M196%</f>
        <v>26.35756225956673</v>
      </c>
      <c r="P196" t="s">
        <v>45</v>
      </c>
    </row>
    <row r="197" spans="1:16">
      <c r="A197">
        <v>195</v>
      </c>
      <c r="B197" t="s">
        <v>566</v>
      </c>
      <c r="C197" t="s">
        <v>567</v>
      </c>
      <c r="D197" t="s">
        <v>567</v>
      </c>
      <c r="E197" t="s">
        <v>72</v>
      </c>
      <c r="F197" t="s">
        <v>585</v>
      </c>
      <c r="G197">
        <v>5</v>
      </c>
      <c r="H197" s="27" t="s">
        <v>1059</v>
      </c>
      <c r="I197" s="27" t="s">
        <v>1086</v>
      </c>
      <c r="J197">
        <v>514.95000000000005</v>
      </c>
      <c r="K197">
        <v>421.3</v>
      </c>
      <c r="L197">
        <v>2574.75</v>
      </c>
      <c r="M197">
        <v>2106.5</v>
      </c>
      <c r="N197">
        <v>468.25000000000017</v>
      </c>
      <c r="O197" s="17">
        <f t="shared" si="3"/>
        <v>22.228815570852131</v>
      </c>
      <c r="P197" t="s">
        <v>45</v>
      </c>
    </row>
    <row r="198" spans="1:16">
      <c r="A198">
        <v>196</v>
      </c>
      <c r="B198" t="s">
        <v>39</v>
      </c>
      <c r="C198" t="s">
        <v>123</v>
      </c>
      <c r="D198" t="s">
        <v>123</v>
      </c>
      <c r="E198" t="s">
        <v>72</v>
      </c>
      <c r="F198" t="s">
        <v>124</v>
      </c>
      <c r="G198">
        <v>5</v>
      </c>
      <c r="H198" s="27" t="s">
        <v>136</v>
      </c>
      <c r="I198" s="27" t="s">
        <v>1086</v>
      </c>
      <c r="J198">
        <v>418.85</v>
      </c>
      <c r="K198">
        <v>204.89</v>
      </c>
      <c r="L198">
        <v>2094.25</v>
      </c>
      <c r="M198">
        <v>1024.4499999999998</v>
      </c>
      <c r="N198">
        <v>1069.8000000000002</v>
      </c>
      <c r="O198" s="17">
        <f t="shared" si="3"/>
        <v>104.42676558153158</v>
      </c>
      <c r="P198" t="s">
        <v>45</v>
      </c>
    </row>
    <row r="199" spans="1:16">
      <c r="A199">
        <v>197</v>
      </c>
      <c r="B199" t="s">
        <v>522</v>
      </c>
      <c r="C199" t="s">
        <v>523</v>
      </c>
      <c r="D199" t="s">
        <v>523</v>
      </c>
      <c r="E199" t="s">
        <v>72</v>
      </c>
      <c r="F199" t="s">
        <v>524</v>
      </c>
      <c r="G199">
        <v>110</v>
      </c>
      <c r="H199" s="27" t="s">
        <v>1044</v>
      </c>
      <c r="I199" s="27" t="s">
        <v>1110</v>
      </c>
      <c r="J199">
        <v>118.08</v>
      </c>
      <c r="K199">
        <v>105.48</v>
      </c>
      <c r="L199">
        <v>12988.8</v>
      </c>
      <c r="M199">
        <v>11602.800000000001</v>
      </c>
      <c r="N199">
        <v>1385.9999999999993</v>
      </c>
      <c r="O199" s="17">
        <f t="shared" si="3"/>
        <v>11.945392491467571</v>
      </c>
      <c r="P199" t="s">
        <v>45</v>
      </c>
    </row>
    <row r="200" spans="1:16">
      <c r="A200">
        <v>198</v>
      </c>
      <c r="B200" t="s">
        <v>230</v>
      </c>
      <c r="C200" t="s">
        <v>117</v>
      </c>
      <c r="D200" t="s">
        <v>117</v>
      </c>
      <c r="E200" t="s">
        <v>72</v>
      </c>
      <c r="F200" t="s">
        <v>118</v>
      </c>
      <c r="G200">
        <v>20</v>
      </c>
      <c r="H200" s="27" t="s">
        <v>1092</v>
      </c>
      <c r="I200" s="27" t="s">
        <v>1110</v>
      </c>
      <c r="J200">
        <v>235.8</v>
      </c>
      <c r="K200">
        <v>194.75</v>
      </c>
      <c r="L200">
        <v>4716</v>
      </c>
      <c r="M200">
        <v>3895</v>
      </c>
      <c r="N200">
        <v>821.00000000000023</v>
      </c>
      <c r="O200" s="17">
        <f t="shared" si="3"/>
        <v>21.078305519897309</v>
      </c>
      <c r="P200" t="s">
        <v>45</v>
      </c>
    </row>
    <row r="201" spans="1:16">
      <c r="A201">
        <v>199</v>
      </c>
      <c r="B201" t="s">
        <v>230</v>
      </c>
      <c r="C201" t="s">
        <v>117</v>
      </c>
      <c r="D201" t="s">
        <v>117</v>
      </c>
      <c r="E201" t="s">
        <v>72</v>
      </c>
      <c r="F201" t="s">
        <v>118</v>
      </c>
      <c r="G201">
        <v>80</v>
      </c>
      <c r="H201" s="27" t="s">
        <v>1097</v>
      </c>
      <c r="I201" s="27" t="s">
        <v>1110</v>
      </c>
      <c r="J201">
        <v>235.8</v>
      </c>
      <c r="K201">
        <v>209.25</v>
      </c>
      <c r="L201">
        <v>18864</v>
      </c>
      <c r="M201">
        <v>16740</v>
      </c>
      <c r="N201">
        <v>2124.0000000000009</v>
      </c>
      <c r="O201" s="17">
        <f t="shared" si="3"/>
        <v>12.688172043010757</v>
      </c>
      <c r="P201" t="s">
        <v>45</v>
      </c>
    </row>
    <row r="202" spans="1:16">
      <c r="A202">
        <v>200</v>
      </c>
      <c r="B202" t="s">
        <v>31</v>
      </c>
      <c r="C202" t="s">
        <v>111</v>
      </c>
      <c r="D202" t="s">
        <v>111</v>
      </c>
      <c r="E202" t="s">
        <v>72</v>
      </c>
      <c r="F202" t="s">
        <v>112</v>
      </c>
      <c r="G202">
        <v>100</v>
      </c>
      <c r="H202" s="27" t="s">
        <v>1093</v>
      </c>
      <c r="I202" s="27" t="s">
        <v>1110</v>
      </c>
      <c r="J202">
        <v>112.35</v>
      </c>
      <c r="K202">
        <v>107.2</v>
      </c>
      <c r="L202">
        <v>11235</v>
      </c>
      <c r="M202">
        <v>10720</v>
      </c>
      <c r="N202">
        <v>514.99999999999909</v>
      </c>
      <c r="O202" s="17">
        <f t="shared" si="3"/>
        <v>4.8041044776119319</v>
      </c>
      <c r="P202" t="s">
        <v>45</v>
      </c>
    </row>
    <row r="203" spans="1:16">
      <c r="A203">
        <v>201</v>
      </c>
      <c r="B203" t="s">
        <v>751</v>
      </c>
      <c r="C203" t="s">
        <v>753</v>
      </c>
      <c r="D203" t="s">
        <v>752</v>
      </c>
      <c r="E203" t="s">
        <v>72</v>
      </c>
      <c r="F203" t="s">
        <v>754</v>
      </c>
      <c r="G203">
        <v>7</v>
      </c>
      <c r="H203" s="27" t="s">
        <v>1093</v>
      </c>
      <c r="I203" s="27" t="s">
        <v>1111</v>
      </c>
      <c r="J203">
        <v>1761.96</v>
      </c>
      <c r="K203">
        <v>1517.25</v>
      </c>
      <c r="L203">
        <v>12333.720000000001</v>
      </c>
      <c r="M203">
        <v>10620.75</v>
      </c>
      <c r="N203">
        <v>1712.9700000000003</v>
      </c>
      <c r="O203" s="17">
        <f t="shared" si="3"/>
        <v>16.12852199703411</v>
      </c>
      <c r="P203" t="s">
        <v>45</v>
      </c>
    </row>
    <row r="204" spans="1:16">
      <c r="A204">
        <v>202</v>
      </c>
      <c r="B204" t="s">
        <v>727</v>
      </c>
      <c r="C204" t="s">
        <v>728</v>
      </c>
      <c r="D204" t="s">
        <v>728</v>
      </c>
      <c r="E204" t="s">
        <v>72</v>
      </c>
      <c r="F204" t="s">
        <v>729</v>
      </c>
      <c r="G204">
        <v>15</v>
      </c>
      <c r="H204" s="27" t="s">
        <v>1097</v>
      </c>
      <c r="I204" s="27" t="s">
        <v>1111</v>
      </c>
      <c r="J204">
        <v>1488</v>
      </c>
      <c r="K204">
        <v>1235.8800000000001</v>
      </c>
      <c r="L204">
        <v>22320</v>
      </c>
      <c r="M204">
        <v>18538.2</v>
      </c>
      <c r="N204">
        <v>3781.7999999999984</v>
      </c>
      <c r="O204" s="17">
        <f t="shared" si="3"/>
        <v>20.400038838722196</v>
      </c>
      <c r="P204" t="s">
        <v>45</v>
      </c>
    </row>
    <row r="205" spans="1:16">
      <c r="A205">
        <v>203</v>
      </c>
      <c r="B205" t="s">
        <v>982</v>
      </c>
      <c r="C205" t="s">
        <v>943</v>
      </c>
      <c r="D205" t="s">
        <v>943</v>
      </c>
      <c r="E205" t="s">
        <v>72</v>
      </c>
      <c r="F205" t="s">
        <v>944</v>
      </c>
      <c r="G205">
        <v>20</v>
      </c>
      <c r="H205" s="27" t="s">
        <v>1059</v>
      </c>
      <c r="I205" s="27" t="s">
        <v>1087</v>
      </c>
      <c r="J205">
        <v>698.95</v>
      </c>
      <c r="K205">
        <v>476.13</v>
      </c>
      <c r="L205">
        <v>13979</v>
      </c>
      <c r="M205">
        <v>9522.6</v>
      </c>
      <c r="N205">
        <v>4456.4000000000015</v>
      </c>
      <c r="O205" s="17">
        <f t="shared" si="3"/>
        <v>46.79814336420727</v>
      </c>
      <c r="P205" t="s">
        <v>45</v>
      </c>
    </row>
    <row r="206" spans="1:16">
      <c r="A206">
        <v>204</v>
      </c>
      <c r="B206" t="s">
        <v>842</v>
      </c>
      <c r="C206" t="s">
        <v>843</v>
      </c>
      <c r="D206" t="s">
        <v>843</v>
      </c>
      <c r="E206" t="s">
        <v>72</v>
      </c>
      <c r="F206" t="s">
        <v>844</v>
      </c>
      <c r="G206">
        <v>30</v>
      </c>
      <c r="H206" s="27" t="s">
        <v>1092</v>
      </c>
      <c r="I206" s="27" t="s">
        <v>1087</v>
      </c>
      <c r="J206">
        <v>1457.7</v>
      </c>
      <c r="K206">
        <v>1397.9</v>
      </c>
      <c r="L206">
        <v>43731</v>
      </c>
      <c r="M206">
        <v>41937</v>
      </c>
      <c r="N206">
        <v>1793.9999999999986</v>
      </c>
      <c r="O206" s="17">
        <f t="shared" si="3"/>
        <v>4.2778453394377252</v>
      </c>
      <c r="P206" t="s">
        <v>45</v>
      </c>
    </row>
    <row r="207" spans="1:16">
      <c r="A207">
        <v>205</v>
      </c>
      <c r="B207" t="s">
        <v>842</v>
      </c>
      <c r="C207" t="s">
        <v>843</v>
      </c>
      <c r="D207" t="s">
        <v>843</v>
      </c>
      <c r="E207" t="s">
        <v>72</v>
      </c>
      <c r="F207" t="s">
        <v>844</v>
      </c>
      <c r="G207">
        <v>2</v>
      </c>
      <c r="H207" s="27" t="s">
        <v>1045</v>
      </c>
      <c r="I207" s="27" t="s">
        <v>1087</v>
      </c>
      <c r="J207">
        <v>1457.7</v>
      </c>
      <c r="K207">
        <v>1258.25</v>
      </c>
      <c r="L207">
        <v>2915.4</v>
      </c>
      <c r="M207">
        <v>2516.5</v>
      </c>
      <c r="N207">
        <v>398.90000000000009</v>
      </c>
      <c r="O207" s="17">
        <f t="shared" si="3"/>
        <v>15.851380886151405</v>
      </c>
      <c r="P207" t="s">
        <v>45</v>
      </c>
    </row>
    <row r="208" spans="1:16">
      <c r="A208">
        <v>206</v>
      </c>
      <c r="B208" t="s">
        <v>842</v>
      </c>
      <c r="C208" t="s">
        <v>843</v>
      </c>
      <c r="D208" t="s">
        <v>843</v>
      </c>
      <c r="E208" t="s">
        <v>72</v>
      </c>
      <c r="F208" t="s">
        <v>844</v>
      </c>
      <c r="G208">
        <v>18</v>
      </c>
      <c r="H208" s="27" t="s">
        <v>847</v>
      </c>
      <c r="I208" s="27" t="s">
        <v>1087</v>
      </c>
      <c r="J208">
        <v>1457.7</v>
      </c>
      <c r="K208">
        <v>972.8</v>
      </c>
      <c r="L208">
        <v>26238.600000000002</v>
      </c>
      <c r="M208">
        <v>17510.399999999998</v>
      </c>
      <c r="N208">
        <v>8728.2000000000007</v>
      </c>
      <c r="O208" s="17">
        <f t="shared" si="3"/>
        <v>49.845805921052637</v>
      </c>
      <c r="P208" t="s">
        <v>45</v>
      </c>
    </row>
    <row r="209" spans="1:16">
      <c r="A209">
        <v>207</v>
      </c>
      <c r="B209" t="s">
        <v>414</v>
      </c>
      <c r="C209" t="s">
        <v>414</v>
      </c>
      <c r="D209" t="s">
        <v>414</v>
      </c>
      <c r="E209" t="s">
        <v>72</v>
      </c>
      <c r="F209" t="s">
        <v>415</v>
      </c>
      <c r="G209">
        <v>15</v>
      </c>
      <c r="H209" s="27" t="s">
        <v>1092</v>
      </c>
      <c r="I209" s="27" t="s">
        <v>1087</v>
      </c>
      <c r="J209">
        <v>746.2</v>
      </c>
      <c r="K209">
        <v>671.29</v>
      </c>
      <c r="L209">
        <v>11193</v>
      </c>
      <c r="M209">
        <v>10069.349999999999</v>
      </c>
      <c r="N209">
        <v>1123.6500000000012</v>
      </c>
      <c r="O209" s="17">
        <f t="shared" si="3"/>
        <v>11.159111561322245</v>
      </c>
      <c r="P209" t="s">
        <v>45</v>
      </c>
    </row>
    <row r="210" spans="1:16">
      <c r="A210">
        <v>208</v>
      </c>
      <c r="B210" t="s">
        <v>751</v>
      </c>
      <c r="C210" t="s">
        <v>753</v>
      </c>
      <c r="D210" t="s">
        <v>752</v>
      </c>
      <c r="E210" t="s">
        <v>72</v>
      </c>
      <c r="F210" t="s">
        <v>754</v>
      </c>
      <c r="G210">
        <v>7</v>
      </c>
      <c r="H210" s="27" t="s">
        <v>1093</v>
      </c>
      <c r="I210" s="27" t="s">
        <v>1087</v>
      </c>
      <c r="J210">
        <v>1602.36</v>
      </c>
      <c r="K210">
        <v>1517.25</v>
      </c>
      <c r="L210">
        <v>11216.519999999999</v>
      </c>
      <c r="M210">
        <v>10620.75</v>
      </c>
      <c r="N210">
        <v>595.7699999999993</v>
      </c>
      <c r="O210" s="17">
        <f t="shared" si="3"/>
        <v>5.6094908551655891</v>
      </c>
      <c r="P210" t="s">
        <v>45</v>
      </c>
    </row>
    <row r="211" spans="1:16">
      <c r="A211">
        <v>209</v>
      </c>
      <c r="B211" t="s">
        <v>740</v>
      </c>
      <c r="C211" t="s">
        <v>740</v>
      </c>
      <c r="D211" t="s">
        <v>740</v>
      </c>
      <c r="E211" t="s">
        <v>72</v>
      </c>
      <c r="F211" t="s">
        <v>741</v>
      </c>
      <c r="G211">
        <v>50</v>
      </c>
      <c r="H211" s="27" t="s">
        <v>1056</v>
      </c>
      <c r="I211" s="27" t="s">
        <v>1087</v>
      </c>
      <c r="J211">
        <v>294.35000000000002</v>
      </c>
      <c r="K211">
        <v>246.95</v>
      </c>
      <c r="L211">
        <v>14717.500000000002</v>
      </c>
      <c r="M211">
        <v>12347.5</v>
      </c>
      <c r="N211">
        <v>2370.0000000000018</v>
      </c>
      <c r="O211" s="17">
        <f t="shared" si="3"/>
        <v>19.194168860093153</v>
      </c>
      <c r="P211" t="s">
        <v>45</v>
      </c>
    </row>
    <row r="212" spans="1:16">
      <c r="A212">
        <v>210</v>
      </c>
      <c r="B212" t="s">
        <v>931</v>
      </c>
      <c r="C212" t="s">
        <v>931</v>
      </c>
      <c r="D212" t="s">
        <v>931</v>
      </c>
      <c r="E212" t="s">
        <v>72</v>
      </c>
      <c r="F212" t="s">
        <v>932</v>
      </c>
      <c r="G212">
        <v>100</v>
      </c>
      <c r="H212" s="27" t="s">
        <v>1060</v>
      </c>
      <c r="I212" s="27" t="s">
        <v>1087</v>
      </c>
      <c r="J212">
        <v>134.44999999999999</v>
      </c>
      <c r="K212">
        <v>130.30000000000001</v>
      </c>
      <c r="L212">
        <v>13444.999999999998</v>
      </c>
      <c r="M212">
        <v>13030.000000000002</v>
      </c>
      <c r="N212">
        <v>414.99999999999773</v>
      </c>
      <c r="O212" s="17">
        <f t="shared" si="3"/>
        <v>3.1849577897160222</v>
      </c>
      <c r="P212" t="s">
        <v>45</v>
      </c>
    </row>
    <row r="213" spans="1:16">
      <c r="A213">
        <v>211</v>
      </c>
      <c r="B213" t="s">
        <v>665</v>
      </c>
      <c r="C213" t="s">
        <v>666</v>
      </c>
      <c r="D213" t="s">
        <v>666</v>
      </c>
      <c r="E213" t="s">
        <v>72</v>
      </c>
      <c r="F213" t="s">
        <v>667</v>
      </c>
      <c r="G213">
        <v>5</v>
      </c>
      <c r="H213" s="27" t="s">
        <v>1112</v>
      </c>
      <c r="I213" s="27" t="s">
        <v>1087</v>
      </c>
      <c r="J213">
        <v>2561</v>
      </c>
      <c r="K213">
        <v>2398.0100000000002</v>
      </c>
      <c r="L213">
        <v>12805</v>
      </c>
      <c r="M213">
        <v>11990.050000000001</v>
      </c>
      <c r="N213">
        <v>814.94999999999891</v>
      </c>
      <c r="O213" s="17">
        <f t="shared" si="3"/>
        <v>6.7968857511019456</v>
      </c>
      <c r="P213" t="s">
        <v>45</v>
      </c>
    </row>
    <row r="214" spans="1:16">
      <c r="A214">
        <v>212</v>
      </c>
      <c r="B214" t="s">
        <v>740</v>
      </c>
      <c r="C214" t="s">
        <v>740</v>
      </c>
      <c r="D214" t="s">
        <v>740</v>
      </c>
      <c r="E214" t="s">
        <v>72</v>
      </c>
      <c r="F214" t="s">
        <v>741</v>
      </c>
      <c r="G214">
        <v>40</v>
      </c>
      <c r="H214" s="27" t="s">
        <v>946</v>
      </c>
      <c r="I214" s="27" t="s">
        <v>1113</v>
      </c>
      <c r="J214">
        <v>288.02999999999997</v>
      </c>
      <c r="K214">
        <v>275.49</v>
      </c>
      <c r="L214">
        <v>11521.199999999999</v>
      </c>
      <c r="M214">
        <v>11019.6</v>
      </c>
      <c r="N214">
        <v>501.59999999999854</v>
      </c>
      <c r="O214" s="17">
        <f t="shared" si="3"/>
        <v>4.5518893607753323</v>
      </c>
      <c r="P214" t="s">
        <v>45</v>
      </c>
    </row>
    <row r="215" spans="1:16">
      <c r="A215">
        <v>213</v>
      </c>
      <c r="B215" t="s">
        <v>18</v>
      </c>
      <c r="C215">
        <v>532281</v>
      </c>
      <c r="D215" t="s">
        <v>88</v>
      </c>
      <c r="E215" t="s">
        <v>72</v>
      </c>
      <c r="F215" t="s">
        <v>89</v>
      </c>
      <c r="G215">
        <v>10</v>
      </c>
      <c r="H215" s="27" t="s">
        <v>1108</v>
      </c>
      <c r="I215" s="27" t="s">
        <v>1088</v>
      </c>
      <c r="J215">
        <v>1018.45</v>
      </c>
      <c r="K215">
        <v>962.08</v>
      </c>
      <c r="L215">
        <v>10184.5</v>
      </c>
      <c r="M215">
        <v>9620.8000000000011</v>
      </c>
      <c r="N215">
        <v>563.70000000000005</v>
      </c>
      <c r="O215" s="17">
        <f t="shared" si="3"/>
        <v>5.8591801097621818</v>
      </c>
      <c r="P215" t="s">
        <v>45</v>
      </c>
    </row>
    <row r="216" spans="1:16">
      <c r="A216">
        <v>214</v>
      </c>
      <c r="B216" t="s">
        <v>749</v>
      </c>
      <c r="C216" t="s">
        <v>742</v>
      </c>
      <c r="D216" t="s">
        <v>742</v>
      </c>
      <c r="E216" t="s">
        <v>72</v>
      </c>
      <c r="F216" t="s">
        <v>750</v>
      </c>
      <c r="G216">
        <v>125</v>
      </c>
      <c r="H216" s="27" t="s">
        <v>1093</v>
      </c>
      <c r="I216" s="27" t="s">
        <v>1088</v>
      </c>
      <c r="J216">
        <v>84.63</v>
      </c>
      <c r="K216">
        <v>75.44</v>
      </c>
      <c r="L216">
        <v>10578.75</v>
      </c>
      <c r="M216">
        <v>9430</v>
      </c>
      <c r="N216">
        <v>1148.7499999999998</v>
      </c>
      <c r="O216" s="17">
        <f t="shared" si="3"/>
        <v>12.181866383881228</v>
      </c>
      <c r="P216" t="s">
        <v>45</v>
      </c>
    </row>
    <row r="217" spans="1:16">
      <c r="A217">
        <v>215</v>
      </c>
      <c r="B217" t="s">
        <v>218</v>
      </c>
      <c r="C217">
        <v>500408</v>
      </c>
      <c r="D217" t="s">
        <v>219</v>
      </c>
      <c r="E217" t="s">
        <v>72</v>
      </c>
      <c r="F217" t="s">
        <v>220</v>
      </c>
      <c r="G217">
        <v>1</v>
      </c>
      <c r="H217" s="27" t="s">
        <v>1044</v>
      </c>
      <c r="I217" s="27" t="s">
        <v>1088</v>
      </c>
      <c r="J217">
        <v>8483.9500000000007</v>
      </c>
      <c r="K217">
        <v>7607</v>
      </c>
      <c r="L217">
        <v>8483.9500000000007</v>
      </c>
      <c r="M217">
        <v>7607</v>
      </c>
      <c r="N217">
        <v>876.95000000000073</v>
      </c>
      <c r="O217" s="17">
        <f t="shared" si="3"/>
        <v>11.528197712633112</v>
      </c>
      <c r="P217" t="s">
        <v>45</v>
      </c>
    </row>
    <row r="218" spans="1:16">
      <c r="A218">
        <v>216</v>
      </c>
      <c r="B218" t="s">
        <v>26</v>
      </c>
      <c r="C218" t="s">
        <v>102</v>
      </c>
      <c r="D218" t="s">
        <v>102</v>
      </c>
      <c r="E218" t="s">
        <v>72</v>
      </c>
      <c r="F218" t="s">
        <v>103</v>
      </c>
      <c r="G218">
        <v>130</v>
      </c>
      <c r="H218" s="27" t="s">
        <v>1092</v>
      </c>
      <c r="I218" s="27" t="s">
        <v>1089</v>
      </c>
      <c r="J218">
        <v>103.63</v>
      </c>
      <c r="K218">
        <v>93</v>
      </c>
      <c r="L218">
        <v>13471.9</v>
      </c>
      <c r="M218">
        <v>12090</v>
      </c>
      <c r="N218">
        <v>1381.8999999999994</v>
      </c>
      <c r="O218" s="17">
        <f t="shared" si="3"/>
        <v>11.430107526881715</v>
      </c>
      <c r="P218" t="s">
        <v>45</v>
      </c>
    </row>
    <row r="219" spans="1:16">
      <c r="A219">
        <v>217</v>
      </c>
      <c r="B219" t="s">
        <v>627</v>
      </c>
      <c r="C219" t="s">
        <v>683</v>
      </c>
      <c r="D219" t="s">
        <v>628</v>
      </c>
      <c r="E219" t="s">
        <v>72</v>
      </c>
      <c r="F219" t="s">
        <v>629</v>
      </c>
      <c r="G219">
        <v>35</v>
      </c>
      <c r="H219" s="27" t="s">
        <v>1086</v>
      </c>
      <c r="I219" s="27" t="s">
        <v>1090</v>
      </c>
      <c r="J219">
        <v>452.57</v>
      </c>
      <c r="K219">
        <v>408.75</v>
      </c>
      <c r="L219">
        <v>15839.949999999999</v>
      </c>
      <c r="M219">
        <v>14306.25</v>
      </c>
      <c r="N219">
        <v>1533.6999999999998</v>
      </c>
      <c r="O219" s="17">
        <f t="shared" si="3"/>
        <v>10.720489296636085</v>
      </c>
      <c r="P219" t="s">
        <v>45</v>
      </c>
    </row>
    <row r="220" spans="1:16">
      <c r="A220">
        <v>218</v>
      </c>
      <c r="B220" t="s">
        <v>842</v>
      </c>
      <c r="C220" t="s">
        <v>843</v>
      </c>
      <c r="D220" t="s">
        <v>843</v>
      </c>
      <c r="E220" t="s">
        <v>72</v>
      </c>
      <c r="F220" t="s">
        <v>844</v>
      </c>
      <c r="G220">
        <v>14</v>
      </c>
      <c r="H220" s="27" t="s">
        <v>847</v>
      </c>
      <c r="I220" s="27" t="s">
        <v>1114</v>
      </c>
      <c r="J220">
        <v>1611.53</v>
      </c>
      <c r="K220">
        <v>972.8</v>
      </c>
      <c r="L220">
        <v>22561.42</v>
      </c>
      <c r="M220">
        <v>13619.199999999999</v>
      </c>
      <c r="N220">
        <v>8942.2200000000012</v>
      </c>
      <c r="O220" s="17">
        <f t="shared" si="3"/>
        <v>65.658922697368439</v>
      </c>
      <c r="P220" t="s">
        <v>45</v>
      </c>
    </row>
    <row r="221" spans="1:16">
      <c r="A221">
        <v>219</v>
      </c>
      <c r="B221" t="s">
        <v>712</v>
      </c>
      <c r="C221" t="s">
        <v>713</v>
      </c>
      <c r="D221" t="s">
        <v>716</v>
      </c>
      <c r="E221" t="s">
        <v>72</v>
      </c>
      <c r="F221" t="s">
        <v>971</v>
      </c>
      <c r="G221">
        <v>12</v>
      </c>
      <c r="H221" s="27" t="s">
        <v>1093</v>
      </c>
      <c r="I221" s="27" t="s">
        <v>1114</v>
      </c>
      <c r="J221">
        <v>1266.75</v>
      </c>
      <c r="K221">
        <v>1208.5999999999999</v>
      </c>
      <c r="L221">
        <v>15201</v>
      </c>
      <c r="M221">
        <v>14503.199999999999</v>
      </c>
      <c r="N221">
        <v>697.80000000000109</v>
      </c>
      <c r="O221" s="17">
        <f t="shared" si="3"/>
        <v>4.8113519774946303</v>
      </c>
      <c r="P221" t="s">
        <v>45</v>
      </c>
    </row>
    <row r="222" spans="1:16">
      <c r="A222">
        <v>220</v>
      </c>
      <c r="B222" t="s">
        <v>749</v>
      </c>
      <c r="C222" t="s">
        <v>742</v>
      </c>
      <c r="D222" t="s">
        <v>742</v>
      </c>
      <c r="E222" t="s">
        <v>72</v>
      </c>
      <c r="F222" t="s">
        <v>750</v>
      </c>
      <c r="G222">
        <v>110</v>
      </c>
      <c r="H222" s="27" t="s">
        <v>1093</v>
      </c>
      <c r="I222" s="27" t="s">
        <v>1114</v>
      </c>
      <c r="J222">
        <v>79.38</v>
      </c>
      <c r="K222">
        <v>75.44</v>
      </c>
      <c r="L222">
        <v>8731.7999999999993</v>
      </c>
      <c r="M222">
        <v>8298.4</v>
      </c>
      <c r="N222">
        <v>433.39999999999975</v>
      </c>
      <c r="O222" s="17">
        <f t="shared" si="3"/>
        <v>5.2226935312831362</v>
      </c>
      <c r="P222" t="s">
        <v>45</v>
      </c>
    </row>
    <row r="223" spans="1:16">
      <c r="A223">
        <v>221</v>
      </c>
      <c r="B223" t="s">
        <v>823</v>
      </c>
      <c r="C223" t="s">
        <v>824</v>
      </c>
      <c r="D223" t="s">
        <v>824</v>
      </c>
      <c r="E223" t="s">
        <v>72</v>
      </c>
      <c r="F223" t="s">
        <v>825</v>
      </c>
      <c r="G223">
        <v>35</v>
      </c>
      <c r="H223" s="27" t="s">
        <v>1063</v>
      </c>
      <c r="I223" s="27" t="s">
        <v>1114</v>
      </c>
      <c r="J223">
        <v>275.52</v>
      </c>
      <c r="K223">
        <v>234.37</v>
      </c>
      <c r="L223">
        <v>9643.1999999999989</v>
      </c>
      <c r="M223">
        <v>8202.9500000000007</v>
      </c>
      <c r="N223">
        <v>1440.2499999999991</v>
      </c>
      <c r="O223" s="17">
        <f t="shared" si="3"/>
        <v>17.557707897768474</v>
      </c>
      <c r="P223" t="s">
        <v>45</v>
      </c>
    </row>
    <row r="224" spans="1:16">
      <c r="A224">
        <v>222</v>
      </c>
      <c r="B224" t="s">
        <v>522</v>
      </c>
      <c r="C224" t="s">
        <v>523</v>
      </c>
      <c r="D224" t="s">
        <v>523</v>
      </c>
      <c r="E224" t="s">
        <v>72</v>
      </c>
      <c r="F224" t="s">
        <v>524</v>
      </c>
      <c r="G224">
        <v>90</v>
      </c>
      <c r="H224" s="27" t="s">
        <v>1044</v>
      </c>
      <c r="I224" s="27" t="s">
        <v>1114</v>
      </c>
      <c r="J224">
        <v>111.35</v>
      </c>
      <c r="K224">
        <v>105.48</v>
      </c>
      <c r="L224">
        <v>10021.5</v>
      </c>
      <c r="M224">
        <v>9493.2000000000007</v>
      </c>
      <c r="N224">
        <v>528.29999999999916</v>
      </c>
      <c r="O224" s="17">
        <f t="shared" si="3"/>
        <v>5.5650360257868696</v>
      </c>
      <c r="P224" t="s">
        <v>45</v>
      </c>
    </row>
    <row r="225" spans="1:16">
      <c r="A225">
        <v>223</v>
      </c>
      <c r="B225" t="s">
        <v>522</v>
      </c>
      <c r="C225" t="s">
        <v>523</v>
      </c>
      <c r="D225" t="s">
        <v>523</v>
      </c>
      <c r="E225" t="s">
        <v>72</v>
      </c>
      <c r="F225" t="s">
        <v>524</v>
      </c>
      <c r="G225">
        <v>10</v>
      </c>
      <c r="H225" s="27" t="s">
        <v>930</v>
      </c>
      <c r="I225" s="27" t="s">
        <v>1114</v>
      </c>
      <c r="J225">
        <v>111.35</v>
      </c>
      <c r="K225">
        <v>85.89</v>
      </c>
      <c r="L225">
        <v>1113.5</v>
      </c>
      <c r="M225">
        <v>858.9</v>
      </c>
      <c r="N225">
        <v>254.59999999999994</v>
      </c>
      <c r="O225" s="17">
        <f t="shared" si="3"/>
        <v>29.642566072883913</v>
      </c>
      <c r="P225" t="s">
        <v>45</v>
      </c>
    </row>
    <row r="226" spans="1:16">
      <c r="A226">
        <v>224</v>
      </c>
      <c r="B226" t="s">
        <v>727</v>
      </c>
      <c r="C226" t="s">
        <v>728</v>
      </c>
      <c r="D226" t="s">
        <v>728</v>
      </c>
      <c r="E226" t="s">
        <v>72</v>
      </c>
      <c r="F226" t="s">
        <v>729</v>
      </c>
      <c r="G226">
        <v>3</v>
      </c>
      <c r="H226" s="27" t="s">
        <v>1097</v>
      </c>
      <c r="I226" s="27" t="s">
        <v>1114</v>
      </c>
      <c r="J226">
        <v>1308.23</v>
      </c>
      <c r="K226">
        <v>1235.8800000000001</v>
      </c>
      <c r="L226">
        <v>3924.69</v>
      </c>
      <c r="M226">
        <v>3707.6400000000003</v>
      </c>
      <c r="N226">
        <v>217.04999999999973</v>
      </c>
      <c r="O226" s="17">
        <f t="shared" si="3"/>
        <v>5.8541282325144754</v>
      </c>
      <c r="P226" t="s">
        <v>45</v>
      </c>
    </row>
    <row r="227" spans="1:16">
      <c r="A227">
        <v>225</v>
      </c>
      <c r="B227" t="s">
        <v>727</v>
      </c>
      <c r="C227" t="s">
        <v>728</v>
      </c>
      <c r="D227" t="s">
        <v>728</v>
      </c>
      <c r="E227" t="s">
        <v>72</v>
      </c>
      <c r="F227" t="s">
        <v>729</v>
      </c>
      <c r="G227">
        <v>5</v>
      </c>
      <c r="H227" s="27" t="s">
        <v>1042</v>
      </c>
      <c r="I227" s="27" t="s">
        <v>1114</v>
      </c>
      <c r="J227">
        <v>1308.23</v>
      </c>
      <c r="K227">
        <v>1282.6500000000001</v>
      </c>
      <c r="L227">
        <v>6541.15</v>
      </c>
      <c r="M227">
        <v>6413.25</v>
      </c>
      <c r="N227">
        <v>127.89999999999964</v>
      </c>
      <c r="O227" s="17">
        <f t="shared" si="3"/>
        <v>1.9943086578567755</v>
      </c>
      <c r="P227" t="s">
        <v>45</v>
      </c>
    </row>
    <row r="228" spans="1:16">
      <c r="A228">
        <v>226</v>
      </c>
      <c r="B228" t="s">
        <v>26</v>
      </c>
      <c r="C228" t="s">
        <v>102</v>
      </c>
      <c r="D228" t="s">
        <v>102</v>
      </c>
      <c r="E228" t="s">
        <v>72</v>
      </c>
      <c r="F228" t="s">
        <v>103</v>
      </c>
      <c r="G228">
        <v>125</v>
      </c>
      <c r="H228" s="27" t="s">
        <v>1092</v>
      </c>
      <c r="I228" s="27" t="s">
        <v>1112</v>
      </c>
      <c r="J228">
        <v>97.88</v>
      </c>
      <c r="K228">
        <v>93</v>
      </c>
      <c r="L228">
        <v>12235</v>
      </c>
      <c r="M228">
        <v>11625</v>
      </c>
      <c r="N228">
        <v>609.99999999999943</v>
      </c>
      <c r="O228" s="17">
        <f t="shared" si="3"/>
        <v>5.2473118279569846</v>
      </c>
      <c r="P228" t="s">
        <v>45</v>
      </c>
    </row>
    <row r="229" spans="1:16">
      <c r="A229">
        <v>227</v>
      </c>
      <c r="B229" t="s">
        <v>651</v>
      </c>
      <c r="C229" t="s">
        <v>653</v>
      </c>
      <c r="D229" t="s">
        <v>653</v>
      </c>
      <c r="E229" t="s">
        <v>72</v>
      </c>
      <c r="F229" t="s">
        <v>654</v>
      </c>
      <c r="G229">
        <v>16</v>
      </c>
      <c r="H229" s="27" t="s">
        <v>1092</v>
      </c>
      <c r="I229" s="27" t="s">
        <v>1112</v>
      </c>
      <c r="J229">
        <v>589.82000000000005</v>
      </c>
      <c r="K229">
        <v>546.91999999999996</v>
      </c>
      <c r="L229">
        <v>9437.1200000000008</v>
      </c>
      <c r="M229">
        <v>8750.7199999999993</v>
      </c>
      <c r="N229">
        <v>686.40000000000146</v>
      </c>
      <c r="O229" s="17">
        <f t="shared" si="3"/>
        <v>7.8439259855189229</v>
      </c>
      <c r="P229" t="s">
        <v>45</v>
      </c>
    </row>
    <row r="230" spans="1:16">
      <c r="A230">
        <v>228</v>
      </c>
      <c r="B230" t="s">
        <v>651</v>
      </c>
      <c r="C230" t="s">
        <v>653</v>
      </c>
      <c r="D230" t="s">
        <v>653</v>
      </c>
      <c r="E230" t="s">
        <v>72</v>
      </c>
      <c r="F230" t="s">
        <v>654</v>
      </c>
      <c r="G230">
        <v>1</v>
      </c>
      <c r="H230" s="27" t="s">
        <v>1063</v>
      </c>
      <c r="I230" s="27" t="s">
        <v>1112</v>
      </c>
      <c r="J230">
        <v>589.82000000000005</v>
      </c>
      <c r="K230">
        <v>698.73</v>
      </c>
      <c r="L230">
        <v>589.82000000000005</v>
      </c>
      <c r="M230">
        <v>698.73</v>
      </c>
      <c r="N230">
        <v>-108.90999999999997</v>
      </c>
      <c r="O230" s="17">
        <f t="shared" si="3"/>
        <v>-15.586850428634804</v>
      </c>
      <c r="P230" t="s">
        <v>45</v>
      </c>
    </row>
    <row r="231" spans="1:16">
      <c r="A231">
        <v>229</v>
      </c>
      <c r="B231" t="s">
        <v>414</v>
      </c>
      <c r="C231" t="s">
        <v>414</v>
      </c>
      <c r="D231" t="s">
        <v>414</v>
      </c>
      <c r="E231" t="s">
        <v>72</v>
      </c>
      <c r="F231" t="s">
        <v>415</v>
      </c>
      <c r="G231">
        <v>15</v>
      </c>
      <c r="H231" s="27" t="s">
        <v>1092</v>
      </c>
      <c r="I231" s="27" t="s">
        <v>1112</v>
      </c>
      <c r="J231">
        <v>709.1</v>
      </c>
      <c r="K231">
        <v>671.29</v>
      </c>
      <c r="L231">
        <v>10636.5</v>
      </c>
      <c r="M231">
        <v>10069.349999999999</v>
      </c>
      <c r="N231">
        <v>567.15000000000089</v>
      </c>
      <c r="O231" s="17">
        <f t="shared" si="3"/>
        <v>5.6324390352902718</v>
      </c>
      <c r="P231" t="s">
        <v>45</v>
      </c>
    </row>
    <row r="232" spans="1:16">
      <c r="A232">
        <v>230</v>
      </c>
      <c r="B232" t="s">
        <v>842</v>
      </c>
      <c r="C232" t="s">
        <v>843</v>
      </c>
      <c r="D232" t="s">
        <v>843</v>
      </c>
      <c r="E232" t="s">
        <v>72</v>
      </c>
      <c r="F232" t="s">
        <v>844</v>
      </c>
      <c r="G232">
        <v>13</v>
      </c>
      <c r="H232" s="27" t="s">
        <v>847</v>
      </c>
      <c r="I232" s="27" t="s">
        <v>1112</v>
      </c>
      <c r="J232">
        <v>1515.85</v>
      </c>
      <c r="K232">
        <v>972.8</v>
      </c>
      <c r="L232">
        <v>19706.05</v>
      </c>
      <c r="M232">
        <v>12646.4</v>
      </c>
      <c r="N232">
        <v>7059.65</v>
      </c>
      <c r="O232" s="17">
        <f t="shared" si="3"/>
        <v>55.823396381578945</v>
      </c>
      <c r="P232" t="s">
        <v>45</v>
      </c>
    </row>
    <row r="233" spans="1:16">
      <c r="A233">
        <v>231</v>
      </c>
      <c r="B233" t="s">
        <v>717</v>
      </c>
      <c r="C233" t="s">
        <v>705</v>
      </c>
      <c r="D233" t="s">
        <v>705</v>
      </c>
      <c r="E233" t="s">
        <v>72</v>
      </c>
      <c r="F233" t="s">
        <v>706</v>
      </c>
      <c r="G233">
        <v>10</v>
      </c>
      <c r="H233" s="27" t="s">
        <v>1063</v>
      </c>
      <c r="I233" s="27" t="s">
        <v>1091</v>
      </c>
      <c r="J233">
        <v>1439.2</v>
      </c>
      <c r="K233">
        <v>1254.78</v>
      </c>
      <c r="L233">
        <v>14392</v>
      </c>
      <c r="M233">
        <v>12547.8</v>
      </c>
      <c r="N233">
        <v>1844.2000000000007</v>
      </c>
      <c r="O233" s="17">
        <f t="shared" si="3"/>
        <v>14.697397153285841</v>
      </c>
      <c r="P233" t="s">
        <v>45</v>
      </c>
    </row>
    <row r="234" spans="1:16">
      <c r="A234">
        <v>232</v>
      </c>
      <c r="B234" t="s">
        <v>414</v>
      </c>
      <c r="C234" t="s">
        <v>414</v>
      </c>
      <c r="D234" t="s">
        <v>414</v>
      </c>
      <c r="E234" t="s">
        <v>72</v>
      </c>
      <c r="F234" t="s">
        <v>415</v>
      </c>
      <c r="G234">
        <v>15</v>
      </c>
      <c r="H234" s="27" t="s">
        <v>1045</v>
      </c>
      <c r="I234" s="27" t="s">
        <v>1091</v>
      </c>
      <c r="J234">
        <v>708</v>
      </c>
      <c r="K234">
        <v>669.85</v>
      </c>
      <c r="L234">
        <v>10620</v>
      </c>
      <c r="M234">
        <v>10047.75</v>
      </c>
      <c r="N234">
        <v>572.24999999999966</v>
      </c>
      <c r="O234" s="17">
        <f t="shared" si="3"/>
        <v>5.6953049190117149</v>
      </c>
      <c r="P234" t="s">
        <v>45</v>
      </c>
    </row>
    <row r="235" spans="1:16">
      <c r="A235">
        <v>233</v>
      </c>
      <c r="B235" t="s">
        <v>925</v>
      </c>
      <c r="C235" t="s">
        <v>926</v>
      </c>
      <c r="D235" t="s">
        <v>926</v>
      </c>
      <c r="E235" t="s">
        <v>72</v>
      </c>
      <c r="F235" t="s">
        <v>927</v>
      </c>
      <c r="G235">
        <v>15</v>
      </c>
      <c r="H235" s="27" t="s">
        <v>1093</v>
      </c>
      <c r="I235" s="27" t="s">
        <v>1115</v>
      </c>
      <c r="J235">
        <v>820</v>
      </c>
      <c r="K235">
        <v>776.18</v>
      </c>
      <c r="L235">
        <v>12300</v>
      </c>
      <c r="M235">
        <v>11642.699999999999</v>
      </c>
      <c r="N235">
        <v>657.30000000000075</v>
      </c>
      <c r="O235" s="17">
        <f t="shared" si="3"/>
        <v>5.6455976706434141</v>
      </c>
      <c r="P235" t="s">
        <v>45</v>
      </c>
    </row>
    <row r="236" spans="1:16">
      <c r="A236">
        <v>234</v>
      </c>
      <c r="B236" t="s">
        <v>665</v>
      </c>
      <c r="C236" t="s">
        <v>666</v>
      </c>
      <c r="D236" t="s">
        <v>666</v>
      </c>
      <c r="E236" t="s">
        <v>72</v>
      </c>
      <c r="F236" t="s">
        <v>667</v>
      </c>
      <c r="G236">
        <v>5</v>
      </c>
      <c r="H236" s="27" t="s">
        <v>1112</v>
      </c>
      <c r="I236" s="27" t="s">
        <v>1115</v>
      </c>
      <c r="J236">
        <v>2706.95</v>
      </c>
      <c r="K236">
        <v>2398.0100000000002</v>
      </c>
      <c r="L236">
        <v>13534.75</v>
      </c>
      <c r="M236">
        <v>11990.050000000001</v>
      </c>
      <c r="N236">
        <v>1544.699999999998</v>
      </c>
      <c r="O236" s="17">
        <f t="shared" si="3"/>
        <v>12.88318230532815</v>
      </c>
      <c r="P236" t="s">
        <v>45</v>
      </c>
    </row>
    <row r="237" spans="1:16">
      <c r="A237">
        <v>235</v>
      </c>
      <c r="B237" t="s">
        <v>470</v>
      </c>
      <c r="C237" t="s">
        <v>471</v>
      </c>
      <c r="D237" t="s">
        <v>471</v>
      </c>
      <c r="E237" t="s">
        <v>72</v>
      </c>
      <c r="F237" t="s">
        <v>609</v>
      </c>
      <c r="G237">
        <v>1</v>
      </c>
      <c r="H237" s="27" t="s">
        <v>484</v>
      </c>
      <c r="I237" s="27" t="s">
        <v>1115</v>
      </c>
      <c r="J237">
        <v>2032.45</v>
      </c>
      <c r="K237">
        <v>1237.44</v>
      </c>
      <c r="L237">
        <v>2032.45</v>
      </c>
      <c r="M237">
        <v>1237.44</v>
      </c>
      <c r="N237">
        <v>795.01</v>
      </c>
      <c r="O237" s="17">
        <f t="shared" si="3"/>
        <v>64.24634729764675</v>
      </c>
      <c r="P237" t="s">
        <v>45</v>
      </c>
    </row>
    <row r="238" spans="1:16">
      <c r="A238">
        <v>236</v>
      </c>
      <c r="B238" t="s">
        <v>982</v>
      </c>
      <c r="C238" t="s">
        <v>943</v>
      </c>
      <c r="D238" t="s">
        <v>943</v>
      </c>
      <c r="E238" t="s">
        <v>72</v>
      </c>
      <c r="F238" t="s">
        <v>944</v>
      </c>
      <c r="G238">
        <v>20</v>
      </c>
      <c r="H238" s="27" t="s">
        <v>1059</v>
      </c>
      <c r="I238" s="27" t="s">
        <v>1094</v>
      </c>
      <c r="J238">
        <v>660.25</v>
      </c>
      <c r="K238">
        <v>476.13</v>
      </c>
      <c r="L238">
        <v>13205</v>
      </c>
      <c r="M238">
        <v>9522.6</v>
      </c>
      <c r="N238">
        <v>3682.4</v>
      </c>
      <c r="O238" s="17">
        <f t="shared" si="3"/>
        <v>38.670111104110227</v>
      </c>
      <c r="P238" t="s">
        <v>45</v>
      </c>
    </row>
    <row r="239" spans="1:16">
      <c r="A239">
        <v>237</v>
      </c>
      <c r="B239" t="s">
        <v>717</v>
      </c>
      <c r="C239" t="s">
        <v>705</v>
      </c>
      <c r="D239" t="s">
        <v>705</v>
      </c>
      <c r="E239" t="s">
        <v>72</v>
      </c>
      <c r="F239" t="s">
        <v>706</v>
      </c>
      <c r="G239">
        <v>10</v>
      </c>
      <c r="H239" s="27" t="s">
        <v>1063</v>
      </c>
      <c r="I239" s="27" t="s">
        <v>1095</v>
      </c>
      <c r="J239">
        <v>1337.5</v>
      </c>
      <c r="K239">
        <v>1254.78</v>
      </c>
      <c r="L239">
        <v>13375</v>
      </c>
      <c r="M239">
        <v>12547.8</v>
      </c>
      <c r="N239">
        <v>827.20000000000027</v>
      </c>
      <c r="O239" s="17">
        <f t="shared" si="3"/>
        <v>6.5923906979709619</v>
      </c>
      <c r="P239" t="s">
        <v>45</v>
      </c>
    </row>
    <row r="240" spans="1:16">
      <c r="A240">
        <v>238</v>
      </c>
      <c r="B240" t="s">
        <v>566</v>
      </c>
      <c r="C240" t="s">
        <v>567</v>
      </c>
      <c r="D240" t="s">
        <v>567</v>
      </c>
      <c r="E240" t="s">
        <v>72</v>
      </c>
      <c r="F240" t="s">
        <v>585</v>
      </c>
      <c r="G240">
        <v>7</v>
      </c>
      <c r="H240" s="27" t="s">
        <v>1059</v>
      </c>
      <c r="I240" s="27" t="s">
        <v>1097</v>
      </c>
      <c r="J240">
        <v>514.26</v>
      </c>
      <c r="K240">
        <v>421.3</v>
      </c>
      <c r="L240">
        <v>3599.8199999999997</v>
      </c>
      <c r="M240">
        <v>2949.1</v>
      </c>
      <c r="N240">
        <v>650.7199999999998</v>
      </c>
      <c r="O240" s="17">
        <f t="shared" si="3"/>
        <v>22.065036790885348</v>
      </c>
      <c r="P240" t="s">
        <v>45</v>
      </c>
    </row>
    <row r="241" spans="1:16">
      <c r="A241">
        <v>239</v>
      </c>
      <c r="B241" t="s">
        <v>40</v>
      </c>
      <c r="C241" t="s">
        <v>125</v>
      </c>
      <c r="D241" t="s">
        <v>125</v>
      </c>
      <c r="E241" t="s">
        <v>72</v>
      </c>
      <c r="F241" t="s">
        <v>126</v>
      </c>
      <c r="G241">
        <v>2</v>
      </c>
      <c r="H241" s="27" t="s">
        <v>136</v>
      </c>
      <c r="I241" s="27" t="s">
        <v>1097</v>
      </c>
      <c r="J241">
        <v>637</v>
      </c>
      <c r="K241">
        <v>717.7</v>
      </c>
      <c r="L241">
        <v>1274</v>
      </c>
      <c r="M241">
        <v>1435.4</v>
      </c>
      <c r="N241">
        <v>-161.40000000000009</v>
      </c>
      <c r="O241" s="17">
        <f t="shared" si="3"/>
        <v>-11.244252473178214</v>
      </c>
      <c r="P241" t="s">
        <v>45</v>
      </c>
    </row>
    <row r="242" spans="1:16">
      <c r="A242">
        <v>240</v>
      </c>
      <c r="B242" t="s">
        <v>842</v>
      </c>
      <c r="C242" t="s">
        <v>843</v>
      </c>
      <c r="D242" t="s">
        <v>843</v>
      </c>
      <c r="E242" t="s">
        <v>72</v>
      </c>
      <c r="F242" t="s">
        <v>844</v>
      </c>
      <c r="G242">
        <v>15</v>
      </c>
      <c r="H242" s="27" t="s">
        <v>847</v>
      </c>
      <c r="I242" s="27" t="s">
        <v>1097</v>
      </c>
      <c r="J242">
        <v>1695</v>
      </c>
      <c r="K242">
        <v>972.8</v>
      </c>
      <c r="L242">
        <v>25425</v>
      </c>
      <c r="M242">
        <v>14592</v>
      </c>
      <c r="N242">
        <v>10833</v>
      </c>
      <c r="O242" s="17">
        <f t="shared" si="3"/>
        <v>74.239309210526329</v>
      </c>
      <c r="P242" t="s">
        <v>45</v>
      </c>
    </row>
    <row r="243" spans="1:16">
      <c r="A243">
        <v>241</v>
      </c>
      <c r="B243" t="s">
        <v>566</v>
      </c>
      <c r="C243" t="s">
        <v>567</v>
      </c>
      <c r="D243" t="s">
        <v>567</v>
      </c>
      <c r="E243" t="s">
        <v>72</v>
      </c>
      <c r="F243" t="s">
        <v>585</v>
      </c>
      <c r="G243">
        <v>7</v>
      </c>
      <c r="H243" s="27" t="s">
        <v>1059</v>
      </c>
      <c r="I243" s="27" t="s">
        <v>1098</v>
      </c>
      <c r="J243">
        <v>515.16</v>
      </c>
      <c r="K243">
        <v>421.3</v>
      </c>
      <c r="L243">
        <v>3606.12</v>
      </c>
      <c r="M243">
        <v>2949.1</v>
      </c>
      <c r="N243">
        <v>657.01999999999975</v>
      </c>
      <c r="O243" s="17">
        <f t="shared" si="3"/>
        <v>22.278661286494177</v>
      </c>
      <c r="P243" t="s">
        <v>45</v>
      </c>
    </row>
    <row r="244" spans="1:16">
      <c r="A244">
        <v>242</v>
      </c>
      <c r="B244" t="s">
        <v>635</v>
      </c>
      <c r="C244" t="s">
        <v>633</v>
      </c>
      <c r="D244" t="s">
        <v>633</v>
      </c>
      <c r="E244" t="s">
        <v>72</v>
      </c>
      <c r="F244" t="s">
        <v>634</v>
      </c>
      <c r="G244">
        <v>1</v>
      </c>
      <c r="H244" s="27" t="s">
        <v>1086</v>
      </c>
      <c r="I244" s="27" t="s">
        <v>1100</v>
      </c>
      <c r="J244">
        <v>7227.05</v>
      </c>
      <c r="K244">
        <v>5760.5</v>
      </c>
      <c r="L244">
        <v>7227.05</v>
      </c>
      <c r="M244">
        <v>5760.5</v>
      </c>
      <c r="N244">
        <v>1466.5500000000002</v>
      </c>
      <c r="O244" s="17">
        <f t="shared" si="3"/>
        <v>25.45872754101207</v>
      </c>
      <c r="P244" t="s">
        <v>45</v>
      </c>
    </row>
    <row r="245" spans="1:16">
      <c r="A245">
        <v>243</v>
      </c>
      <c r="B245" t="s">
        <v>931</v>
      </c>
      <c r="C245" t="s">
        <v>931</v>
      </c>
      <c r="D245" t="s">
        <v>931</v>
      </c>
      <c r="E245" t="s">
        <v>72</v>
      </c>
      <c r="F245" t="s">
        <v>932</v>
      </c>
      <c r="G245">
        <v>90</v>
      </c>
      <c r="H245" s="27" t="s">
        <v>1060</v>
      </c>
      <c r="I245" s="27" t="s">
        <v>1100</v>
      </c>
      <c r="J245">
        <v>128.03</v>
      </c>
      <c r="K245">
        <v>130.30000000000001</v>
      </c>
      <c r="L245">
        <v>11522.7</v>
      </c>
      <c r="M245">
        <v>11727.000000000002</v>
      </c>
      <c r="N245">
        <v>-204.30000000000092</v>
      </c>
      <c r="O245" s="17">
        <f t="shared" si="3"/>
        <v>-1.7421335379892631</v>
      </c>
      <c r="P245" t="s">
        <v>45</v>
      </c>
    </row>
    <row r="246" spans="1:16">
      <c r="A246">
        <v>244</v>
      </c>
      <c r="B246" t="s">
        <v>982</v>
      </c>
      <c r="C246" t="s">
        <v>943</v>
      </c>
      <c r="D246" t="s">
        <v>943</v>
      </c>
      <c r="E246" t="s">
        <v>72</v>
      </c>
      <c r="F246" t="s">
        <v>944</v>
      </c>
      <c r="G246">
        <v>18</v>
      </c>
      <c r="H246" s="27" t="s">
        <v>1059</v>
      </c>
      <c r="I246" s="27" t="s">
        <v>1101</v>
      </c>
      <c r="J246">
        <v>610.37</v>
      </c>
      <c r="K246">
        <v>476.13</v>
      </c>
      <c r="L246">
        <v>10986.66</v>
      </c>
      <c r="M246">
        <v>8570.34</v>
      </c>
      <c r="N246">
        <v>2416.3200000000002</v>
      </c>
      <c r="O246" s="17">
        <f t="shared" si="3"/>
        <v>28.193980635540715</v>
      </c>
      <c r="P246" t="s">
        <v>45</v>
      </c>
    </row>
    <row r="247" spans="1:16">
      <c r="A247">
        <v>245</v>
      </c>
      <c r="B247" t="s">
        <v>623</v>
      </c>
      <c r="C247" t="s">
        <v>624</v>
      </c>
      <c r="D247" t="s">
        <v>624</v>
      </c>
      <c r="E247" t="s">
        <v>72</v>
      </c>
      <c r="F247" t="s">
        <v>625</v>
      </c>
      <c r="G247">
        <v>5</v>
      </c>
      <c r="H247" s="27" t="s">
        <v>928</v>
      </c>
      <c r="I247" s="27" t="s">
        <v>1101</v>
      </c>
      <c r="J247">
        <v>1718.75</v>
      </c>
      <c r="K247">
        <v>1450</v>
      </c>
      <c r="L247">
        <v>8593.75</v>
      </c>
      <c r="M247">
        <v>7250</v>
      </c>
      <c r="N247">
        <v>1343.75</v>
      </c>
      <c r="O247" s="17">
        <f t="shared" si="3"/>
        <v>18.53448275862069</v>
      </c>
      <c r="P247" t="s">
        <v>45</v>
      </c>
    </row>
    <row r="248" spans="1:16">
      <c r="A248">
        <v>246</v>
      </c>
      <c r="B248" t="s">
        <v>623</v>
      </c>
      <c r="C248" t="s">
        <v>624</v>
      </c>
      <c r="D248" t="s">
        <v>624</v>
      </c>
      <c r="E248" t="s">
        <v>72</v>
      </c>
      <c r="F248" t="s">
        <v>625</v>
      </c>
      <c r="G248">
        <v>5</v>
      </c>
      <c r="H248" s="27" t="s">
        <v>956</v>
      </c>
      <c r="I248" s="27" t="s">
        <v>1101</v>
      </c>
      <c r="J248">
        <v>1718.75</v>
      </c>
      <c r="K248">
        <v>1430.71</v>
      </c>
      <c r="L248">
        <v>8593.75</v>
      </c>
      <c r="M248">
        <v>7153.55</v>
      </c>
      <c r="N248">
        <v>1440.1999999999998</v>
      </c>
      <c r="O248" s="17">
        <f t="shared" si="3"/>
        <v>20.132661405875403</v>
      </c>
      <c r="P248" t="s">
        <v>45</v>
      </c>
    </row>
    <row r="249" spans="1:16">
      <c r="A249">
        <v>247</v>
      </c>
      <c r="B249" t="s">
        <v>539</v>
      </c>
      <c r="C249" t="s">
        <v>540</v>
      </c>
      <c r="D249" t="s">
        <v>540</v>
      </c>
      <c r="E249" t="s">
        <v>72</v>
      </c>
      <c r="F249" t="s">
        <v>541</v>
      </c>
      <c r="G249">
        <v>13</v>
      </c>
      <c r="H249" s="27" t="s">
        <v>1064</v>
      </c>
      <c r="I249" s="27" t="s">
        <v>1101</v>
      </c>
      <c r="J249">
        <v>1074.8499999999999</v>
      </c>
      <c r="K249">
        <v>1024.05</v>
      </c>
      <c r="L249">
        <v>13973.05</v>
      </c>
      <c r="M249">
        <v>13312.65</v>
      </c>
      <c r="N249">
        <v>660.39999999999941</v>
      </c>
      <c r="O249" s="17">
        <f t="shared" si="3"/>
        <v>4.9606952785508476</v>
      </c>
      <c r="P249" t="s">
        <v>45</v>
      </c>
    </row>
    <row r="250" spans="1:16">
      <c r="A250">
        <v>248</v>
      </c>
      <c r="B250" t="s">
        <v>668</v>
      </c>
      <c r="C250" t="s">
        <v>669</v>
      </c>
      <c r="D250" t="s">
        <v>669</v>
      </c>
      <c r="E250" t="s">
        <v>72</v>
      </c>
      <c r="F250" t="s">
        <v>670</v>
      </c>
      <c r="G250">
        <v>3</v>
      </c>
      <c r="H250" s="27" t="s">
        <v>1104</v>
      </c>
      <c r="I250" s="27" t="s">
        <v>1116</v>
      </c>
      <c r="J250">
        <v>3665</v>
      </c>
      <c r="K250">
        <v>3484.67</v>
      </c>
      <c r="L250">
        <v>10995</v>
      </c>
      <c r="M250">
        <v>10454.01</v>
      </c>
      <c r="N250">
        <v>540.98999999999978</v>
      </c>
      <c r="O250" s="17">
        <f t="shared" si="3"/>
        <v>5.1749520040635106</v>
      </c>
      <c r="P250" t="s">
        <v>45</v>
      </c>
    </row>
    <row r="251" spans="1:16">
      <c r="A251">
        <v>249</v>
      </c>
      <c r="B251" t="s">
        <v>751</v>
      </c>
      <c r="C251" t="s">
        <v>753</v>
      </c>
      <c r="D251" t="s">
        <v>752</v>
      </c>
      <c r="E251" t="s">
        <v>72</v>
      </c>
      <c r="F251" t="s">
        <v>754</v>
      </c>
      <c r="G251">
        <v>4</v>
      </c>
      <c r="H251" s="27" t="s">
        <v>1093</v>
      </c>
      <c r="I251" s="27" t="s">
        <v>1116</v>
      </c>
      <c r="J251">
        <v>1688.9</v>
      </c>
      <c r="K251">
        <v>1517.25</v>
      </c>
      <c r="L251">
        <v>6755.6</v>
      </c>
      <c r="M251">
        <v>6069</v>
      </c>
      <c r="N251">
        <v>686.60000000000036</v>
      </c>
      <c r="O251" s="17">
        <f t="shared" si="3"/>
        <v>11.313231174822876</v>
      </c>
      <c r="P251" t="s">
        <v>45</v>
      </c>
    </row>
    <row r="252" spans="1:16">
      <c r="A252">
        <v>250</v>
      </c>
      <c r="B252" t="s">
        <v>751</v>
      </c>
      <c r="C252" t="s">
        <v>753</v>
      </c>
      <c r="D252" t="s">
        <v>752</v>
      </c>
      <c r="E252" t="s">
        <v>72</v>
      </c>
      <c r="F252" t="s">
        <v>754</v>
      </c>
      <c r="G252">
        <v>2</v>
      </c>
      <c r="H252" s="27" t="s">
        <v>1094</v>
      </c>
      <c r="I252" s="27" t="s">
        <v>1116</v>
      </c>
      <c r="J252">
        <v>1688.9</v>
      </c>
      <c r="K252">
        <v>1583.4</v>
      </c>
      <c r="L252">
        <v>3377.8</v>
      </c>
      <c r="M252">
        <v>3166.8</v>
      </c>
      <c r="N252">
        <v>211</v>
      </c>
      <c r="O252" s="17">
        <f t="shared" si="3"/>
        <v>6.662877352532524</v>
      </c>
      <c r="P252" t="s">
        <v>45</v>
      </c>
    </row>
    <row r="253" spans="1:16">
      <c r="A253">
        <v>251</v>
      </c>
      <c r="B253" t="s">
        <v>751</v>
      </c>
      <c r="C253" t="s">
        <v>753</v>
      </c>
      <c r="D253" t="s">
        <v>752</v>
      </c>
      <c r="E253" t="s">
        <v>72</v>
      </c>
      <c r="F253" t="s">
        <v>754</v>
      </c>
      <c r="G253">
        <v>1</v>
      </c>
      <c r="H253" s="27" t="s">
        <v>1097</v>
      </c>
      <c r="I253" s="27" t="s">
        <v>1116</v>
      </c>
      <c r="J253">
        <v>1688.9</v>
      </c>
      <c r="K253">
        <v>1545.14</v>
      </c>
      <c r="L253">
        <v>1688.9</v>
      </c>
      <c r="M253">
        <v>1545.14</v>
      </c>
      <c r="N253">
        <v>143.76</v>
      </c>
      <c r="O253" s="17">
        <f t="shared" si="3"/>
        <v>9.3040112870031173</v>
      </c>
      <c r="P253" t="s">
        <v>45</v>
      </c>
    </row>
    <row r="254" spans="1:16">
      <c r="A254">
        <v>252</v>
      </c>
      <c r="B254" t="s">
        <v>749</v>
      </c>
      <c r="C254" t="s">
        <v>742</v>
      </c>
      <c r="D254" t="s">
        <v>742</v>
      </c>
      <c r="E254" t="s">
        <v>72</v>
      </c>
      <c r="F254" t="s">
        <v>750</v>
      </c>
      <c r="G254">
        <v>165</v>
      </c>
      <c r="H254" s="27" t="s">
        <v>1093</v>
      </c>
      <c r="I254" s="27" t="s">
        <v>1116</v>
      </c>
      <c r="J254">
        <v>86.93</v>
      </c>
      <c r="K254">
        <v>75.44</v>
      </c>
      <c r="L254">
        <v>14343.45</v>
      </c>
      <c r="M254">
        <v>12447.6</v>
      </c>
      <c r="N254">
        <v>1895.8500000000015</v>
      </c>
      <c r="O254" s="17">
        <f t="shared" si="3"/>
        <v>15.230646871686121</v>
      </c>
      <c r="P254" t="s">
        <v>45</v>
      </c>
    </row>
    <row r="255" spans="1:16">
      <c r="A255">
        <v>253</v>
      </c>
      <c r="B255" t="s">
        <v>749</v>
      </c>
      <c r="C255" t="s">
        <v>742</v>
      </c>
      <c r="D255" t="s">
        <v>742</v>
      </c>
      <c r="E255" t="s">
        <v>72</v>
      </c>
      <c r="F255" t="s">
        <v>750</v>
      </c>
      <c r="G255">
        <v>35</v>
      </c>
      <c r="H255" s="27" t="s">
        <v>1061</v>
      </c>
      <c r="I255" s="27" t="s">
        <v>1116</v>
      </c>
      <c r="J255">
        <v>86.93</v>
      </c>
      <c r="K255">
        <v>67.349999999999994</v>
      </c>
      <c r="L255">
        <v>3042.55</v>
      </c>
      <c r="M255">
        <v>2357.25</v>
      </c>
      <c r="N255">
        <v>685.30000000000041</v>
      </c>
      <c r="O255" s="17">
        <f t="shared" si="3"/>
        <v>29.072011878247974</v>
      </c>
      <c r="P255" t="s">
        <v>45</v>
      </c>
    </row>
    <row r="256" spans="1:16">
      <c r="A256">
        <v>254</v>
      </c>
      <c r="B256" t="s">
        <v>925</v>
      </c>
      <c r="C256" t="s">
        <v>926</v>
      </c>
      <c r="D256" t="s">
        <v>926</v>
      </c>
      <c r="E256" t="s">
        <v>72</v>
      </c>
      <c r="F256" t="s">
        <v>927</v>
      </c>
      <c r="G256">
        <v>15</v>
      </c>
      <c r="H256" s="27" t="s">
        <v>1093</v>
      </c>
      <c r="I256" s="27" t="s">
        <v>1116</v>
      </c>
      <c r="J256">
        <v>883.9</v>
      </c>
      <c r="K256">
        <v>776.18</v>
      </c>
      <c r="L256">
        <v>13258.5</v>
      </c>
      <c r="M256">
        <v>11642.699999999999</v>
      </c>
      <c r="N256">
        <v>1615.8000000000004</v>
      </c>
      <c r="O256" s="17">
        <f t="shared" si="3"/>
        <v>13.87822412327038</v>
      </c>
      <c r="P256" t="s">
        <v>45</v>
      </c>
    </row>
    <row r="257" spans="1:16">
      <c r="A257">
        <v>255</v>
      </c>
      <c r="B257" t="s">
        <v>25</v>
      </c>
      <c r="C257" t="s">
        <v>100</v>
      </c>
      <c r="D257" t="s">
        <v>100</v>
      </c>
      <c r="E257" t="s">
        <v>72</v>
      </c>
      <c r="F257" t="s">
        <v>101</v>
      </c>
      <c r="G257">
        <v>29</v>
      </c>
      <c r="H257" s="27" t="s">
        <v>928</v>
      </c>
      <c r="I257" s="27" t="s">
        <v>1102</v>
      </c>
      <c r="J257">
        <v>427.3</v>
      </c>
      <c r="K257">
        <v>339</v>
      </c>
      <c r="L257">
        <v>12391.7</v>
      </c>
      <c r="M257">
        <v>9831</v>
      </c>
      <c r="N257">
        <v>2560.7000000000003</v>
      </c>
      <c r="O257" s="17">
        <f t="shared" si="3"/>
        <v>26.047197640117997</v>
      </c>
      <c r="P257" t="s">
        <v>45</v>
      </c>
    </row>
    <row r="258" spans="1:16">
      <c r="A258">
        <v>256</v>
      </c>
      <c r="B258" t="s">
        <v>25</v>
      </c>
      <c r="C258" t="s">
        <v>100</v>
      </c>
      <c r="D258" t="s">
        <v>100</v>
      </c>
      <c r="E258" t="s">
        <v>72</v>
      </c>
      <c r="F258" t="s">
        <v>101</v>
      </c>
      <c r="G258">
        <v>1</v>
      </c>
      <c r="H258" s="27" t="s">
        <v>756</v>
      </c>
      <c r="I258" s="27" t="s">
        <v>1102</v>
      </c>
      <c r="J258">
        <v>427.3</v>
      </c>
      <c r="K258">
        <v>419.18</v>
      </c>
      <c r="L258">
        <v>427.3</v>
      </c>
      <c r="M258">
        <v>419.18</v>
      </c>
      <c r="N258">
        <v>8.1200000000000045</v>
      </c>
      <c r="O258" s="17">
        <f t="shared" si="3"/>
        <v>1.9371153203874243</v>
      </c>
      <c r="P258" t="s">
        <v>45</v>
      </c>
    </row>
    <row r="259" spans="1:16">
      <c r="A259">
        <v>257</v>
      </c>
      <c r="B259" t="s">
        <v>786</v>
      </c>
      <c r="C259" t="s">
        <v>787</v>
      </c>
      <c r="D259" t="s">
        <v>787</v>
      </c>
      <c r="E259" t="s">
        <v>72</v>
      </c>
      <c r="F259" t="s">
        <v>788</v>
      </c>
      <c r="G259">
        <v>15</v>
      </c>
      <c r="H259" s="27" t="s">
        <v>792</v>
      </c>
      <c r="I259" s="27" t="s">
        <v>1102</v>
      </c>
      <c r="J259">
        <v>192.1</v>
      </c>
      <c r="K259">
        <v>130.47999999999999</v>
      </c>
      <c r="L259">
        <v>2881.5</v>
      </c>
      <c r="M259">
        <v>1957.1999999999998</v>
      </c>
      <c r="N259">
        <v>924.30000000000007</v>
      </c>
      <c r="O259" s="17">
        <f t="shared" si="3"/>
        <v>47.225628448804422</v>
      </c>
      <c r="P259" t="s">
        <v>45</v>
      </c>
    </row>
    <row r="260" spans="1:16">
      <c r="A260">
        <v>258</v>
      </c>
      <c r="B260" t="s">
        <v>969</v>
      </c>
      <c r="C260" t="s">
        <v>970</v>
      </c>
      <c r="D260" t="s">
        <v>970</v>
      </c>
      <c r="E260" t="s">
        <v>72</v>
      </c>
      <c r="F260" t="s">
        <v>919</v>
      </c>
      <c r="G260">
        <v>6</v>
      </c>
      <c r="H260" s="27" t="s">
        <v>1105</v>
      </c>
      <c r="I260" s="27" t="s">
        <v>1102</v>
      </c>
      <c r="J260">
        <v>1370.5</v>
      </c>
      <c r="K260">
        <v>1270.45</v>
      </c>
      <c r="L260">
        <v>8223</v>
      </c>
      <c r="M260">
        <v>7622.7000000000007</v>
      </c>
      <c r="N260">
        <v>600.29999999999973</v>
      </c>
      <c r="O260" s="17">
        <f t="shared" ref="O260:O323" si="4">N260/M260%</f>
        <v>7.8751623440513168</v>
      </c>
      <c r="P260" t="s">
        <v>45</v>
      </c>
    </row>
    <row r="261" spans="1:16">
      <c r="A261">
        <v>259</v>
      </c>
      <c r="B261" t="s">
        <v>645</v>
      </c>
      <c r="C261" t="s">
        <v>646</v>
      </c>
      <c r="D261" t="s">
        <v>646</v>
      </c>
      <c r="E261" t="s">
        <v>72</v>
      </c>
      <c r="F261" t="s">
        <v>647</v>
      </c>
      <c r="G261">
        <v>6</v>
      </c>
      <c r="H261" s="27" t="s">
        <v>1058</v>
      </c>
      <c r="I261" s="27" t="s">
        <v>1102</v>
      </c>
      <c r="J261">
        <v>2151.5500000000002</v>
      </c>
      <c r="K261">
        <v>1760.05</v>
      </c>
      <c r="L261">
        <v>12909.300000000001</v>
      </c>
      <c r="M261">
        <v>10560.3</v>
      </c>
      <c r="N261">
        <v>2349.0000000000014</v>
      </c>
      <c r="O261" s="17">
        <f t="shared" si="4"/>
        <v>22.243686258913112</v>
      </c>
      <c r="P261" t="s">
        <v>45</v>
      </c>
    </row>
    <row r="262" spans="1:16">
      <c r="A262">
        <v>260</v>
      </c>
      <c r="B262" t="s">
        <v>536</v>
      </c>
      <c r="C262" t="s">
        <v>537</v>
      </c>
      <c r="D262" t="s">
        <v>550</v>
      </c>
      <c r="E262" t="s">
        <v>72</v>
      </c>
      <c r="F262" t="s">
        <v>538</v>
      </c>
      <c r="G262">
        <v>9</v>
      </c>
      <c r="H262" s="27" t="s">
        <v>1044</v>
      </c>
      <c r="I262" s="27" t="s">
        <v>1103</v>
      </c>
      <c r="J262">
        <v>1998.33</v>
      </c>
      <c r="K262">
        <v>908.4</v>
      </c>
      <c r="L262">
        <v>17984.97</v>
      </c>
      <c r="M262">
        <v>8175.5999999999995</v>
      </c>
      <c r="N262">
        <v>9809.369999999999</v>
      </c>
      <c r="O262" s="17">
        <f t="shared" si="4"/>
        <v>119.98348745046233</v>
      </c>
      <c r="P262" t="s">
        <v>45</v>
      </c>
    </row>
    <row r="263" spans="1:16">
      <c r="A263">
        <v>261</v>
      </c>
      <c r="B263" t="s">
        <v>689</v>
      </c>
      <c r="C263" t="s">
        <v>690</v>
      </c>
      <c r="D263" t="s">
        <v>690</v>
      </c>
      <c r="E263" t="s">
        <v>72</v>
      </c>
      <c r="F263" t="s">
        <v>691</v>
      </c>
      <c r="G263">
        <v>4</v>
      </c>
      <c r="H263" s="27" t="s">
        <v>1093</v>
      </c>
      <c r="I263" s="27" t="s">
        <v>1103</v>
      </c>
      <c r="J263">
        <v>3406.35</v>
      </c>
      <c r="K263">
        <v>3049.67</v>
      </c>
      <c r="L263">
        <v>13625.4</v>
      </c>
      <c r="M263">
        <v>12198.68</v>
      </c>
      <c r="N263">
        <v>1426.7199999999993</v>
      </c>
      <c r="O263" s="17">
        <f t="shared" si="4"/>
        <v>11.695691664999813</v>
      </c>
      <c r="P263" t="s">
        <v>45</v>
      </c>
    </row>
    <row r="264" spans="1:16">
      <c r="A264">
        <v>262</v>
      </c>
      <c r="B264" t="s">
        <v>630</v>
      </c>
      <c r="C264" t="s">
        <v>631</v>
      </c>
      <c r="D264" t="s">
        <v>631</v>
      </c>
      <c r="E264" t="s">
        <v>72</v>
      </c>
      <c r="F264" t="s">
        <v>632</v>
      </c>
      <c r="G264">
        <v>4</v>
      </c>
      <c r="H264" s="27" t="s">
        <v>1042</v>
      </c>
      <c r="I264" s="27" t="s">
        <v>1103</v>
      </c>
      <c r="J264">
        <v>3523.5</v>
      </c>
      <c r="K264">
        <v>2932.95</v>
      </c>
      <c r="L264">
        <v>14094</v>
      </c>
      <c r="M264">
        <v>11731.8</v>
      </c>
      <c r="N264">
        <v>2362.2000000000007</v>
      </c>
      <c r="O264" s="17">
        <f t="shared" si="4"/>
        <v>20.135017644351258</v>
      </c>
      <c r="P264" t="s">
        <v>45</v>
      </c>
    </row>
    <row r="265" spans="1:16">
      <c r="A265">
        <v>263</v>
      </c>
      <c r="B265" t="s">
        <v>645</v>
      </c>
      <c r="C265" t="s">
        <v>646</v>
      </c>
      <c r="D265" t="s">
        <v>646</v>
      </c>
      <c r="E265" t="s">
        <v>72</v>
      </c>
      <c r="F265" t="s">
        <v>647</v>
      </c>
      <c r="G265">
        <v>6</v>
      </c>
      <c r="H265" s="27" t="s">
        <v>1058</v>
      </c>
      <c r="I265" s="27" t="s">
        <v>1117</v>
      </c>
      <c r="J265">
        <v>1977.5</v>
      </c>
      <c r="K265">
        <v>1760.05</v>
      </c>
      <c r="L265">
        <v>11865</v>
      </c>
      <c r="M265">
        <v>10560.3</v>
      </c>
      <c r="N265">
        <v>1304.7000000000003</v>
      </c>
      <c r="O265" s="17">
        <f t="shared" si="4"/>
        <v>12.354762648788389</v>
      </c>
      <c r="P265" t="s">
        <v>45</v>
      </c>
    </row>
    <row r="266" spans="1:16">
      <c r="A266">
        <v>264</v>
      </c>
      <c r="B266" t="s">
        <v>536</v>
      </c>
      <c r="C266" t="s">
        <v>537</v>
      </c>
      <c r="D266" t="s">
        <v>550</v>
      </c>
      <c r="E266" t="s">
        <v>72</v>
      </c>
      <c r="F266" t="s">
        <v>538</v>
      </c>
      <c r="G266">
        <v>9</v>
      </c>
      <c r="H266" s="27" t="s">
        <v>1044</v>
      </c>
      <c r="I266" s="27" t="s">
        <v>1117</v>
      </c>
      <c r="J266">
        <v>1798.33</v>
      </c>
      <c r="K266">
        <v>908.4</v>
      </c>
      <c r="L266">
        <v>16184.97</v>
      </c>
      <c r="M266">
        <v>8175.5999999999995</v>
      </c>
      <c r="N266">
        <v>8009.37</v>
      </c>
      <c r="O266" s="17">
        <f t="shared" si="4"/>
        <v>97.966754733597526</v>
      </c>
      <c r="P266" t="s">
        <v>45</v>
      </c>
    </row>
    <row r="267" spans="1:16">
      <c r="A267">
        <v>265</v>
      </c>
      <c r="B267" t="s">
        <v>29</v>
      </c>
      <c r="C267" t="s">
        <v>107</v>
      </c>
      <c r="D267" t="s">
        <v>107</v>
      </c>
      <c r="E267" t="s">
        <v>72</v>
      </c>
      <c r="F267" t="s">
        <v>108</v>
      </c>
      <c r="G267">
        <v>5</v>
      </c>
      <c r="H267" s="27" t="s">
        <v>1086</v>
      </c>
      <c r="I267" s="27" t="s">
        <v>1117</v>
      </c>
      <c r="J267">
        <v>2870.5</v>
      </c>
      <c r="K267">
        <v>2560.0300000000002</v>
      </c>
      <c r="L267">
        <v>14352.5</v>
      </c>
      <c r="M267">
        <v>12800.150000000001</v>
      </c>
      <c r="N267">
        <v>1552.349999999999</v>
      </c>
      <c r="O267" s="17">
        <f t="shared" si="4"/>
        <v>12.127592254778255</v>
      </c>
      <c r="P267" t="s">
        <v>45</v>
      </c>
    </row>
    <row r="268" spans="1:16">
      <c r="A268">
        <v>266</v>
      </c>
      <c r="B268" t="s">
        <v>627</v>
      </c>
      <c r="C268" t="s">
        <v>683</v>
      </c>
      <c r="D268" t="s">
        <v>628</v>
      </c>
      <c r="E268" t="s">
        <v>72</v>
      </c>
      <c r="F268" t="s">
        <v>629</v>
      </c>
      <c r="G268">
        <v>25</v>
      </c>
      <c r="H268" s="27" t="s">
        <v>1086</v>
      </c>
      <c r="I268" s="27" t="s">
        <v>1118</v>
      </c>
      <c r="J268">
        <v>420.06</v>
      </c>
      <c r="K268">
        <v>408.75</v>
      </c>
      <c r="L268">
        <v>10501.5</v>
      </c>
      <c r="M268">
        <v>10218.75</v>
      </c>
      <c r="N268">
        <v>282.75000000000006</v>
      </c>
      <c r="O268" s="17">
        <f t="shared" si="4"/>
        <v>2.7669724770642206</v>
      </c>
      <c r="P268" t="s">
        <v>45</v>
      </c>
    </row>
    <row r="269" spans="1:16">
      <c r="A269">
        <v>267</v>
      </c>
      <c r="B269" t="s">
        <v>627</v>
      </c>
      <c r="C269" t="s">
        <v>683</v>
      </c>
      <c r="D269" t="s">
        <v>628</v>
      </c>
      <c r="E269" t="s">
        <v>72</v>
      </c>
      <c r="F269" t="s">
        <v>629</v>
      </c>
      <c r="G269">
        <v>13</v>
      </c>
      <c r="H269" s="27" t="s">
        <v>1046</v>
      </c>
      <c r="I269" s="27" t="s">
        <v>1118</v>
      </c>
      <c r="J269">
        <v>420.06</v>
      </c>
      <c r="K269">
        <v>350.91</v>
      </c>
      <c r="L269">
        <v>5460.78</v>
      </c>
      <c r="M269">
        <v>4561.83</v>
      </c>
      <c r="N269">
        <v>898.9499999999997</v>
      </c>
      <c r="O269" s="17">
        <f t="shared" si="4"/>
        <v>19.705907497648965</v>
      </c>
      <c r="P269" t="s">
        <v>45</v>
      </c>
    </row>
    <row r="270" spans="1:16">
      <c r="A270">
        <v>268</v>
      </c>
      <c r="B270" t="s">
        <v>25</v>
      </c>
      <c r="C270" t="s">
        <v>100</v>
      </c>
      <c r="D270" t="s">
        <v>100</v>
      </c>
      <c r="E270" t="s">
        <v>72</v>
      </c>
      <c r="F270" t="s">
        <v>101</v>
      </c>
      <c r="G270">
        <v>30</v>
      </c>
      <c r="H270" s="27" t="s">
        <v>756</v>
      </c>
      <c r="I270" s="27" t="s">
        <v>1119</v>
      </c>
      <c r="J270">
        <v>405.65</v>
      </c>
      <c r="K270">
        <v>419.18</v>
      </c>
      <c r="L270">
        <v>12169.5</v>
      </c>
      <c r="M270">
        <v>12575.4</v>
      </c>
      <c r="N270">
        <v>-405.90000000000089</v>
      </c>
      <c r="O270" s="17">
        <f t="shared" si="4"/>
        <v>-3.2277303306455534</v>
      </c>
      <c r="P270" t="s">
        <v>45</v>
      </c>
    </row>
    <row r="271" spans="1:16">
      <c r="A271">
        <v>269</v>
      </c>
      <c r="B271" t="s">
        <v>823</v>
      </c>
      <c r="C271" t="s">
        <v>824</v>
      </c>
      <c r="D271" t="s">
        <v>824</v>
      </c>
      <c r="E271" t="s">
        <v>72</v>
      </c>
      <c r="F271" t="s">
        <v>825</v>
      </c>
      <c r="G271">
        <v>35</v>
      </c>
      <c r="H271" s="27" t="s">
        <v>1063</v>
      </c>
      <c r="I271" s="27" t="s">
        <v>1120</v>
      </c>
      <c r="J271">
        <v>266.17</v>
      </c>
      <c r="K271">
        <v>234.37</v>
      </c>
      <c r="L271">
        <v>9315.9500000000007</v>
      </c>
      <c r="M271">
        <v>8202.9500000000007</v>
      </c>
      <c r="N271">
        <v>1113.0000000000005</v>
      </c>
      <c r="O271" s="17">
        <f t="shared" si="4"/>
        <v>13.568289456841748</v>
      </c>
      <c r="P271" t="s">
        <v>45</v>
      </c>
    </row>
    <row r="272" spans="1:16">
      <c r="A272">
        <v>270</v>
      </c>
      <c r="B272" t="s">
        <v>712</v>
      </c>
      <c r="C272" t="s">
        <v>713</v>
      </c>
      <c r="D272" t="s">
        <v>716</v>
      </c>
      <c r="E272" t="s">
        <v>72</v>
      </c>
      <c r="F272" t="s">
        <v>971</v>
      </c>
      <c r="G272">
        <v>12</v>
      </c>
      <c r="H272" s="27" t="s">
        <v>1093</v>
      </c>
      <c r="I272" s="27" t="s">
        <v>1120</v>
      </c>
      <c r="J272">
        <v>1328.75</v>
      </c>
      <c r="K272">
        <v>1208.5999999999999</v>
      </c>
      <c r="L272">
        <v>15945</v>
      </c>
      <c r="M272">
        <v>14503.199999999999</v>
      </c>
      <c r="N272">
        <v>1441.8000000000011</v>
      </c>
      <c r="O272" s="17">
        <f t="shared" si="4"/>
        <v>9.9412543438689482</v>
      </c>
      <c r="P272" t="s">
        <v>45</v>
      </c>
    </row>
    <row r="273" spans="1:16">
      <c r="A273">
        <v>271</v>
      </c>
      <c r="B273" t="s">
        <v>37</v>
      </c>
      <c r="C273" t="s">
        <v>119</v>
      </c>
      <c r="D273" t="s">
        <v>216</v>
      </c>
      <c r="E273" t="s">
        <v>76</v>
      </c>
      <c r="F273" t="s">
        <v>120</v>
      </c>
      <c r="G273">
        <v>35</v>
      </c>
      <c r="H273" s="27" t="s">
        <v>1091</v>
      </c>
      <c r="I273" s="27" t="s">
        <v>1120</v>
      </c>
      <c r="J273">
        <v>157.27000000000001</v>
      </c>
      <c r="K273">
        <v>139.13999999999999</v>
      </c>
      <c r="L273">
        <v>5504.4500000000007</v>
      </c>
      <c r="M273">
        <v>4869.8999999999996</v>
      </c>
      <c r="N273">
        <v>634.55000000000086</v>
      </c>
      <c r="O273" s="17">
        <f t="shared" si="4"/>
        <v>13.030041684634199</v>
      </c>
      <c r="P273" t="s">
        <v>45</v>
      </c>
    </row>
    <row r="274" spans="1:16">
      <c r="A274">
        <v>272</v>
      </c>
      <c r="B274" t="s">
        <v>665</v>
      </c>
      <c r="C274" t="s">
        <v>666</v>
      </c>
      <c r="D274" t="s">
        <v>666</v>
      </c>
      <c r="E274" t="s">
        <v>72</v>
      </c>
      <c r="F274" t="s">
        <v>667</v>
      </c>
      <c r="G274">
        <v>5</v>
      </c>
      <c r="H274" s="27" t="s">
        <v>1058</v>
      </c>
      <c r="I274" s="27" t="s">
        <v>1120</v>
      </c>
      <c r="J274">
        <v>2569</v>
      </c>
      <c r="K274">
        <v>1918.15</v>
      </c>
      <c r="L274">
        <v>12845</v>
      </c>
      <c r="M274">
        <v>9590.75</v>
      </c>
      <c r="N274">
        <v>3254.2499999999995</v>
      </c>
      <c r="O274" s="17">
        <f t="shared" si="4"/>
        <v>33.931131559054293</v>
      </c>
      <c r="P274" t="s">
        <v>45</v>
      </c>
    </row>
    <row r="275" spans="1:16">
      <c r="A275">
        <v>273</v>
      </c>
      <c r="B275" t="s">
        <v>931</v>
      </c>
      <c r="C275" t="s">
        <v>931</v>
      </c>
      <c r="D275" t="s">
        <v>931</v>
      </c>
      <c r="E275" t="s">
        <v>72</v>
      </c>
      <c r="F275" t="s">
        <v>932</v>
      </c>
      <c r="G275">
        <v>100</v>
      </c>
      <c r="H275" s="27" t="s">
        <v>1060</v>
      </c>
      <c r="I275" s="27" t="s">
        <v>1104</v>
      </c>
      <c r="J275">
        <v>121.25</v>
      </c>
      <c r="K275">
        <v>130.30000000000001</v>
      </c>
      <c r="L275">
        <v>12125</v>
      </c>
      <c r="M275">
        <v>13030.000000000002</v>
      </c>
      <c r="N275">
        <v>-905.00000000000114</v>
      </c>
      <c r="O275" s="17">
        <f t="shared" si="4"/>
        <v>-6.9455103607060709</v>
      </c>
      <c r="P275" t="s">
        <v>45</v>
      </c>
    </row>
    <row r="276" spans="1:16">
      <c r="A276">
        <v>274</v>
      </c>
      <c r="B276" t="s">
        <v>1028</v>
      </c>
      <c r="C276" t="s">
        <v>1029</v>
      </c>
      <c r="D276" t="s">
        <v>1029</v>
      </c>
      <c r="E276" t="s">
        <v>72</v>
      </c>
      <c r="F276" t="s">
        <v>1030</v>
      </c>
      <c r="G276">
        <v>20</v>
      </c>
      <c r="H276" s="27" t="s">
        <v>1086</v>
      </c>
      <c r="I276" s="27" t="s">
        <v>1104</v>
      </c>
      <c r="J276">
        <v>614.45000000000005</v>
      </c>
      <c r="K276">
        <v>492.5</v>
      </c>
      <c r="L276">
        <v>12289</v>
      </c>
      <c r="M276">
        <v>9850</v>
      </c>
      <c r="N276">
        <v>2439.0000000000009</v>
      </c>
      <c r="O276" s="17">
        <f t="shared" si="4"/>
        <v>24.761421319796963</v>
      </c>
      <c r="P276" t="s">
        <v>45</v>
      </c>
    </row>
    <row r="277" spans="1:16">
      <c r="A277">
        <v>275</v>
      </c>
      <c r="B277" t="s">
        <v>749</v>
      </c>
      <c r="C277" t="s">
        <v>742</v>
      </c>
      <c r="D277" t="s">
        <v>742</v>
      </c>
      <c r="E277" t="s">
        <v>72</v>
      </c>
      <c r="F277" t="s">
        <v>750</v>
      </c>
      <c r="G277">
        <v>65</v>
      </c>
      <c r="H277" s="27" t="s">
        <v>1061</v>
      </c>
      <c r="I277" s="27" t="s">
        <v>1104</v>
      </c>
      <c r="J277">
        <v>77.63</v>
      </c>
      <c r="K277">
        <v>67.349999999999994</v>
      </c>
      <c r="L277">
        <v>5045.95</v>
      </c>
      <c r="M277">
        <v>4377.75</v>
      </c>
      <c r="N277">
        <v>668.2</v>
      </c>
      <c r="O277" s="17">
        <f t="shared" si="4"/>
        <v>15.263548626577579</v>
      </c>
      <c r="P277" t="s">
        <v>45</v>
      </c>
    </row>
    <row r="278" spans="1:16">
      <c r="A278">
        <v>276</v>
      </c>
      <c r="B278" t="s">
        <v>749</v>
      </c>
      <c r="C278" t="s">
        <v>742</v>
      </c>
      <c r="D278" t="s">
        <v>742</v>
      </c>
      <c r="E278" t="s">
        <v>72</v>
      </c>
      <c r="F278" t="s">
        <v>750</v>
      </c>
      <c r="G278">
        <v>60</v>
      </c>
      <c r="H278" s="27" t="s">
        <v>1045</v>
      </c>
      <c r="I278" s="27" t="s">
        <v>1104</v>
      </c>
      <c r="J278">
        <v>77.63</v>
      </c>
      <c r="K278">
        <v>71.78</v>
      </c>
      <c r="L278">
        <v>4657.7999999999993</v>
      </c>
      <c r="M278">
        <v>4306.8</v>
      </c>
      <c r="N278">
        <v>350.99999999999966</v>
      </c>
      <c r="O278" s="17">
        <f t="shared" si="4"/>
        <v>8.149902479799378</v>
      </c>
      <c r="P278" t="s">
        <v>45</v>
      </c>
    </row>
    <row r="279" spans="1:16">
      <c r="A279">
        <v>277</v>
      </c>
      <c r="B279" t="s">
        <v>566</v>
      </c>
      <c r="C279" t="s">
        <v>567</v>
      </c>
      <c r="D279" t="s">
        <v>567</v>
      </c>
      <c r="E279" t="s">
        <v>72</v>
      </c>
      <c r="F279" t="s">
        <v>585</v>
      </c>
      <c r="G279">
        <v>6</v>
      </c>
      <c r="H279" s="27" t="s">
        <v>1059</v>
      </c>
      <c r="I279" s="27" t="s">
        <v>1104</v>
      </c>
      <c r="J279">
        <v>507.62</v>
      </c>
      <c r="K279">
        <v>421.3</v>
      </c>
      <c r="L279">
        <v>3045.7200000000003</v>
      </c>
      <c r="M279">
        <v>2527.8000000000002</v>
      </c>
      <c r="N279">
        <v>517.91999999999996</v>
      </c>
      <c r="O279" s="17">
        <f t="shared" si="4"/>
        <v>20.488962734393539</v>
      </c>
      <c r="P279" t="s">
        <v>45</v>
      </c>
    </row>
    <row r="280" spans="1:16">
      <c r="A280">
        <v>278</v>
      </c>
      <c r="B280" t="s">
        <v>566</v>
      </c>
      <c r="C280" t="s">
        <v>567</v>
      </c>
      <c r="D280" t="s">
        <v>567</v>
      </c>
      <c r="E280" t="s">
        <v>72</v>
      </c>
      <c r="F280" t="s">
        <v>585</v>
      </c>
      <c r="G280">
        <v>20</v>
      </c>
      <c r="H280" s="27" t="s">
        <v>1043</v>
      </c>
      <c r="I280" s="27" t="s">
        <v>1104</v>
      </c>
      <c r="J280">
        <v>507.62</v>
      </c>
      <c r="K280">
        <v>471.43</v>
      </c>
      <c r="L280">
        <v>10152.4</v>
      </c>
      <c r="M280">
        <v>9428.6</v>
      </c>
      <c r="N280">
        <v>723.8</v>
      </c>
      <c r="O280" s="17">
        <f t="shared" si="4"/>
        <v>7.6766434041108962</v>
      </c>
      <c r="P280" t="s">
        <v>45</v>
      </c>
    </row>
    <row r="281" spans="1:16">
      <c r="A281">
        <v>279</v>
      </c>
      <c r="B281" t="s">
        <v>37</v>
      </c>
      <c r="C281" t="s">
        <v>119</v>
      </c>
      <c r="D281" t="s">
        <v>216</v>
      </c>
      <c r="E281" t="s">
        <v>76</v>
      </c>
      <c r="F281" t="s">
        <v>120</v>
      </c>
      <c r="G281">
        <v>35</v>
      </c>
      <c r="H281" s="27" t="s">
        <v>1091</v>
      </c>
      <c r="I281" s="27" t="s">
        <v>1105</v>
      </c>
      <c r="J281">
        <v>150.37</v>
      </c>
      <c r="K281">
        <v>139.13999999999999</v>
      </c>
      <c r="L281">
        <v>5262.95</v>
      </c>
      <c r="M281">
        <v>4869.8999999999996</v>
      </c>
      <c r="N281">
        <v>393.05000000000064</v>
      </c>
      <c r="O281" s="17">
        <f t="shared" si="4"/>
        <v>8.0710076182262611</v>
      </c>
      <c r="P281" t="s">
        <v>45</v>
      </c>
    </row>
    <row r="282" spans="1:16">
      <c r="A282">
        <v>280</v>
      </c>
      <c r="B282" t="s">
        <v>751</v>
      </c>
      <c r="C282" t="s">
        <v>753</v>
      </c>
      <c r="D282" t="s">
        <v>752</v>
      </c>
      <c r="E282" t="s">
        <v>72</v>
      </c>
      <c r="F282" t="s">
        <v>754</v>
      </c>
      <c r="G282">
        <v>6</v>
      </c>
      <c r="H282" s="27" t="s">
        <v>1097</v>
      </c>
      <c r="I282" s="27" t="s">
        <v>1105</v>
      </c>
      <c r="J282">
        <v>1592.41</v>
      </c>
      <c r="K282">
        <v>1545.14</v>
      </c>
      <c r="L282">
        <v>9554.4600000000009</v>
      </c>
      <c r="M282">
        <v>9270.84</v>
      </c>
      <c r="N282">
        <v>283.61999999999989</v>
      </c>
      <c r="O282" s="17">
        <f t="shared" si="4"/>
        <v>3.0592697101880724</v>
      </c>
      <c r="P282" t="s">
        <v>45</v>
      </c>
    </row>
    <row r="283" spans="1:16">
      <c r="A283">
        <v>281</v>
      </c>
      <c r="B283" t="s">
        <v>751</v>
      </c>
      <c r="C283" t="s">
        <v>753</v>
      </c>
      <c r="D283" t="s">
        <v>752</v>
      </c>
      <c r="E283" t="s">
        <v>72</v>
      </c>
      <c r="F283" t="s">
        <v>754</v>
      </c>
      <c r="G283">
        <v>1</v>
      </c>
      <c r="H283" s="27" t="s">
        <v>1121</v>
      </c>
      <c r="I283" s="27" t="s">
        <v>1105</v>
      </c>
      <c r="J283">
        <v>1592.41</v>
      </c>
      <c r="K283">
        <v>1455.68</v>
      </c>
      <c r="L283">
        <v>1592.41</v>
      </c>
      <c r="M283">
        <v>1455.68</v>
      </c>
      <c r="N283">
        <v>136.73000000000002</v>
      </c>
      <c r="O283" s="17">
        <f t="shared" si="4"/>
        <v>9.392861068366674</v>
      </c>
      <c r="P283" t="s">
        <v>45</v>
      </c>
    </row>
    <row r="284" spans="1:16">
      <c r="A284">
        <v>282</v>
      </c>
      <c r="B284" t="s">
        <v>894</v>
      </c>
      <c r="C284" t="s">
        <v>898</v>
      </c>
      <c r="D284" t="s">
        <v>898</v>
      </c>
      <c r="E284" t="s">
        <v>72</v>
      </c>
      <c r="F284" t="s">
        <v>899</v>
      </c>
      <c r="G284">
        <v>3</v>
      </c>
      <c r="H284" s="27" t="s">
        <v>1098</v>
      </c>
      <c r="I284" s="27" t="s">
        <v>1122</v>
      </c>
      <c r="J284">
        <v>3910.05</v>
      </c>
      <c r="K284">
        <v>3559.73</v>
      </c>
      <c r="L284">
        <v>11730.150000000001</v>
      </c>
      <c r="M284">
        <v>10679.19</v>
      </c>
      <c r="N284">
        <v>1050.9600000000005</v>
      </c>
      <c r="O284" s="17">
        <f t="shared" si="4"/>
        <v>9.8411958210313752</v>
      </c>
      <c r="P284" t="s">
        <v>45</v>
      </c>
    </row>
    <row r="285" spans="1:16">
      <c r="A285">
        <v>283</v>
      </c>
      <c r="B285" t="s">
        <v>677</v>
      </c>
      <c r="C285" t="s">
        <v>678</v>
      </c>
      <c r="D285" t="s">
        <v>678</v>
      </c>
      <c r="E285" t="s">
        <v>72</v>
      </c>
      <c r="F285" t="s">
        <v>679</v>
      </c>
      <c r="G285">
        <v>15</v>
      </c>
      <c r="H285" s="27" t="s">
        <v>1091</v>
      </c>
      <c r="I285" s="27" t="s">
        <v>1122</v>
      </c>
      <c r="J285">
        <v>389</v>
      </c>
      <c r="K285">
        <v>348.88</v>
      </c>
      <c r="L285">
        <v>5835</v>
      </c>
      <c r="M285">
        <v>5233.2</v>
      </c>
      <c r="N285">
        <v>601.80000000000007</v>
      </c>
      <c r="O285" s="17">
        <f t="shared" si="4"/>
        <v>11.499656042192159</v>
      </c>
      <c r="P285" t="s">
        <v>45</v>
      </c>
    </row>
    <row r="286" spans="1:16">
      <c r="A286">
        <v>284</v>
      </c>
      <c r="B286" t="s">
        <v>530</v>
      </c>
      <c r="C286" t="s">
        <v>531</v>
      </c>
      <c r="D286" t="s">
        <v>531</v>
      </c>
      <c r="E286" t="s">
        <v>72</v>
      </c>
      <c r="F286" t="s">
        <v>532</v>
      </c>
      <c r="G286">
        <v>30</v>
      </c>
      <c r="H286" s="27" t="s">
        <v>1087</v>
      </c>
      <c r="I286" s="27" t="s">
        <v>1122</v>
      </c>
      <c r="J286">
        <v>725.1</v>
      </c>
      <c r="K286">
        <v>550.63</v>
      </c>
      <c r="L286">
        <v>21753</v>
      </c>
      <c r="M286">
        <v>16518.900000000001</v>
      </c>
      <c r="N286">
        <v>5234.1000000000004</v>
      </c>
      <c r="O286" s="17">
        <f t="shared" si="4"/>
        <v>31.68552385449394</v>
      </c>
      <c r="P286" t="s">
        <v>45</v>
      </c>
    </row>
    <row r="287" spans="1:16">
      <c r="A287">
        <v>285</v>
      </c>
      <c r="B287" t="s">
        <v>712</v>
      </c>
      <c r="C287" t="s">
        <v>713</v>
      </c>
      <c r="D287" t="s">
        <v>716</v>
      </c>
      <c r="E287" t="s">
        <v>72</v>
      </c>
      <c r="F287" t="s">
        <v>971</v>
      </c>
      <c r="G287">
        <v>1</v>
      </c>
      <c r="H287" s="27" t="s">
        <v>1093</v>
      </c>
      <c r="I287" s="27" t="s">
        <v>1122</v>
      </c>
      <c r="J287">
        <v>1256.55</v>
      </c>
      <c r="K287">
        <v>1208.5999999999999</v>
      </c>
      <c r="L287">
        <v>1256.55</v>
      </c>
      <c r="M287">
        <v>1208.5999999999999</v>
      </c>
      <c r="N287">
        <v>47.950000000000045</v>
      </c>
      <c r="O287" s="17">
        <f t="shared" si="4"/>
        <v>3.9674002978653031</v>
      </c>
      <c r="P287" t="s">
        <v>45</v>
      </c>
    </row>
    <row r="288" spans="1:16">
      <c r="A288">
        <v>286</v>
      </c>
      <c r="B288" t="s">
        <v>712</v>
      </c>
      <c r="C288" t="s">
        <v>713</v>
      </c>
      <c r="D288" t="s">
        <v>716</v>
      </c>
      <c r="E288" t="s">
        <v>72</v>
      </c>
      <c r="F288" t="s">
        <v>971</v>
      </c>
      <c r="G288">
        <v>11</v>
      </c>
      <c r="H288" s="27" t="s">
        <v>1062</v>
      </c>
      <c r="I288" s="27" t="s">
        <v>1122</v>
      </c>
      <c r="J288">
        <v>1256.55</v>
      </c>
      <c r="K288">
        <v>1023.59</v>
      </c>
      <c r="L288">
        <v>13822.05</v>
      </c>
      <c r="M288">
        <v>11259.49</v>
      </c>
      <c r="N288">
        <v>2562.559999999999</v>
      </c>
      <c r="O288" s="17">
        <f t="shared" si="4"/>
        <v>22.759112535292445</v>
      </c>
      <c r="P288" t="s">
        <v>45</v>
      </c>
    </row>
    <row r="289" spans="1:16">
      <c r="A289">
        <v>287</v>
      </c>
      <c r="B289" t="s">
        <v>414</v>
      </c>
      <c r="C289" t="s">
        <v>414</v>
      </c>
      <c r="D289" t="s">
        <v>414</v>
      </c>
      <c r="E289" t="s">
        <v>72</v>
      </c>
      <c r="F289" t="s">
        <v>415</v>
      </c>
      <c r="G289">
        <v>15</v>
      </c>
      <c r="H289" s="27" t="s">
        <v>1045</v>
      </c>
      <c r="I289" s="27" t="s">
        <v>1122</v>
      </c>
      <c r="J289">
        <v>737.75</v>
      </c>
      <c r="K289">
        <v>669.85</v>
      </c>
      <c r="L289">
        <v>11066.25</v>
      </c>
      <c r="M289">
        <v>10047.75</v>
      </c>
      <c r="N289">
        <v>1018.4999999999997</v>
      </c>
      <c r="O289" s="17">
        <f t="shared" si="4"/>
        <v>10.136597745763973</v>
      </c>
      <c r="P289" t="s">
        <v>45</v>
      </c>
    </row>
    <row r="290" spans="1:16">
      <c r="A290">
        <v>288</v>
      </c>
      <c r="B290" t="s">
        <v>674</v>
      </c>
      <c r="C290" t="s">
        <v>675</v>
      </c>
      <c r="D290" t="s">
        <v>675</v>
      </c>
      <c r="E290" t="s">
        <v>72</v>
      </c>
      <c r="F290" t="s">
        <v>676</v>
      </c>
      <c r="G290">
        <v>25</v>
      </c>
      <c r="H290" s="27" t="s">
        <v>1092</v>
      </c>
      <c r="I290" s="27" t="s">
        <v>1106</v>
      </c>
      <c r="J290">
        <v>585</v>
      </c>
      <c r="K290">
        <v>520.83000000000004</v>
      </c>
      <c r="L290">
        <v>14625</v>
      </c>
      <c r="M290">
        <v>13020.750000000002</v>
      </c>
      <c r="N290">
        <v>1604.2499999999991</v>
      </c>
      <c r="O290" s="17">
        <f t="shared" si="4"/>
        <v>12.320718852600649</v>
      </c>
      <c r="P290" t="s">
        <v>45</v>
      </c>
    </row>
    <row r="291" spans="1:16">
      <c r="A291">
        <v>289</v>
      </c>
      <c r="B291" t="s">
        <v>29</v>
      </c>
      <c r="C291" t="s">
        <v>107</v>
      </c>
      <c r="D291" t="s">
        <v>107</v>
      </c>
      <c r="E291" t="s">
        <v>72</v>
      </c>
      <c r="F291" t="s">
        <v>108</v>
      </c>
      <c r="G291">
        <v>6</v>
      </c>
      <c r="H291" s="27" t="s">
        <v>1086</v>
      </c>
      <c r="I291" s="27" t="s">
        <v>1106</v>
      </c>
      <c r="J291">
        <v>2704.05</v>
      </c>
      <c r="K291">
        <v>2560.0300000000002</v>
      </c>
      <c r="L291">
        <v>16224.300000000001</v>
      </c>
      <c r="M291">
        <v>15360.18</v>
      </c>
      <c r="N291">
        <v>864.11999999999989</v>
      </c>
      <c r="O291" s="17">
        <f t="shared" si="4"/>
        <v>5.6257153236485502</v>
      </c>
      <c r="P291" t="s">
        <v>45</v>
      </c>
    </row>
    <row r="292" spans="1:16">
      <c r="A292">
        <v>290</v>
      </c>
      <c r="B292" t="s">
        <v>483</v>
      </c>
      <c r="C292" t="s">
        <v>474</v>
      </c>
      <c r="D292" t="s">
        <v>473</v>
      </c>
      <c r="E292" t="s">
        <v>72</v>
      </c>
      <c r="F292" t="s">
        <v>587</v>
      </c>
      <c r="G292">
        <v>7</v>
      </c>
      <c r="H292" s="27" t="s">
        <v>762</v>
      </c>
      <c r="I292" s="27" t="s">
        <v>1106</v>
      </c>
      <c r="J292">
        <v>1279.25</v>
      </c>
      <c r="K292">
        <v>726.5</v>
      </c>
      <c r="L292">
        <v>8954.75</v>
      </c>
      <c r="M292">
        <v>5085.5</v>
      </c>
      <c r="N292">
        <v>3869.25</v>
      </c>
      <c r="O292" s="17">
        <f t="shared" si="4"/>
        <v>76.083964211975228</v>
      </c>
      <c r="P292" t="s">
        <v>45</v>
      </c>
    </row>
    <row r="293" spans="1:16">
      <c r="A293">
        <v>291</v>
      </c>
      <c r="B293" t="s">
        <v>483</v>
      </c>
      <c r="C293" t="s">
        <v>474</v>
      </c>
      <c r="D293" t="s">
        <v>473</v>
      </c>
      <c r="E293" t="s">
        <v>72</v>
      </c>
      <c r="F293" t="s">
        <v>587</v>
      </c>
      <c r="G293">
        <v>13</v>
      </c>
      <c r="H293" s="27" t="s">
        <v>484</v>
      </c>
      <c r="I293" s="27" t="s">
        <v>1106</v>
      </c>
      <c r="J293">
        <v>1279.25</v>
      </c>
      <c r="K293">
        <v>390.98</v>
      </c>
      <c r="L293">
        <v>16630.25</v>
      </c>
      <c r="M293">
        <v>5082.74</v>
      </c>
      <c r="N293">
        <v>11547.51</v>
      </c>
      <c r="O293" s="17">
        <f t="shared" si="4"/>
        <v>227.19064913806335</v>
      </c>
      <c r="P293" t="s">
        <v>45</v>
      </c>
    </row>
    <row r="294" spans="1:16">
      <c r="A294">
        <v>292</v>
      </c>
      <c r="B294" t="s">
        <v>746</v>
      </c>
      <c r="C294" t="s">
        <v>747</v>
      </c>
      <c r="D294" t="s">
        <v>747</v>
      </c>
      <c r="E294" t="s">
        <v>72</v>
      </c>
      <c r="F294" t="s">
        <v>748</v>
      </c>
      <c r="G294">
        <v>24</v>
      </c>
      <c r="H294" s="27" t="s">
        <v>1098</v>
      </c>
      <c r="I294" s="27" t="s">
        <v>1106</v>
      </c>
      <c r="J294">
        <v>582.88</v>
      </c>
      <c r="K294">
        <v>528.94000000000005</v>
      </c>
      <c r="L294">
        <v>13989.119999999999</v>
      </c>
      <c r="M294">
        <v>12694.560000000001</v>
      </c>
      <c r="N294">
        <v>1294.5599999999986</v>
      </c>
      <c r="O294" s="17">
        <f t="shared" si="4"/>
        <v>10.197753998563153</v>
      </c>
      <c r="P294" t="s">
        <v>45</v>
      </c>
    </row>
    <row r="295" spans="1:16">
      <c r="A295">
        <v>293</v>
      </c>
      <c r="B295" t="s">
        <v>19</v>
      </c>
      <c r="C295" t="s">
        <v>90</v>
      </c>
      <c r="D295" t="s">
        <v>90</v>
      </c>
      <c r="E295" t="s">
        <v>72</v>
      </c>
      <c r="F295" t="s">
        <v>91</v>
      </c>
      <c r="G295">
        <v>10</v>
      </c>
      <c r="H295" s="27" t="s">
        <v>1112</v>
      </c>
      <c r="I295" s="27" t="s">
        <v>1106</v>
      </c>
      <c r="J295">
        <v>288.75</v>
      </c>
      <c r="K295">
        <v>269.2</v>
      </c>
      <c r="L295">
        <v>2887.5</v>
      </c>
      <c r="M295">
        <v>2692</v>
      </c>
      <c r="N295">
        <v>195.50000000000011</v>
      </c>
      <c r="O295" s="17">
        <f t="shared" si="4"/>
        <v>7.2622585438335845</v>
      </c>
      <c r="P295" t="s">
        <v>45</v>
      </c>
    </row>
    <row r="296" spans="1:16">
      <c r="A296">
        <v>294</v>
      </c>
      <c r="B296" t="s">
        <v>19</v>
      </c>
      <c r="C296" t="s">
        <v>90</v>
      </c>
      <c r="D296" t="s">
        <v>90</v>
      </c>
      <c r="E296" t="s">
        <v>72</v>
      </c>
      <c r="F296" t="s">
        <v>91</v>
      </c>
      <c r="G296">
        <v>20</v>
      </c>
      <c r="H296" s="27" t="s">
        <v>1109</v>
      </c>
      <c r="I296" s="27" t="s">
        <v>1106</v>
      </c>
      <c r="J296">
        <v>288.75</v>
      </c>
      <c r="K296">
        <v>268.83999999999997</v>
      </c>
      <c r="L296">
        <v>5775</v>
      </c>
      <c r="M296">
        <v>5376.7999999999993</v>
      </c>
      <c r="N296">
        <v>398.2000000000005</v>
      </c>
      <c r="O296" s="17">
        <f t="shared" si="4"/>
        <v>7.4058919803600753</v>
      </c>
      <c r="P296" t="s">
        <v>45</v>
      </c>
    </row>
    <row r="297" spans="1:16">
      <c r="A297">
        <v>295</v>
      </c>
      <c r="B297" t="s">
        <v>194</v>
      </c>
      <c r="C297" t="s">
        <v>195</v>
      </c>
      <c r="D297" t="s">
        <v>195</v>
      </c>
      <c r="E297" t="s">
        <v>72</v>
      </c>
      <c r="F297" t="s">
        <v>196</v>
      </c>
      <c r="G297">
        <v>1</v>
      </c>
      <c r="H297" s="27" t="s">
        <v>1056</v>
      </c>
      <c r="I297" s="27" t="s">
        <v>1106</v>
      </c>
      <c r="J297">
        <v>16913</v>
      </c>
      <c r="K297">
        <v>12657.5</v>
      </c>
      <c r="L297">
        <v>16913</v>
      </c>
      <c r="M297">
        <v>12657.5</v>
      </c>
      <c r="N297">
        <v>4255.5</v>
      </c>
      <c r="O297" s="17">
        <f t="shared" si="4"/>
        <v>33.62038317203239</v>
      </c>
      <c r="P297" t="s">
        <v>45</v>
      </c>
    </row>
    <row r="298" spans="1:16">
      <c r="A298">
        <v>296</v>
      </c>
      <c r="B298" t="s">
        <v>1028</v>
      </c>
      <c r="C298" t="s">
        <v>1029</v>
      </c>
      <c r="D298" t="s">
        <v>1029</v>
      </c>
      <c r="E298" t="s">
        <v>72</v>
      </c>
      <c r="F298" t="s">
        <v>1030</v>
      </c>
      <c r="G298">
        <v>20</v>
      </c>
      <c r="H298" s="27" t="s">
        <v>1086</v>
      </c>
      <c r="I298" s="27" t="s">
        <v>1106</v>
      </c>
      <c r="J298">
        <v>570.25</v>
      </c>
      <c r="K298">
        <v>492.5</v>
      </c>
      <c r="L298">
        <v>11405</v>
      </c>
      <c r="M298">
        <v>9850</v>
      </c>
      <c r="N298">
        <v>1555</v>
      </c>
      <c r="O298" s="17">
        <f t="shared" si="4"/>
        <v>15.786802030456853</v>
      </c>
      <c r="P298" t="s">
        <v>45</v>
      </c>
    </row>
    <row r="299" spans="1:16">
      <c r="A299">
        <v>297</v>
      </c>
      <c r="B299" t="s">
        <v>671</v>
      </c>
      <c r="C299" t="s">
        <v>672</v>
      </c>
      <c r="D299" t="s">
        <v>672</v>
      </c>
      <c r="E299" t="s">
        <v>72</v>
      </c>
      <c r="F299" t="s">
        <v>673</v>
      </c>
      <c r="G299">
        <v>2</v>
      </c>
      <c r="H299" s="27" t="s">
        <v>1059</v>
      </c>
      <c r="I299" s="27" t="s">
        <v>1106</v>
      </c>
      <c r="J299">
        <v>7451.75</v>
      </c>
      <c r="K299">
        <v>5646.35</v>
      </c>
      <c r="L299">
        <v>14903.5</v>
      </c>
      <c r="M299">
        <v>11292.7</v>
      </c>
      <c r="N299">
        <v>3610.7999999999993</v>
      </c>
      <c r="O299" s="17">
        <f t="shared" si="4"/>
        <v>31.974638483267942</v>
      </c>
      <c r="P299" t="s">
        <v>45</v>
      </c>
    </row>
    <row r="300" spans="1:16">
      <c r="A300">
        <v>298</v>
      </c>
      <c r="B300" t="s">
        <v>194</v>
      </c>
      <c r="C300" t="s">
        <v>195</v>
      </c>
      <c r="D300" t="s">
        <v>195</v>
      </c>
      <c r="E300" t="s">
        <v>72</v>
      </c>
      <c r="F300" t="s">
        <v>196</v>
      </c>
      <c r="G300">
        <v>1</v>
      </c>
      <c r="H300" s="27" t="s">
        <v>1056</v>
      </c>
      <c r="I300" s="27" t="s">
        <v>1123</v>
      </c>
      <c r="J300">
        <v>15940.2</v>
      </c>
      <c r="K300">
        <v>12657.5</v>
      </c>
      <c r="L300">
        <v>15940.2</v>
      </c>
      <c r="M300">
        <v>12657.5</v>
      </c>
      <c r="N300">
        <v>3282.7000000000007</v>
      </c>
      <c r="O300" s="17">
        <f t="shared" si="4"/>
        <v>25.934821252222008</v>
      </c>
      <c r="P300" t="s">
        <v>45</v>
      </c>
    </row>
    <row r="301" spans="1:16">
      <c r="A301">
        <v>299</v>
      </c>
      <c r="B301" t="s">
        <v>545</v>
      </c>
      <c r="C301" t="s">
        <v>546</v>
      </c>
      <c r="D301" t="s">
        <v>546</v>
      </c>
      <c r="E301" t="s">
        <v>72</v>
      </c>
      <c r="F301" t="s">
        <v>547</v>
      </c>
      <c r="G301">
        <v>7</v>
      </c>
      <c r="H301" s="27" t="s">
        <v>1109</v>
      </c>
      <c r="I301" s="27" t="s">
        <v>1123</v>
      </c>
      <c r="J301">
        <v>1614.86</v>
      </c>
      <c r="K301">
        <v>1263.1600000000001</v>
      </c>
      <c r="L301">
        <v>11304.019999999999</v>
      </c>
      <c r="M301">
        <v>8842.1200000000008</v>
      </c>
      <c r="N301">
        <v>2461.8999999999987</v>
      </c>
      <c r="O301" s="17">
        <f t="shared" si="4"/>
        <v>27.842870261882879</v>
      </c>
      <c r="P301" t="s">
        <v>45</v>
      </c>
    </row>
    <row r="302" spans="1:16">
      <c r="A302">
        <v>300</v>
      </c>
      <c r="B302" t="s">
        <v>441</v>
      </c>
      <c r="C302" t="s">
        <v>445</v>
      </c>
      <c r="D302" t="s">
        <v>445</v>
      </c>
      <c r="E302" t="s">
        <v>72</v>
      </c>
      <c r="F302" t="s">
        <v>584</v>
      </c>
      <c r="G302">
        <v>10</v>
      </c>
      <c r="H302" s="27" t="s">
        <v>1038</v>
      </c>
      <c r="I302" s="27" t="s">
        <v>1123</v>
      </c>
      <c r="J302">
        <v>1496.5</v>
      </c>
      <c r="K302">
        <v>1362.61</v>
      </c>
      <c r="L302">
        <v>14965</v>
      </c>
      <c r="M302">
        <v>13626.099999999999</v>
      </c>
      <c r="N302">
        <v>1338.900000000001</v>
      </c>
      <c r="O302" s="17">
        <f t="shared" si="4"/>
        <v>9.8259956994297788</v>
      </c>
      <c r="P302" t="s">
        <v>45</v>
      </c>
    </row>
    <row r="303" spans="1:16">
      <c r="A303">
        <v>301</v>
      </c>
      <c r="B303" t="s">
        <v>441</v>
      </c>
      <c r="C303" t="s">
        <v>445</v>
      </c>
      <c r="D303" t="s">
        <v>445</v>
      </c>
      <c r="E303" t="s">
        <v>72</v>
      </c>
      <c r="F303" t="s">
        <v>584</v>
      </c>
      <c r="G303">
        <v>3</v>
      </c>
      <c r="H303" s="27" t="s">
        <v>1038</v>
      </c>
      <c r="I303" s="27" t="s">
        <v>1124</v>
      </c>
      <c r="J303">
        <v>1480.77</v>
      </c>
      <c r="K303">
        <v>1362.61</v>
      </c>
      <c r="L303">
        <v>4442.3099999999995</v>
      </c>
      <c r="M303">
        <v>4087.83</v>
      </c>
      <c r="N303">
        <v>354.48000000000025</v>
      </c>
      <c r="O303" s="17">
        <f t="shared" si="4"/>
        <v>8.671593486030492</v>
      </c>
      <c r="P303" t="s">
        <v>45</v>
      </c>
    </row>
    <row r="304" spans="1:16">
      <c r="A304">
        <v>302</v>
      </c>
      <c r="B304" t="s">
        <v>723</v>
      </c>
      <c r="C304" t="s">
        <v>840</v>
      </c>
      <c r="D304" t="s">
        <v>724</v>
      </c>
      <c r="E304" t="s">
        <v>72</v>
      </c>
      <c r="F304" t="s">
        <v>726</v>
      </c>
      <c r="G304">
        <v>20</v>
      </c>
      <c r="H304" s="27" t="s">
        <v>1094</v>
      </c>
      <c r="I304" s="27" t="s">
        <v>1124</v>
      </c>
      <c r="J304">
        <v>408.15</v>
      </c>
      <c r="K304">
        <v>365.46</v>
      </c>
      <c r="L304">
        <v>8163</v>
      </c>
      <c r="M304">
        <v>7309.2</v>
      </c>
      <c r="N304">
        <v>853.8</v>
      </c>
      <c r="O304" s="17">
        <f t="shared" si="4"/>
        <v>11.681168937777048</v>
      </c>
      <c r="P304" t="s">
        <v>45</v>
      </c>
    </row>
    <row r="305" spans="1:16">
      <c r="A305">
        <v>303</v>
      </c>
      <c r="B305" t="s">
        <v>982</v>
      </c>
      <c r="C305" t="s">
        <v>943</v>
      </c>
      <c r="D305" t="s">
        <v>943</v>
      </c>
      <c r="E305" t="s">
        <v>72</v>
      </c>
      <c r="F305" t="s">
        <v>944</v>
      </c>
      <c r="G305">
        <v>2</v>
      </c>
      <c r="H305" s="27" t="s">
        <v>1059</v>
      </c>
      <c r="I305" s="27" t="s">
        <v>1124</v>
      </c>
      <c r="J305">
        <v>572.70000000000005</v>
      </c>
      <c r="K305">
        <v>476.13</v>
      </c>
      <c r="L305">
        <v>1145.4000000000001</v>
      </c>
      <c r="M305">
        <v>952.26</v>
      </c>
      <c r="N305">
        <v>193.1400000000001</v>
      </c>
      <c r="O305" s="17">
        <f t="shared" si="4"/>
        <v>20.282275849032835</v>
      </c>
      <c r="P305" t="s">
        <v>45</v>
      </c>
    </row>
    <row r="306" spans="1:16">
      <c r="A306">
        <v>304</v>
      </c>
      <c r="B306" t="s">
        <v>982</v>
      </c>
      <c r="C306" t="s">
        <v>943</v>
      </c>
      <c r="D306" t="s">
        <v>943</v>
      </c>
      <c r="E306" t="s">
        <v>72</v>
      </c>
      <c r="F306" t="s">
        <v>944</v>
      </c>
      <c r="G306">
        <v>13</v>
      </c>
      <c r="H306" s="27" t="s">
        <v>1045</v>
      </c>
      <c r="I306" s="27" t="s">
        <v>1124</v>
      </c>
      <c r="J306">
        <v>572.70000000000005</v>
      </c>
      <c r="K306">
        <v>495.2</v>
      </c>
      <c r="L306">
        <v>7445.1</v>
      </c>
      <c r="M306">
        <v>6437.5999999999995</v>
      </c>
      <c r="N306">
        <v>1007.5000000000007</v>
      </c>
      <c r="O306" s="17">
        <f t="shared" si="4"/>
        <v>15.650242326332808</v>
      </c>
      <c r="P306" t="s">
        <v>45</v>
      </c>
    </row>
    <row r="307" spans="1:16">
      <c r="A307">
        <v>305</v>
      </c>
      <c r="B307" t="s">
        <v>982</v>
      </c>
      <c r="C307" t="s">
        <v>943</v>
      </c>
      <c r="D307" t="s">
        <v>943</v>
      </c>
      <c r="E307" t="s">
        <v>72</v>
      </c>
      <c r="F307" t="s">
        <v>944</v>
      </c>
      <c r="G307">
        <v>5</v>
      </c>
      <c r="H307" s="27" t="s">
        <v>942</v>
      </c>
      <c r="I307" s="27" t="s">
        <v>1124</v>
      </c>
      <c r="J307">
        <v>572.70000000000005</v>
      </c>
      <c r="K307">
        <v>556.07000000000005</v>
      </c>
      <c r="L307">
        <v>2863.5</v>
      </c>
      <c r="M307">
        <v>2780.3500000000004</v>
      </c>
      <c r="N307">
        <v>83.149999999999977</v>
      </c>
      <c r="O307" s="17">
        <f t="shared" si="4"/>
        <v>2.9906306759940282</v>
      </c>
      <c r="P307" t="s">
        <v>45</v>
      </c>
    </row>
    <row r="308" spans="1:16">
      <c r="A308">
        <v>306</v>
      </c>
      <c r="B308" t="s">
        <v>712</v>
      </c>
      <c r="C308" t="s">
        <v>713</v>
      </c>
      <c r="D308" t="s">
        <v>716</v>
      </c>
      <c r="E308" t="s">
        <v>72</v>
      </c>
      <c r="F308" t="s">
        <v>971</v>
      </c>
      <c r="G308">
        <v>12</v>
      </c>
      <c r="H308" s="27" t="s">
        <v>1045</v>
      </c>
      <c r="I308" s="27" t="s">
        <v>1124</v>
      </c>
      <c r="J308">
        <v>1170.75</v>
      </c>
      <c r="K308">
        <v>905.16</v>
      </c>
      <c r="L308">
        <v>14049</v>
      </c>
      <c r="M308">
        <v>10861.92</v>
      </c>
      <c r="N308">
        <v>3187.0800000000004</v>
      </c>
      <c r="O308" s="17">
        <f t="shared" si="4"/>
        <v>29.341773830041099</v>
      </c>
      <c r="P308" t="s">
        <v>45</v>
      </c>
    </row>
    <row r="309" spans="1:16">
      <c r="A309">
        <v>307</v>
      </c>
      <c r="B309" t="s">
        <v>545</v>
      </c>
      <c r="C309" t="s">
        <v>546</v>
      </c>
      <c r="D309" t="s">
        <v>546</v>
      </c>
      <c r="E309" t="s">
        <v>72</v>
      </c>
      <c r="F309" t="s">
        <v>547</v>
      </c>
      <c r="G309">
        <v>8</v>
      </c>
      <c r="H309" s="27" t="s">
        <v>1109</v>
      </c>
      <c r="I309" s="27" t="s">
        <v>1125</v>
      </c>
      <c r="J309">
        <v>1480.13</v>
      </c>
      <c r="K309">
        <v>1263.1600000000001</v>
      </c>
      <c r="L309">
        <v>11841.04</v>
      </c>
      <c r="M309">
        <v>10105.280000000001</v>
      </c>
      <c r="N309">
        <v>1735.7600000000002</v>
      </c>
      <c r="O309" s="17">
        <f t="shared" si="4"/>
        <v>17.176763038728271</v>
      </c>
      <c r="P309" t="s">
        <v>45</v>
      </c>
    </row>
    <row r="310" spans="1:16">
      <c r="A310">
        <v>308</v>
      </c>
      <c r="B310" t="s">
        <v>218</v>
      </c>
      <c r="C310">
        <v>500408</v>
      </c>
      <c r="D310" t="s">
        <v>219</v>
      </c>
      <c r="E310" t="s">
        <v>72</v>
      </c>
      <c r="F310" t="s">
        <v>220</v>
      </c>
      <c r="G310">
        <v>1</v>
      </c>
      <c r="H310" s="27" t="s">
        <v>1038</v>
      </c>
      <c r="I310" s="27" t="s">
        <v>1107</v>
      </c>
      <c r="J310">
        <v>9455</v>
      </c>
      <c r="K310">
        <v>7798.2</v>
      </c>
      <c r="L310">
        <v>9455</v>
      </c>
      <c r="M310">
        <v>7798.2</v>
      </c>
      <c r="N310">
        <v>1656.8000000000002</v>
      </c>
      <c r="O310" s="17">
        <f t="shared" si="4"/>
        <v>21.245928547613556</v>
      </c>
      <c r="P310" t="s">
        <v>45</v>
      </c>
    </row>
    <row r="311" spans="1:16">
      <c r="A311">
        <v>309</v>
      </c>
      <c r="B311" t="s">
        <v>635</v>
      </c>
      <c r="C311" t="s">
        <v>633</v>
      </c>
      <c r="D311" t="s">
        <v>633</v>
      </c>
      <c r="E311" t="s">
        <v>72</v>
      </c>
      <c r="F311" t="s">
        <v>634</v>
      </c>
      <c r="G311">
        <v>5</v>
      </c>
      <c r="H311" s="27" t="s">
        <v>1086</v>
      </c>
      <c r="I311" s="27" t="s">
        <v>1107</v>
      </c>
      <c r="J311">
        <v>6614.49</v>
      </c>
      <c r="K311">
        <v>5760.5</v>
      </c>
      <c r="L311">
        <v>33072.449999999997</v>
      </c>
      <c r="M311">
        <v>28802.5</v>
      </c>
      <c r="N311">
        <v>4269.9499999999989</v>
      </c>
      <c r="O311" s="17">
        <f t="shared" si="4"/>
        <v>14.824928391632668</v>
      </c>
      <c r="P311" t="s">
        <v>45</v>
      </c>
    </row>
    <row r="312" spans="1:16">
      <c r="A312">
        <v>310</v>
      </c>
      <c r="B312" t="s">
        <v>635</v>
      </c>
      <c r="C312" t="s">
        <v>633</v>
      </c>
      <c r="D312" t="s">
        <v>633</v>
      </c>
      <c r="E312" t="s">
        <v>72</v>
      </c>
      <c r="F312" t="s">
        <v>634</v>
      </c>
      <c r="G312">
        <v>1</v>
      </c>
      <c r="H312" s="27" t="s">
        <v>639</v>
      </c>
      <c r="I312" s="27" t="s">
        <v>1107</v>
      </c>
      <c r="J312">
        <v>6614.49</v>
      </c>
      <c r="K312">
        <v>3238.7</v>
      </c>
      <c r="L312">
        <v>6614.49</v>
      </c>
      <c r="M312">
        <v>3238.7</v>
      </c>
      <c r="N312">
        <v>3375.79</v>
      </c>
      <c r="O312" s="17">
        <f t="shared" si="4"/>
        <v>104.2328712137586</v>
      </c>
      <c r="P312" t="s">
        <v>45</v>
      </c>
    </row>
    <row r="313" spans="1:16">
      <c r="A313">
        <v>311</v>
      </c>
      <c r="B313" t="s">
        <v>30</v>
      </c>
      <c r="C313" t="s">
        <v>109</v>
      </c>
      <c r="D313" t="s">
        <v>109</v>
      </c>
      <c r="E313" t="s">
        <v>72</v>
      </c>
      <c r="F313" t="s">
        <v>110</v>
      </c>
      <c r="G313">
        <v>80</v>
      </c>
      <c r="H313" s="27" t="s">
        <v>1039</v>
      </c>
      <c r="I313" s="27" t="s">
        <v>1126</v>
      </c>
      <c r="J313">
        <v>68.41</v>
      </c>
      <c r="K313">
        <v>62.55</v>
      </c>
      <c r="L313">
        <v>5472.7999999999993</v>
      </c>
      <c r="M313">
        <v>5004</v>
      </c>
      <c r="N313">
        <v>468.79999999999995</v>
      </c>
      <c r="O313" s="17">
        <f t="shared" si="4"/>
        <v>9.3685051958433245</v>
      </c>
      <c r="P313" t="s">
        <v>45</v>
      </c>
    </row>
    <row r="314" spans="1:16">
      <c r="A314">
        <v>312</v>
      </c>
      <c r="B314" t="s">
        <v>740</v>
      </c>
      <c r="C314" t="s">
        <v>740</v>
      </c>
      <c r="D314" t="s">
        <v>740</v>
      </c>
      <c r="E314" t="s">
        <v>72</v>
      </c>
      <c r="F314" t="s">
        <v>741</v>
      </c>
      <c r="G314">
        <v>34</v>
      </c>
      <c r="H314" s="27" t="s">
        <v>946</v>
      </c>
      <c r="I314" s="27" t="s">
        <v>1126</v>
      </c>
      <c r="J314">
        <v>275.45</v>
      </c>
      <c r="K314">
        <v>275.49</v>
      </c>
      <c r="L314">
        <v>9365.2999999999993</v>
      </c>
      <c r="M314">
        <v>9366.66</v>
      </c>
      <c r="N314">
        <v>-1.3600000000006958</v>
      </c>
      <c r="O314" s="17">
        <f t="shared" si="4"/>
        <v>-1.4519583287967062E-2</v>
      </c>
      <c r="P314" t="s">
        <v>45</v>
      </c>
    </row>
    <row r="315" spans="1:16">
      <c r="A315">
        <v>313</v>
      </c>
      <c r="B315" t="s">
        <v>740</v>
      </c>
      <c r="C315" t="s">
        <v>740</v>
      </c>
      <c r="D315" t="s">
        <v>740</v>
      </c>
      <c r="E315" t="s">
        <v>72</v>
      </c>
      <c r="F315" t="s">
        <v>741</v>
      </c>
      <c r="G315">
        <v>16</v>
      </c>
      <c r="H315" s="27" t="s">
        <v>959</v>
      </c>
      <c r="I315" s="27" t="s">
        <v>1126</v>
      </c>
      <c r="J315">
        <v>275.45</v>
      </c>
      <c r="K315">
        <v>281.14999999999998</v>
      </c>
      <c r="L315">
        <v>4407.2</v>
      </c>
      <c r="M315">
        <v>4498.3999999999996</v>
      </c>
      <c r="N315">
        <v>-91.199999999999818</v>
      </c>
      <c r="O315" s="17">
        <f t="shared" si="4"/>
        <v>-2.0273875155610845</v>
      </c>
      <c r="P315" t="s">
        <v>45</v>
      </c>
    </row>
    <row r="316" spans="1:16">
      <c r="A316">
        <v>314</v>
      </c>
      <c r="B316" t="s">
        <v>665</v>
      </c>
      <c r="C316" t="s">
        <v>666</v>
      </c>
      <c r="D316" t="s">
        <v>666</v>
      </c>
      <c r="E316" t="s">
        <v>72</v>
      </c>
      <c r="F316" t="s">
        <v>667</v>
      </c>
      <c r="G316">
        <v>5</v>
      </c>
      <c r="H316" s="27" t="s">
        <v>1058</v>
      </c>
      <c r="I316" s="27" t="s">
        <v>1108</v>
      </c>
      <c r="J316">
        <v>2428</v>
      </c>
      <c r="K316">
        <v>1918.15</v>
      </c>
      <c r="L316">
        <v>12140</v>
      </c>
      <c r="M316">
        <v>9590.75</v>
      </c>
      <c r="N316">
        <v>2549.2499999999995</v>
      </c>
      <c r="O316" s="17">
        <f t="shared" si="4"/>
        <v>26.580298725334302</v>
      </c>
      <c r="P316" t="s">
        <v>45</v>
      </c>
    </row>
    <row r="317" spans="1:16">
      <c r="A317">
        <v>315</v>
      </c>
      <c r="B317" t="s">
        <v>740</v>
      </c>
      <c r="C317" t="s">
        <v>740</v>
      </c>
      <c r="D317" t="s">
        <v>740</v>
      </c>
      <c r="E317" t="s">
        <v>72</v>
      </c>
      <c r="F317" t="s">
        <v>741</v>
      </c>
      <c r="G317">
        <v>50</v>
      </c>
      <c r="H317" s="27" t="s">
        <v>959</v>
      </c>
      <c r="I317" s="27" t="s">
        <v>1108</v>
      </c>
      <c r="J317">
        <v>261.7</v>
      </c>
      <c r="K317">
        <v>281.14999999999998</v>
      </c>
      <c r="L317">
        <v>13085</v>
      </c>
      <c r="M317">
        <v>14057.499999999998</v>
      </c>
      <c r="N317">
        <v>-972.49999999999943</v>
      </c>
      <c r="O317" s="17">
        <f t="shared" si="4"/>
        <v>-6.9180152943268682</v>
      </c>
      <c r="P317" t="s">
        <v>45</v>
      </c>
    </row>
    <row r="318" spans="1:16">
      <c r="A318">
        <v>316</v>
      </c>
      <c r="B318" t="s">
        <v>26</v>
      </c>
      <c r="C318" t="s">
        <v>102</v>
      </c>
      <c r="D318" t="s">
        <v>102</v>
      </c>
      <c r="E318" t="s">
        <v>72</v>
      </c>
      <c r="F318" t="s">
        <v>103</v>
      </c>
      <c r="G318">
        <v>45</v>
      </c>
      <c r="H318" s="27" t="s">
        <v>1092</v>
      </c>
      <c r="I318" s="27" t="s">
        <v>1108</v>
      </c>
      <c r="J318">
        <v>109.18</v>
      </c>
      <c r="K318">
        <v>93</v>
      </c>
      <c r="L318">
        <v>4913.1000000000004</v>
      </c>
      <c r="M318">
        <v>4185</v>
      </c>
      <c r="N318">
        <v>728.10000000000036</v>
      </c>
      <c r="O318" s="17">
        <f t="shared" si="4"/>
        <v>17.397849462365599</v>
      </c>
      <c r="P318" t="s">
        <v>45</v>
      </c>
    </row>
    <row r="319" spans="1:16">
      <c r="A319">
        <v>317</v>
      </c>
      <c r="B319" t="s">
        <v>26</v>
      </c>
      <c r="C319" t="s">
        <v>102</v>
      </c>
      <c r="D319" t="s">
        <v>102</v>
      </c>
      <c r="E319" t="s">
        <v>72</v>
      </c>
      <c r="F319" t="s">
        <v>103</v>
      </c>
      <c r="G319">
        <v>80</v>
      </c>
      <c r="H319" s="27" t="s">
        <v>1063</v>
      </c>
      <c r="I319" s="27" t="s">
        <v>1108</v>
      </c>
      <c r="J319">
        <v>109.18</v>
      </c>
      <c r="K319">
        <v>93.24</v>
      </c>
      <c r="L319">
        <v>8734.4000000000015</v>
      </c>
      <c r="M319">
        <v>7459.2</v>
      </c>
      <c r="N319">
        <v>1275.200000000001</v>
      </c>
      <c r="O319" s="17">
        <f t="shared" si="4"/>
        <v>17.09566709566711</v>
      </c>
      <c r="P319" t="s">
        <v>45</v>
      </c>
    </row>
    <row r="320" spans="1:16">
      <c r="A320">
        <v>318</v>
      </c>
      <c r="B320" t="s">
        <v>668</v>
      </c>
      <c r="C320" t="s">
        <v>669</v>
      </c>
      <c r="D320" t="s">
        <v>669</v>
      </c>
      <c r="E320" t="s">
        <v>72</v>
      </c>
      <c r="F320" t="s">
        <v>670</v>
      </c>
      <c r="G320">
        <v>3</v>
      </c>
      <c r="H320" s="27" t="s">
        <v>1104</v>
      </c>
      <c r="I320" s="27" t="s">
        <v>1108</v>
      </c>
      <c r="J320">
        <v>3922.15</v>
      </c>
      <c r="K320">
        <v>3484.67</v>
      </c>
      <c r="L320">
        <v>11766.45</v>
      </c>
      <c r="M320">
        <v>10454.01</v>
      </c>
      <c r="N320">
        <v>1312.44</v>
      </c>
      <c r="O320" s="17">
        <f t="shared" si="4"/>
        <v>12.554416917527343</v>
      </c>
      <c r="P320" t="s">
        <v>45</v>
      </c>
    </row>
    <row r="321" spans="1:16">
      <c r="A321">
        <v>319</v>
      </c>
      <c r="B321" t="s">
        <v>194</v>
      </c>
      <c r="C321" t="s">
        <v>195</v>
      </c>
      <c r="D321" t="s">
        <v>195</v>
      </c>
      <c r="E321" t="s">
        <v>72</v>
      </c>
      <c r="F321" t="s">
        <v>196</v>
      </c>
      <c r="G321">
        <v>1</v>
      </c>
      <c r="H321" s="27" t="s">
        <v>1042</v>
      </c>
      <c r="I321" s="27" t="s">
        <v>1127</v>
      </c>
      <c r="J321">
        <v>15174.6</v>
      </c>
      <c r="K321">
        <v>13791.25</v>
      </c>
      <c r="L321">
        <v>15174.6</v>
      </c>
      <c r="M321">
        <v>13791.25</v>
      </c>
      <c r="N321">
        <v>1383.3500000000004</v>
      </c>
      <c r="O321" s="17">
        <f t="shared" si="4"/>
        <v>10.030635366627394</v>
      </c>
      <c r="P321" t="s">
        <v>45</v>
      </c>
    </row>
    <row r="322" spans="1:16">
      <c r="A322">
        <v>320</v>
      </c>
      <c r="B322" t="s">
        <v>512</v>
      </c>
      <c r="C322" t="s">
        <v>511</v>
      </c>
      <c r="D322" t="s">
        <v>511</v>
      </c>
      <c r="E322" t="s">
        <v>72</v>
      </c>
      <c r="F322" t="s">
        <v>513</v>
      </c>
      <c r="G322">
        <v>4</v>
      </c>
      <c r="H322" s="27" t="s">
        <v>1087</v>
      </c>
      <c r="I322" s="27" t="s">
        <v>1127</v>
      </c>
      <c r="J322">
        <v>3441.7</v>
      </c>
      <c r="K322">
        <v>3091.5</v>
      </c>
      <c r="L322">
        <v>13766.8</v>
      </c>
      <c r="M322">
        <v>12366</v>
      </c>
      <c r="N322">
        <v>1400.7999999999993</v>
      </c>
      <c r="O322" s="17">
        <f t="shared" si="4"/>
        <v>11.327834384602937</v>
      </c>
      <c r="P322" t="s">
        <v>45</v>
      </c>
    </row>
    <row r="323" spans="1:16">
      <c r="A323">
        <v>321</v>
      </c>
      <c r="B323" t="s">
        <v>29</v>
      </c>
      <c r="C323" t="s">
        <v>107</v>
      </c>
      <c r="D323" t="s">
        <v>107</v>
      </c>
      <c r="E323" t="s">
        <v>72</v>
      </c>
      <c r="F323" t="s">
        <v>108</v>
      </c>
      <c r="G323">
        <v>1</v>
      </c>
      <c r="H323" s="27" t="s">
        <v>1086</v>
      </c>
      <c r="I323" s="27" t="s">
        <v>1127</v>
      </c>
      <c r="J323">
        <v>2527</v>
      </c>
      <c r="K323">
        <v>2560.0300000000002</v>
      </c>
      <c r="L323">
        <v>2527</v>
      </c>
      <c r="M323">
        <v>2560.0300000000002</v>
      </c>
      <c r="N323">
        <v>-33.0300000000002</v>
      </c>
      <c r="O323" s="17">
        <f t="shared" si="4"/>
        <v>-1.2902192552431104</v>
      </c>
      <c r="P323" t="s">
        <v>45</v>
      </c>
    </row>
    <row r="324" spans="1:16">
      <c r="A324">
        <v>322</v>
      </c>
      <c r="B324" t="s">
        <v>29</v>
      </c>
      <c r="C324" t="s">
        <v>107</v>
      </c>
      <c r="D324" t="s">
        <v>107</v>
      </c>
      <c r="E324" t="s">
        <v>72</v>
      </c>
      <c r="F324" t="s">
        <v>108</v>
      </c>
      <c r="G324">
        <v>4</v>
      </c>
      <c r="H324" s="27" t="s">
        <v>1128</v>
      </c>
      <c r="I324" s="27" t="s">
        <v>1127</v>
      </c>
      <c r="J324">
        <v>2527</v>
      </c>
      <c r="K324">
        <v>2639</v>
      </c>
      <c r="L324">
        <v>10108</v>
      </c>
      <c r="M324">
        <v>10556</v>
      </c>
      <c r="N324">
        <v>-448</v>
      </c>
      <c r="O324" s="17">
        <f t="shared" ref="O324:O387" si="5">N324/M324%</f>
        <v>-4.2440318302387263</v>
      </c>
      <c r="P324" t="s">
        <v>45</v>
      </c>
    </row>
    <row r="325" spans="1:16">
      <c r="A325">
        <v>323</v>
      </c>
      <c r="B325" t="s">
        <v>536</v>
      </c>
      <c r="C325" t="s">
        <v>537</v>
      </c>
      <c r="D325" t="s">
        <v>550</v>
      </c>
      <c r="E325" t="s">
        <v>72</v>
      </c>
      <c r="F325" t="s">
        <v>538</v>
      </c>
      <c r="G325">
        <v>18</v>
      </c>
      <c r="H325" s="27" t="s">
        <v>1044</v>
      </c>
      <c r="I325" s="27" t="s">
        <v>1129</v>
      </c>
      <c r="J325">
        <v>1688.92</v>
      </c>
      <c r="K325">
        <v>908.4</v>
      </c>
      <c r="L325">
        <v>30400.560000000001</v>
      </c>
      <c r="M325">
        <v>16351.199999999999</v>
      </c>
      <c r="N325">
        <v>14049.360000000002</v>
      </c>
      <c r="O325" s="17">
        <f t="shared" si="5"/>
        <v>85.922501100836655</v>
      </c>
      <c r="P325" t="s">
        <v>45</v>
      </c>
    </row>
    <row r="326" spans="1:16">
      <c r="A326">
        <v>324</v>
      </c>
      <c r="B326" t="s">
        <v>635</v>
      </c>
      <c r="C326" t="s">
        <v>633</v>
      </c>
      <c r="D326" t="s">
        <v>633</v>
      </c>
      <c r="E326" t="s">
        <v>72</v>
      </c>
      <c r="F326" t="s">
        <v>634</v>
      </c>
      <c r="G326">
        <v>3</v>
      </c>
      <c r="H326" s="27" t="s">
        <v>639</v>
      </c>
      <c r="I326" s="27" t="s">
        <v>1129</v>
      </c>
      <c r="J326">
        <v>5700</v>
      </c>
      <c r="K326">
        <v>3238.7</v>
      </c>
      <c r="L326">
        <v>17100</v>
      </c>
      <c r="M326">
        <v>9716.0999999999985</v>
      </c>
      <c r="N326">
        <v>7383.9000000000005</v>
      </c>
      <c r="O326" s="17">
        <f t="shared" si="5"/>
        <v>75.996541822336141</v>
      </c>
      <c r="P326" t="s">
        <v>45</v>
      </c>
    </row>
    <row r="327" spans="1:16">
      <c r="A327">
        <v>325</v>
      </c>
      <c r="B327" t="s">
        <v>630</v>
      </c>
      <c r="C327" t="s">
        <v>631</v>
      </c>
      <c r="D327" t="s">
        <v>631</v>
      </c>
      <c r="E327" t="s">
        <v>72</v>
      </c>
      <c r="F327" t="s">
        <v>632</v>
      </c>
      <c r="G327">
        <v>2</v>
      </c>
      <c r="H327" s="27" t="s">
        <v>1042</v>
      </c>
      <c r="I327" s="27" t="s">
        <v>1130</v>
      </c>
      <c r="J327">
        <v>3303.35</v>
      </c>
      <c r="K327">
        <v>2932.95</v>
      </c>
      <c r="L327">
        <v>6606.7</v>
      </c>
      <c r="M327">
        <v>5865.9</v>
      </c>
      <c r="N327">
        <v>740.80000000000018</v>
      </c>
      <c r="O327" s="17">
        <f t="shared" si="5"/>
        <v>12.628923097904844</v>
      </c>
      <c r="P327" t="s">
        <v>45</v>
      </c>
    </row>
    <row r="328" spans="1:16">
      <c r="A328">
        <v>326</v>
      </c>
      <c r="B328" t="s">
        <v>630</v>
      </c>
      <c r="C328" t="s">
        <v>631</v>
      </c>
      <c r="D328" t="s">
        <v>631</v>
      </c>
      <c r="E328" t="s">
        <v>72</v>
      </c>
      <c r="F328" t="s">
        <v>632</v>
      </c>
      <c r="G328">
        <v>1</v>
      </c>
      <c r="H328" s="27" t="s">
        <v>1044</v>
      </c>
      <c r="I328" s="27" t="s">
        <v>1130</v>
      </c>
      <c r="J328">
        <v>3303.35</v>
      </c>
      <c r="K328">
        <v>3065</v>
      </c>
      <c r="L328">
        <v>3303.35</v>
      </c>
      <c r="M328">
        <v>3065</v>
      </c>
      <c r="N328">
        <v>238.34999999999991</v>
      </c>
      <c r="O328" s="17">
        <f t="shared" si="5"/>
        <v>7.7765089722675338</v>
      </c>
      <c r="P328" t="s">
        <v>45</v>
      </c>
    </row>
    <row r="329" spans="1:16">
      <c r="A329">
        <v>327</v>
      </c>
      <c r="B329" t="s">
        <v>230</v>
      </c>
      <c r="C329" t="s">
        <v>117</v>
      </c>
      <c r="D329" t="s">
        <v>117</v>
      </c>
      <c r="E329" t="s">
        <v>72</v>
      </c>
      <c r="F329" t="s">
        <v>118</v>
      </c>
      <c r="G329">
        <v>20</v>
      </c>
      <c r="H329" s="27" t="s">
        <v>1097</v>
      </c>
      <c r="I329" s="27" t="s">
        <v>1130</v>
      </c>
      <c r="J329">
        <v>231.38</v>
      </c>
      <c r="K329">
        <v>209.25</v>
      </c>
      <c r="L329">
        <v>4627.6000000000004</v>
      </c>
      <c r="M329">
        <v>4185</v>
      </c>
      <c r="N329">
        <v>442.59999999999991</v>
      </c>
      <c r="O329" s="17">
        <f t="shared" si="5"/>
        <v>10.575866188769412</v>
      </c>
      <c r="P329" t="s">
        <v>45</v>
      </c>
    </row>
    <row r="330" spans="1:16">
      <c r="A330">
        <v>328</v>
      </c>
      <c r="B330" t="s">
        <v>230</v>
      </c>
      <c r="C330" t="s">
        <v>117</v>
      </c>
      <c r="D330" t="s">
        <v>117</v>
      </c>
      <c r="E330" t="s">
        <v>72</v>
      </c>
      <c r="F330" t="s">
        <v>118</v>
      </c>
      <c r="G330">
        <v>15</v>
      </c>
      <c r="H330" s="27" t="s">
        <v>1098</v>
      </c>
      <c r="I330" s="27" t="s">
        <v>1130</v>
      </c>
      <c r="J330">
        <v>231.38</v>
      </c>
      <c r="K330">
        <v>217</v>
      </c>
      <c r="L330">
        <v>3470.7</v>
      </c>
      <c r="M330">
        <v>3255</v>
      </c>
      <c r="N330">
        <v>215.69999999999993</v>
      </c>
      <c r="O330" s="17">
        <f t="shared" si="5"/>
        <v>6.6267281105990765</v>
      </c>
      <c r="P330" t="s">
        <v>45</v>
      </c>
    </row>
    <row r="331" spans="1:16">
      <c r="A331">
        <v>329</v>
      </c>
      <c r="B331" t="s">
        <v>230</v>
      </c>
      <c r="C331" t="s">
        <v>117</v>
      </c>
      <c r="D331" t="s">
        <v>117</v>
      </c>
      <c r="E331" t="s">
        <v>72</v>
      </c>
      <c r="F331" t="s">
        <v>118</v>
      </c>
      <c r="G331">
        <v>20</v>
      </c>
      <c r="H331" s="27" t="s">
        <v>1059</v>
      </c>
      <c r="I331" s="27" t="s">
        <v>1130</v>
      </c>
      <c r="J331">
        <v>231.38</v>
      </c>
      <c r="K331">
        <v>181.79</v>
      </c>
      <c r="L331">
        <v>4627.6000000000004</v>
      </c>
      <c r="M331">
        <v>3635.7999999999997</v>
      </c>
      <c r="N331">
        <v>991.80000000000007</v>
      </c>
      <c r="O331" s="17">
        <f t="shared" si="5"/>
        <v>27.278728202871449</v>
      </c>
      <c r="P331" t="s">
        <v>45</v>
      </c>
    </row>
    <row r="332" spans="1:16">
      <c r="A332">
        <v>330</v>
      </c>
      <c r="B332" t="s">
        <v>677</v>
      </c>
      <c r="C332" t="s">
        <v>678</v>
      </c>
      <c r="D332" t="s">
        <v>678</v>
      </c>
      <c r="E332" t="s">
        <v>72</v>
      </c>
      <c r="F332" t="s">
        <v>679</v>
      </c>
      <c r="G332">
        <v>15</v>
      </c>
      <c r="H332" s="27" t="s">
        <v>1091</v>
      </c>
      <c r="I332" s="27" t="s">
        <v>1130</v>
      </c>
      <c r="J332">
        <v>370.6</v>
      </c>
      <c r="K332">
        <v>348.88</v>
      </c>
      <c r="L332">
        <v>5559</v>
      </c>
      <c r="M332">
        <v>5233.2</v>
      </c>
      <c r="N332">
        <v>325.80000000000041</v>
      </c>
      <c r="O332" s="17">
        <f t="shared" si="5"/>
        <v>6.2256363219445161</v>
      </c>
      <c r="P332" t="s">
        <v>45</v>
      </c>
    </row>
    <row r="333" spans="1:16">
      <c r="A333">
        <v>331</v>
      </c>
      <c r="B333" t="s">
        <v>533</v>
      </c>
      <c r="C333" t="s">
        <v>534</v>
      </c>
      <c r="D333" t="s">
        <v>534</v>
      </c>
      <c r="E333" t="s">
        <v>72</v>
      </c>
      <c r="F333" t="s">
        <v>535</v>
      </c>
      <c r="G333">
        <v>5</v>
      </c>
      <c r="H333" s="27" t="s">
        <v>1092</v>
      </c>
      <c r="I333" s="27" t="s">
        <v>1130</v>
      </c>
      <c r="J333">
        <v>3174</v>
      </c>
      <c r="K333">
        <v>2863.25</v>
      </c>
      <c r="L333">
        <v>15870</v>
      </c>
      <c r="M333">
        <v>14316.25</v>
      </c>
      <c r="N333">
        <v>1553.75</v>
      </c>
      <c r="O333" s="17">
        <f t="shared" si="5"/>
        <v>10.853051602200297</v>
      </c>
      <c r="P333" t="s">
        <v>45</v>
      </c>
    </row>
    <row r="334" spans="1:16">
      <c r="A334">
        <v>332</v>
      </c>
      <c r="B334" t="s">
        <v>13</v>
      </c>
      <c r="C334" t="s">
        <v>83</v>
      </c>
      <c r="D334" t="s">
        <v>246</v>
      </c>
      <c r="E334" t="s">
        <v>76</v>
      </c>
      <c r="F334" t="s">
        <v>84</v>
      </c>
      <c r="G334">
        <v>10</v>
      </c>
      <c r="H334" s="27" t="s">
        <v>1121</v>
      </c>
      <c r="I334" s="27" t="s">
        <v>1130</v>
      </c>
      <c r="J334">
        <v>1450.5</v>
      </c>
      <c r="K334">
        <v>1165.6500000000001</v>
      </c>
      <c r="L334">
        <v>14505</v>
      </c>
      <c r="M334">
        <v>11656.5</v>
      </c>
      <c r="N334">
        <v>2848.4999999999991</v>
      </c>
      <c r="O334" s="17">
        <f t="shared" si="5"/>
        <v>24.437009393900393</v>
      </c>
      <c r="P334" t="s">
        <v>45</v>
      </c>
    </row>
    <row r="335" spans="1:16">
      <c r="A335">
        <v>333</v>
      </c>
      <c r="B335" t="s">
        <v>545</v>
      </c>
      <c r="C335" t="s">
        <v>546</v>
      </c>
      <c r="D335" t="s">
        <v>546</v>
      </c>
      <c r="E335" t="s">
        <v>72</v>
      </c>
      <c r="F335" t="s">
        <v>547</v>
      </c>
      <c r="G335">
        <v>8</v>
      </c>
      <c r="H335" s="27" t="s">
        <v>1109</v>
      </c>
      <c r="I335" s="27" t="s">
        <v>1130</v>
      </c>
      <c r="J335">
        <v>1363.13</v>
      </c>
      <c r="K335">
        <v>1263.1600000000001</v>
      </c>
      <c r="L335">
        <v>10905.04</v>
      </c>
      <c r="M335">
        <v>10105.280000000001</v>
      </c>
      <c r="N335">
        <v>799.76000000000022</v>
      </c>
      <c r="O335" s="17">
        <f t="shared" si="5"/>
        <v>7.9142784762025418</v>
      </c>
      <c r="P335" t="s">
        <v>45</v>
      </c>
    </row>
    <row r="336" spans="1:16">
      <c r="A336">
        <v>334</v>
      </c>
      <c r="B336" t="s">
        <v>712</v>
      </c>
      <c r="C336" t="s">
        <v>713</v>
      </c>
      <c r="D336" t="s">
        <v>716</v>
      </c>
      <c r="E336" t="s">
        <v>72</v>
      </c>
      <c r="F336" t="s">
        <v>971</v>
      </c>
      <c r="G336">
        <v>12</v>
      </c>
      <c r="H336" s="27" t="s">
        <v>1045</v>
      </c>
      <c r="I336" s="27" t="s">
        <v>1130</v>
      </c>
      <c r="J336">
        <v>1109.45</v>
      </c>
      <c r="K336">
        <v>905.16</v>
      </c>
      <c r="L336">
        <v>13313.400000000001</v>
      </c>
      <c r="M336">
        <v>10861.92</v>
      </c>
      <c r="N336">
        <v>2451.4800000000009</v>
      </c>
      <c r="O336" s="17">
        <f t="shared" si="5"/>
        <v>22.569490476821784</v>
      </c>
      <c r="P336" t="s">
        <v>45</v>
      </c>
    </row>
    <row r="337" spans="1:16">
      <c r="A337">
        <v>335</v>
      </c>
      <c r="B337" t="s">
        <v>31</v>
      </c>
      <c r="C337" t="s">
        <v>111</v>
      </c>
      <c r="D337" t="s">
        <v>111</v>
      </c>
      <c r="E337" t="s">
        <v>72</v>
      </c>
      <c r="F337" t="s">
        <v>112</v>
      </c>
      <c r="G337">
        <v>50</v>
      </c>
      <c r="H337" s="27" t="s">
        <v>1093</v>
      </c>
      <c r="I337" s="27" t="s">
        <v>1131</v>
      </c>
      <c r="J337">
        <v>116.85</v>
      </c>
      <c r="K337">
        <v>107.2</v>
      </c>
      <c r="L337">
        <v>5842.5</v>
      </c>
      <c r="M337">
        <v>5360</v>
      </c>
      <c r="N337">
        <v>482.49999999999955</v>
      </c>
      <c r="O337" s="17">
        <f t="shared" si="5"/>
        <v>9.0018656716417826</v>
      </c>
      <c r="P337" t="s">
        <v>45</v>
      </c>
    </row>
    <row r="338" spans="1:16">
      <c r="A338">
        <v>336</v>
      </c>
      <c r="B338" t="s">
        <v>31</v>
      </c>
      <c r="C338" t="s">
        <v>111</v>
      </c>
      <c r="D338" t="s">
        <v>111</v>
      </c>
      <c r="E338" t="s">
        <v>72</v>
      </c>
      <c r="F338" t="s">
        <v>112</v>
      </c>
      <c r="G338">
        <v>50</v>
      </c>
      <c r="H338" s="27" t="s">
        <v>1059</v>
      </c>
      <c r="I338" s="27" t="s">
        <v>1131</v>
      </c>
      <c r="J338">
        <v>116.85</v>
      </c>
      <c r="K338">
        <v>106</v>
      </c>
      <c r="L338">
        <v>5842.5</v>
      </c>
      <c r="M338">
        <v>5300</v>
      </c>
      <c r="N338">
        <v>542.49999999999977</v>
      </c>
      <c r="O338" s="17">
        <f t="shared" si="5"/>
        <v>10.235849056603769</v>
      </c>
      <c r="P338" t="s">
        <v>45</v>
      </c>
    </row>
    <row r="339" spans="1:16">
      <c r="A339">
        <v>337</v>
      </c>
      <c r="B339" t="s">
        <v>530</v>
      </c>
      <c r="C339" t="s">
        <v>531</v>
      </c>
      <c r="D339" t="s">
        <v>531</v>
      </c>
      <c r="E339" t="s">
        <v>72</v>
      </c>
      <c r="F339" t="s">
        <v>532</v>
      </c>
      <c r="G339">
        <v>10</v>
      </c>
      <c r="H339" s="27" t="s">
        <v>1087</v>
      </c>
      <c r="I339" s="27" t="s">
        <v>1131</v>
      </c>
      <c r="J339">
        <v>654.64</v>
      </c>
      <c r="K339">
        <v>550.63</v>
      </c>
      <c r="L339">
        <v>6546.4</v>
      </c>
      <c r="M339">
        <v>5506.3</v>
      </c>
      <c r="N339">
        <v>1040.0999999999999</v>
      </c>
      <c r="O339" s="17">
        <f t="shared" si="5"/>
        <v>18.889272288106348</v>
      </c>
      <c r="P339" t="s">
        <v>45</v>
      </c>
    </row>
    <row r="340" spans="1:16">
      <c r="A340">
        <v>338</v>
      </c>
      <c r="B340" t="s">
        <v>530</v>
      </c>
      <c r="C340" t="s">
        <v>531</v>
      </c>
      <c r="D340" t="s">
        <v>531</v>
      </c>
      <c r="E340" t="s">
        <v>72</v>
      </c>
      <c r="F340" t="s">
        <v>532</v>
      </c>
      <c r="G340">
        <v>8</v>
      </c>
      <c r="H340" s="27" t="s">
        <v>1132</v>
      </c>
      <c r="I340" s="27" t="s">
        <v>1131</v>
      </c>
      <c r="J340">
        <v>654.64</v>
      </c>
      <c r="K340">
        <v>559.23</v>
      </c>
      <c r="L340">
        <v>5237.12</v>
      </c>
      <c r="M340">
        <v>4473.84</v>
      </c>
      <c r="N340">
        <v>763.27999999999975</v>
      </c>
      <c r="O340" s="17">
        <f t="shared" si="5"/>
        <v>17.060958818375262</v>
      </c>
      <c r="P340" t="s">
        <v>45</v>
      </c>
    </row>
    <row r="341" spans="1:16">
      <c r="A341">
        <v>339</v>
      </c>
      <c r="B341" t="s">
        <v>530</v>
      </c>
      <c r="C341" t="s">
        <v>531</v>
      </c>
      <c r="D341" t="s">
        <v>531</v>
      </c>
      <c r="E341" t="s">
        <v>72</v>
      </c>
      <c r="F341" t="s">
        <v>532</v>
      </c>
      <c r="G341">
        <v>3</v>
      </c>
      <c r="H341" s="27" t="s">
        <v>1093</v>
      </c>
      <c r="I341" s="27" t="s">
        <v>1131</v>
      </c>
      <c r="J341">
        <v>654.64</v>
      </c>
      <c r="K341">
        <v>606.79999999999995</v>
      </c>
      <c r="L341">
        <v>1963.92</v>
      </c>
      <c r="M341">
        <v>1820.3999999999999</v>
      </c>
      <c r="N341">
        <v>143.5200000000001</v>
      </c>
      <c r="O341" s="17">
        <f t="shared" si="5"/>
        <v>7.8839815425181348</v>
      </c>
      <c r="P341" t="s">
        <v>45</v>
      </c>
    </row>
    <row r="342" spans="1:16">
      <c r="A342">
        <v>340</v>
      </c>
      <c r="B342" t="s">
        <v>665</v>
      </c>
      <c r="C342" t="s">
        <v>666</v>
      </c>
      <c r="D342" t="s">
        <v>666</v>
      </c>
      <c r="E342" t="s">
        <v>72</v>
      </c>
      <c r="F342" t="s">
        <v>667</v>
      </c>
      <c r="G342">
        <v>5</v>
      </c>
      <c r="H342" s="27" t="s">
        <v>1059</v>
      </c>
      <c r="I342" s="27" t="s">
        <v>1131</v>
      </c>
      <c r="J342">
        <v>2289.3000000000002</v>
      </c>
      <c r="K342">
        <v>2266.9699999999998</v>
      </c>
      <c r="L342">
        <v>11446.5</v>
      </c>
      <c r="M342">
        <v>11334.849999999999</v>
      </c>
      <c r="N342">
        <v>111.65000000000191</v>
      </c>
      <c r="O342" s="17">
        <f t="shared" si="5"/>
        <v>0.98501524060752388</v>
      </c>
      <c r="P342" t="s">
        <v>45</v>
      </c>
    </row>
    <row r="343" spans="1:16">
      <c r="A343">
        <v>341</v>
      </c>
      <c r="B343" t="s">
        <v>936</v>
      </c>
      <c r="C343" t="s">
        <v>937</v>
      </c>
      <c r="D343" t="s">
        <v>937</v>
      </c>
      <c r="E343" t="s">
        <v>76</v>
      </c>
      <c r="F343" t="s">
        <v>938</v>
      </c>
      <c r="G343">
        <v>1</v>
      </c>
      <c r="H343" s="27" t="s">
        <v>1097</v>
      </c>
      <c r="I343" s="27" t="s">
        <v>1131</v>
      </c>
      <c r="J343">
        <v>9970.1</v>
      </c>
      <c r="K343">
        <v>8915</v>
      </c>
      <c r="L343">
        <v>9970.1</v>
      </c>
      <c r="M343">
        <v>8915</v>
      </c>
      <c r="N343">
        <v>1055.1000000000004</v>
      </c>
      <c r="O343" s="17">
        <f t="shared" si="5"/>
        <v>11.835109366236683</v>
      </c>
      <c r="P343" t="s">
        <v>45</v>
      </c>
    </row>
    <row r="344" spans="1:16">
      <c r="A344">
        <v>342</v>
      </c>
      <c r="B344" t="s">
        <v>689</v>
      </c>
      <c r="C344" t="s">
        <v>690</v>
      </c>
      <c r="D344" t="s">
        <v>690</v>
      </c>
      <c r="E344" t="s">
        <v>72</v>
      </c>
      <c r="F344" t="s">
        <v>691</v>
      </c>
      <c r="G344">
        <v>4</v>
      </c>
      <c r="H344" s="27" t="s">
        <v>1093</v>
      </c>
      <c r="I344" s="27" t="s">
        <v>1131</v>
      </c>
      <c r="J344">
        <v>3129.2</v>
      </c>
      <c r="K344">
        <v>3049.67</v>
      </c>
      <c r="L344">
        <v>12516.8</v>
      </c>
      <c r="M344">
        <v>12198.68</v>
      </c>
      <c r="N344">
        <v>318.11999999999898</v>
      </c>
      <c r="O344" s="17">
        <f t="shared" si="5"/>
        <v>2.6078231415202215</v>
      </c>
      <c r="P344" t="s">
        <v>45</v>
      </c>
    </row>
    <row r="345" spans="1:16">
      <c r="A345">
        <v>343</v>
      </c>
      <c r="B345" t="s">
        <v>15</v>
      </c>
      <c r="C345" t="s">
        <v>15</v>
      </c>
      <c r="D345" t="s">
        <v>15</v>
      </c>
      <c r="E345" t="s">
        <v>72</v>
      </c>
      <c r="F345" t="s">
        <v>87</v>
      </c>
      <c r="G345">
        <v>2</v>
      </c>
      <c r="H345" s="27" t="s">
        <v>146</v>
      </c>
      <c r="I345" s="27" t="s">
        <v>1131</v>
      </c>
      <c r="J345">
        <v>728.15</v>
      </c>
      <c r="K345">
        <v>383</v>
      </c>
      <c r="L345">
        <v>1456.3</v>
      </c>
      <c r="M345">
        <v>766</v>
      </c>
      <c r="N345">
        <v>690.3</v>
      </c>
      <c r="O345" s="17">
        <f t="shared" si="5"/>
        <v>90.117493472584854</v>
      </c>
      <c r="P345" t="s">
        <v>45</v>
      </c>
    </row>
    <row r="346" spans="1:16">
      <c r="A346">
        <v>344</v>
      </c>
      <c r="B346" t="s">
        <v>26</v>
      </c>
      <c r="C346" t="s">
        <v>102</v>
      </c>
      <c r="D346" t="s">
        <v>102</v>
      </c>
      <c r="E346" t="s">
        <v>72</v>
      </c>
      <c r="F346" t="s">
        <v>103</v>
      </c>
      <c r="G346">
        <v>125</v>
      </c>
      <c r="H346" s="27" t="s">
        <v>1063</v>
      </c>
      <c r="I346" s="27" t="s">
        <v>1131</v>
      </c>
      <c r="J346">
        <v>102.83</v>
      </c>
      <c r="K346">
        <v>93.24</v>
      </c>
      <c r="L346">
        <v>12853.75</v>
      </c>
      <c r="M346">
        <v>11655</v>
      </c>
      <c r="N346">
        <v>1198.7500000000005</v>
      </c>
      <c r="O346" s="17">
        <f t="shared" si="5"/>
        <v>10.285285285285289</v>
      </c>
      <c r="P346" t="s">
        <v>45</v>
      </c>
    </row>
    <row r="347" spans="1:16">
      <c r="A347">
        <v>345</v>
      </c>
      <c r="B347" t="s">
        <v>630</v>
      </c>
      <c r="C347" t="s">
        <v>631</v>
      </c>
      <c r="D347" t="s">
        <v>631</v>
      </c>
      <c r="E347" t="s">
        <v>72</v>
      </c>
      <c r="F347" t="s">
        <v>632</v>
      </c>
      <c r="G347">
        <v>3</v>
      </c>
      <c r="H347" s="27" t="s">
        <v>928</v>
      </c>
      <c r="I347" s="27" t="s">
        <v>1131</v>
      </c>
      <c r="J347">
        <v>3297.4</v>
      </c>
      <c r="K347">
        <v>3035</v>
      </c>
      <c r="L347">
        <v>9892.2000000000007</v>
      </c>
      <c r="M347">
        <v>9105</v>
      </c>
      <c r="N347">
        <v>787.20000000000027</v>
      </c>
      <c r="O347" s="17">
        <f t="shared" si="5"/>
        <v>8.6457990115321284</v>
      </c>
      <c r="P347" t="s">
        <v>45</v>
      </c>
    </row>
    <row r="348" spans="1:16">
      <c r="A348">
        <v>346</v>
      </c>
      <c r="B348" t="s">
        <v>630</v>
      </c>
      <c r="C348" t="s">
        <v>631</v>
      </c>
      <c r="D348" t="s">
        <v>631</v>
      </c>
      <c r="E348" t="s">
        <v>72</v>
      </c>
      <c r="F348" t="s">
        <v>632</v>
      </c>
      <c r="G348">
        <v>1</v>
      </c>
      <c r="H348" s="27" t="s">
        <v>939</v>
      </c>
      <c r="I348" s="27" t="s">
        <v>1131</v>
      </c>
      <c r="J348">
        <v>3297.4</v>
      </c>
      <c r="K348">
        <v>2716.36</v>
      </c>
      <c r="L348">
        <v>3297.4</v>
      </c>
      <c r="M348">
        <v>2716.36</v>
      </c>
      <c r="N348">
        <v>581.04</v>
      </c>
      <c r="O348" s="17">
        <f t="shared" si="5"/>
        <v>21.390390080843478</v>
      </c>
      <c r="P348" t="s">
        <v>45</v>
      </c>
    </row>
    <row r="349" spans="1:16">
      <c r="A349">
        <v>347</v>
      </c>
      <c r="B349" t="s">
        <v>230</v>
      </c>
      <c r="C349" t="s">
        <v>117</v>
      </c>
      <c r="D349" t="s">
        <v>117</v>
      </c>
      <c r="E349" t="s">
        <v>72</v>
      </c>
      <c r="F349" t="s">
        <v>118</v>
      </c>
      <c r="G349">
        <v>50</v>
      </c>
      <c r="H349" s="27" t="s">
        <v>1059</v>
      </c>
      <c r="I349" s="27" t="s">
        <v>1109</v>
      </c>
      <c r="J349">
        <v>219.65</v>
      </c>
      <c r="K349">
        <v>181.79</v>
      </c>
      <c r="L349">
        <v>10982.5</v>
      </c>
      <c r="M349">
        <v>9089.5</v>
      </c>
      <c r="N349">
        <v>1893.0000000000007</v>
      </c>
      <c r="O349" s="17">
        <f t="shared" si="5"/>
        <v>20.826228065350136</v>
      </c>
      <c r="P349" t="s">
        <v>45</v>
      </c>
    </row>
    <row r="350" spans="1:16">
      <c r="A350">
        <v>348</v>
      </c>
      <c r="B350" t="s">
        <v>635</v>
      </c>
      <c r="C350" t="s">
        <v>633</v>
      </c>
      <c r="D350" t="s">
        <v>633</v>
      </c>
      <c r="E350" t="s">
        <v>72</v>
      </c>
      <c r="F350" t="s">
        <v>634</v>
      </c>
      <c r="G350">
        <v>3</v>
      </c>
      <c r="H350" s="27" t="s">
        <v>639</v>
      </c>
      <c r="I350" s="27" t="s">
        <v>1109</v>
      </c>
      <c r="J350">
        <v>5368</v>
      </c>
      <c r="K350">
        <v>3238.7</v>
      </c>
      <c r="L350">
        <v>16104</v>
      </c>
      <c r="M350">
        <v>9716.0999999999985</v>
      </c>
      <c r="N350">
        <v>6387.9000000000005</v>
      </c>
      <c r="O350" s="17">
        <f t="shared" si="5"/>
        <v>65.745515175842172</v>
      </c>
      <c r="P350" t="s">
        <v>45</v>
      </c>
    </row>
    <row r="351" spans="1:16">
      <c r="A351">
        <v>349</v>
      </c>
      <c r="B351" t="s">
        <v>26</v>
      </c>
      <c r="C351" t="s">
        <v>102</v>
      </c>
      <c r="D351" t="s">
        <v>102</v>
      </c>
      <c r="E351" t="s">
        <v>72</v>
      </c>
      <c r="F351" t="s">
        <v>103</v>
      </c>
      <c r="G351">
        <v>100</v>
      </c>
      <c r="H351" s="27" t="s">
        <v>1063</v>
      </c>
      <c r="I351" s="27" t="s">
        <v>1109</v>
      </c>
      <c r="J351">
        <v>97.05</v>
      </c>
      <c r="K351">
        <v>93.24</v>
      </c>
      <c r="L351">
        <v>9705</v>
      </c>
      <c r="M351">
        <v>9324</v>
      </c>
      <c r="N351">
        <v>381.00000000000023</v>
      </c>
      <c r="O351" s="17">
        <f t="shared" si="5"/>
        <v>4.0862290862290891</v>
      </c>
      <c r="P351" t="s">
        <v>45</v>
      </c>
    </row>
    <row r="352" spans="1:16">
      <c r="A352">
        <v>350</v>
      </c>
      <c r="B352" t="s">
        <v>29</v>
      </c>
      <c r="C352" t="s">
        <v>107</v>
      </c>
      <c r="D352" t="s">
        <v>107</v>
      </c>
      <c r="E352" t="s">
        <v>72</v>
      </c>
      <c r="F352" t="s">
        <v>108</v>
      </c>
      <c r="G352">
        <v>1</v>
      </c>
      <c r="H352" s="27" t="s">
        <v>1128</v>
      </c>
      <c r="I352" s="27" t="s">
        <v>1109</v>
      </c>
      <c r="J352">
        <v>2409.6</v>
      </c>
      <c r="K352">
        <v>2639</v>
      </c>
      <c r="L352">
        <v>2409.6</v>
      </c>
      <c r="M352">
        <v>2639</v>
      </c>
      <c r="N352">
        <v>-229.40000000000009</v>
      </c>
      <c r="O352" s="17">
        <f t="shared" si="5"/>
        <v>-8.6926866237211105</v>
      </c>
      <c r="P352" t="s">
        <v>45</v>
      </c>
    </row>
    <row r="353" spans="1:16">
      <c r="A353">
        <v>351</v>
      </c>
      <c r="B353" t="s">
        <v>29</v>
      </c>
      <c r="C353" t="s">
        <v>107</v>
      </c>
      <c r="D353" t="s">
        <v>107</v>
      </c>
      <c r="E353" t="s">
        <v>72</v>
      </c>
      <c r="F353" t="s">
        <v>108</v>
      </c>
      <c r="G353">
        <v>2</v>
      </c>
      <c r="H353" s="27" t="s">
        <v>1091</v>
      </c>
      <c r="I353" s="27" t="s">
        <v>1109</v>
      </c>
      <c r="J353">
        <v>2409.6</v>
      </c>
      <c r="K353">
        <v>2708.9</v>
      </c>
      <c r="L353">
        <v>4819.2</v>
      </c>
      <c r="M353">
        <v>5417.8</v>
      </c>
      <c r="N353">
        <v>-598.60000000000036</v>
      </c>
      <c r="O353" s="17">
        <f t="shared" si="5"/>
        <v>-11.048765181438966</v>
      </c>
      <c r="P353" t="s">
        <v>45</v>
      </c>
    </row>
    <row r="354" spans="1:16">
      <c r="A354">
        <v>352</v>
      </c>
      <c r="B354" t="s">
        <v>29</v>
      </c>
      <c r="C354" t="s">
        <v>107</v>
      </c>
      <c r="D354" t="s">
        <v>107</v>
      </c>
      <c r="E354" t="s">
        <v>72</v>
      </c>
      <c r="F354" t="s">
        <v>108</v>
      </c>
      <c r="G354">
        <v>2</v>
      </c>
      <c r="H354" s="27" t="s">
        <v>1042</v>
      </c>
      <c r="I354" s="27" t="s">
        <v>1109</v>
      </c>
      <c r="J354">
        <v>2409.6</v>
      </c>
      <c r="K354">
        <v>2277.6</v>
      </c>
      <c r="L354">
        <v>4819.2</v>
      </c>
      <c r="M354">
        <v>4555.2</v>
      </c>
      <c r="N354">
        <v>264</v>
      </c>
      <c r="O354" s="17">
        <f t="shared" si="5"/>
        <v>5.7955742887249739</v>
      </c>
      <c r="P354" t="s">
        <v>45</v>
      </c>
    </row>
    <row r="355" spans="1:16">
      <c r="A355">
        <v>353</v>
      </c>
      <c r="B355" t="s">
        <v>441</v>
      </c>
      <c r="C355" t="s">
        <v>445</v>
      </c>
      <c r="D355" t="s">
        <v>445</v>
      </c>
      <c r="E355" t="s">
        <v>72</v>
      </c>
      <c r="F355" t="s">
        <v>584</v>
      </c>
      <c r="G355">
        <v>10</v>
      </c>
      <c r="H355" s="27" t="s">
        <v>1038</v>
      </c>
      <c r="I355" s="27" t="s">
        <v>1109</v>
      </c>
      <c r="J355">
        <v>1416.25</v>
      </c>
      <c r="K355">
        <v>1362.61</v>
      </c>
      <c r="L355">
        <v>14162.5</v>
      </c>
      <c r="M355">
        <v>13626.099999999999</v>
      </c>
      <c r="N355">
        <v>536.400000000001</v>
      </c>
      <c r="O355" s="17">
        <f t="shared" si="5"/>
        <v>3.9365629196908949</v>
      </c>
      <c r="P355" t="s">
        <v>45</v>
      </c>
    </row>
    <row r="356" spans="1:16">
      <c r="A356">
        <v>354</v>
      </c>
      <c r="B356" t="s">
        <v>533</v>
      </c>
      <c r="C356" t="s">
        <v>534</v>
      </c>
      <c r="D356" t="s">
        <v>534</v>
      </c>
      <c r="E356" t="s">
        <v>72</v>
      </c>
      <c r="F356" t="s">
        <v>535</v>
      </c>
      <c r="G356">
        <v>4</v>
      </c>
      <c r="H356" s="27" t="s">
        <v>1092</v>
      </c>
      <c r="I356" s="27" t="s">
        <v>1109</v>
      </c>
      <c r="J356">
        <v>2886.68</v>
      </c>
      <c r="K356">
        <v>2863.25</v>
      </c>
      <c r="L356">
        <v>11546.72</v>
      </c>
      <c r="M356">
        <v>11453</v>
      </c>
      <c r="N356">
        <v>93.719999999999345</v>
      </c>
      <c r="O356" s="17">
        <f t="shared" si="5"/>
        <v>0.81830088186500782</v>
      </c>
      <c r="P356" t="s">
        <v>45</v>
      </c>
    </row>
    <row r="357" spans="1:16">
      <c r="A357">
        <v>355</v>
      </c>
      <c r="B357" t="s">
        <v>842</v>
      </c>
      <c r="C357" t="s">
        <v>843</v>
      </c>
      <c r="D357" t="s">
        <v>843</v>
      </c>
      <c r="E357" t="s">
        <v>72</v>
      </c>
      <c r="F357" t="s">
        <v>844</v>
      </c>
      <c r="G357">
        <v>12</v>
      </c>
      <c r="H357" s="27" t="s">
        <v>847</v>
      </c>
      <c r="I357" s="27" t="s">
        <v>1109</v>
      </c>
      <c r="J357">
        <v>1531.2</v>
      </c>
      <c r="K357">
        <v>972.8</v>
      </c>
      <c r="L357">
        <v>18374.400000000001</v>
      </c>
      <c r="M357">
        <v>11673.599999999999</v>
      </c>
      <c r="N357">
        <v>6700.8000000000011</v>
      </c>
      <c r="O357" s="17">
        <f t="shared" si="5"/>
        <v>57.401315789473699</v>
      </c>
      <c r="P357" t="s">
        <v>45</v>
      </c>
    </row>
    <row r="358" spans="1:16">
      <c r="A358">
        <v>356</v>
      </c>
      <c r="B358" t="s">
        <v>472</v>
      </c>
      <c r="C358" t="s">
        <v>468</v>
      </c>
      <c r="D358" t="s">
        <v>468</v>
      </c>
      <c r="E358" t="s">
        <v>72</v>
      </c>
      <c r="F358" t="s">
        <v>586</v>
      </c>
      <c r="G358">
        <v>2</v>
      </c>
      <c r="H358" s="27" t="s">
        <v>484</v>
      </c>
      <c r="I358" s="27" t="s">
        <v>1133</v>
      </c>
      <c r="J358">
        <v>1692.55</v>
      </c>
      <c r="K358">
        <v>870.15</v>
      </c>
      <c r="L358">
        <v>3385.1</v>
      </c>
      <c r="M358">
        <v>1740.3</v>
      </c>
      <c r="N358">
        <v>1644.8</v>
      </c>
      <c r="O358" s="17">
        <f t="shared" si="5"/>
        <v>94.512440383841877</v>
      </c>
      <c r="P358" t="s">
        <v>45</v>
      </c>
    </row>
    <row r="359" spans="1:16">
      <c r="A359">
        <v>357</v>
      </c>
      <c r="B359" t="s">
        <v>14</v>
      </c>
      <c r="C359" t="s">
        <v>85</v>
      </c>
      <c r="D359" t="s">
        <v>85</v>
      </c>
      <c r="E359" t="s">
        <v>72</v>
      </c>
      <c r="F359" t="s">
        <v>86</v>
      </c>
      <c r="G359">
        <v>2</v>
      </c>
      <c r="H359" s="27" t="s">
        <v>134</v>
      </c>
      <c r="I359" s="27" t="s">
        <v>1133</v>
      </c>
      <c r="J359">
        <v>954.95</v>
      </c>
      <c r="K359">
        <v>565.5</v>
      </c>
      <c r="L359">
        <v>1909.9</v>
      </c>
      <c r="M359">
        <v>1131</v>
      </c>
      <c r="N359">
        <v>778.90000000000009</v>
      </c>
      <c r="O359" s="17">
        <f t="shared" si="5"/>
        <v>68.868258178603014</v>
      </c>
      <c r="P359" t="s">
        <v>45</v>
      </c>
    </row>
    <row r="360" spans="1:16">
      <c r="A360">
        <v>358</v>
      </c>
      <c r="B360" t="s">
        <v>786</v>
      </c>
      <c r="C360" t="s">
        <v>787</v>
      </c>
      <c r="D360" t="s">
        <v>787</v>
      </c>
      <c r="E360" t="s">
        <v>72</v>
      </c>
      <c r="F360" t="s">
        <v>788</v>
      </c>
      <c r="G360">
        <v>100</v>
      </c>
      <c r="H360" s="27" t="s">
        <v>792</v>
      </c>
      <c r="I360" s="27" t="s">
        <v>1133</v>
      </c>
      <c r="J360">
        <v>164.15</v>
      </c>
      <c r="K360">
        <v>130.47999999999999</v>
      </c>
      <c r="L360">
        <v>16415</v>
      </c>
      <c r="M360">
        <v>13047.999999999998</v>
      </c>
      <c r="N360">
        <v>3367.0000000000018</v>
      </c>
      <c r="O360" s="17">
        <f t="shared" si="5"/>
        <v>25.804721030042934</v>
      </c>
      <c r="P360" t="s">
        <v>45</v>
      </c>
    </row>
    <row r="361" spans="1:16">
      <c r="A361">
        <v>359</v>
      </c>
      <c r="B361" t="s">
        <v>475</v>
      </c>
      <c r="C361" t="s">
        <v>476</v>
      </c>
      <c r="D361" t="s">
        <v>477</v>
      </c>
      <c r="E361" t="s">
        <v>72</v>
      </c>
      <c r="F361" t="s">
        <v>588</v>
      </c>
      <c r="G361">
        <v>25</v>
      </c>
      <c r="H361" s="27" t="s">
        <v>484</v>
      </c>
      <c r="I361" s="27" t="s">
        <v>1133</v>
      </c>
      <c r="J361">
        <v>1484.63</v>
      </c>
      <c r="K361">
        <v>1118.1199999999999</v>
      </c>
      <c r="L361">
        <v>37115.75</v>
      </c>
      <c r="M361">
        <v>27952.999999999996</v>
      </c>
      <c r="N361">
        <v>9162.7500000000055</v>
      </c>
      <c r="O361" s="17">
        <f t="shared" si="5"/>
        <v>32.779129252674153</v>
      </c>
      <c r="P361" t="s">
        <v>45</v>
      </c>
    </row>
    <row r="362" spans="1:16">
      <c r="A362">
        <v>360</v>
      </c>
      <c r="B362" t="s">
        <v>566</v>
      </c>
      <c r="C362" t="s">
        <v>567</v>
      </c>
      <c r="D362" t="s">
        <v>567</v>
      </c>
      <c r="E362" t="s">
        <v>72</v>
      </c>
      <c r="F362" t="s">
        <v>585</v>
      </c>
      <c r="G362">
        <v>25</v>
      </c>
      <c r="H362" s="27" t="s">
        <v>1043</v>
      </c>
      <c r="I362" s="27" t="s">
        <v>1133</v>
      </c>
      <c r="J362">
        <v>474.5</v>
      </c>
      <c r="K362">
        <v>471.43</v>
      </c>
      <c r="L362">
        <v>11862.5</v>
      </c>
      <c r="M362">
        <v>11785.75</v>
      </c>
      <c r="N362">
        <v>76.749999999999829</v>
      </c>
      <c r="O362" s="17">
        <f t="shared" si="5"/>
        <v>0.65121014784803533</v>
      </c>
      <c r="P362" t="s">
        <v>45</v>
      </c>
    </row>
    <row r="363" spans="1:16">
      <c r="A363">
        <v>361</v>
      </c>
      <c r="B363" t="s">
        <v>469</v>
      </c>
      <c r="C363" t="s">
        <v>467</v>
      </c>
      <c r="D363" t="s">
        <v>478</v>
      </c>
      <c r="E363" t="s">
        <v>72</v>
      </c>
      <c r="F363" t="s">
        <v>589</v>
      </c>
      <c r="G363">
        <v>10</v>
      </c>
      <c r="H363" s="27" t="s">
        <v>945</v>
      </c>
      <c r="I363" s="27" t="s">
        <v>1133</v>
      </c>
      <c r="J363">
        <v>838.82</v>
      </c>
      <c r="K363">
        <v>816.3</v>
      </c>
      <c r="L363">
        <v>8388.2000000000007</v>
      </c>
      <c r="M363">
        <v>8163</v>
      </c>
      <c r="N363">
        <v>225.20000000000095</v>
      </c>
      <c r="O363" s="17">
        <f t="shared" si="5"/>
        <v>2.7587896606639832</v>
      </c>
      <c r="P363" t="s">
        <v>45</v>
      </c>
    </row>
    <row r="364" spans="1:16">
      <c r="A364">
        <v>362</v>
      </c>
      <c r="B364" t="s">
        <v>469</v>
      </c>
      <c r="C364" t="s">
        <v>467</v>
      </c>
      <c r="D364" t="s">
        <v>478</v>
      </c>
      <c r="E364" t="s">
        <v>72</v>
      </c>
      <c r="F364" t="s">
        <v>589</v>
      </c>
      <c r="G364">
        <v>5</v>
      </c>
      <c r="H364" s="27" t="s">
        <v>916</v>
      </c>
      <c r="I364" s="27" t="s">
        <v>1133</v>
      </c>
      <c r="J364">
        <v>838.82</v>
      </c>
      <c r="K364">
        <v>940.75</v>
      </c>
      <c r="L364">
        <v>4194.1000000000004</v>
      </c>
      <c r="M364">
        <v>4703.75</v>
      </c>
      <c r="N364">
        <v>-509.64999999999975</v>
      </c>
      <c r="O364" s="17">
        <f t="shared" si="5"/>
        <v>-10.834972096731326</v>
      </c>
      <c r="P364" t="s">
        <v>45</v>
      </c>
    </row>
    <row r="365" spans="1:16">
      <c r="A365">
        <v>363</v>
      </c>
      <c r="B365" t="s">
        <v>469</v>
      </c>
      <c r="C365" t="s">
        <v>467</v>
      </c>
      <c r="D365" t="s">
        <v>478</v>
      </c>
      <c r="E365" t="s">
        <v>72</v>
      </c>
      <c r="F365" t="s">
        <v>589</v>
      </c>
      <c r="G365">
        <v>7</v>
      </c>
      <c r="H365" s="27" t="s">
        <v>832</v>
      </c>
      <c r="I365" s="27" t="s">
        <v>1133</v>
      </c>
      <c r="J365">
        <v>838.82</v>
      </c>
      <c r="K365">
        <v>1067.07</v>
      </c>
      <c r="L365">
        <v>5871.7400000000007</v>
      </c>
      <c r="M365">
        <v>7469.49</v>
      </c>
      <c r="N365">
        <v>-1597.7499999999991</v>
      </c>
      <c r="O365" s="17">
        <f t="shared" si="5"/>
        <v>-21.390349274180686</v>
      </c>
      <c r="P365" t="s">
        <v>45</v>
      </c>
    </row>
    <row r="366" spans="1:16">
      <c r="A366">
        <v>364</v>
      </c>
      <c r="B366" t="s">
        <v>469</v>
      </c>
      <c r="C366" t="s">
        <v>467</v>
      </c>
      <c r="D366" t="s">
        <v>478</v>
      </c>
      <c r="E366" t="s">
        <v>72</v>
      </c>
      <c r="F366" t="s">
        <v>589</v>
      </c>
      <c r="G366">
        <v>3</v>
      </c>
      <c r="H366" s="27" t="s">
        <v>834</v>
      </c>
      <c r="I366" s="27" t="s">
        <v>1133</v>
      </c>
      <c r="J366">
        <v>838.82</v>
      </c>
      <c r="K366">
        <v>1092.1500000000001</v>
      </c>
      <c r="L366">
        <v>2516.46</v>
      </c>
      <c r="M366">
        <v>3276.4500000000003</v>
      </c>
      <c r="N366">
        <v>-759.99000000000012</v>
      </c>
      <c r="O366" s="17">
        <f t="shared" si="5"/>
        <v>-23.195531749301836</v>
      </c>
      <c r="P366" t="s">
        <v>45</v>
      </c>
    </row>
    <row r="367" spans="1:16">
      <c r="A367">
        <v>365</v>
      </c>
      <c r="B367" t="s">
        <v>469</v>
      </c>
      <c r="C367" t="s">
        <v>467</v>
      </c>
      <c r="D367" t="s">
        <v>478</v>
      </c>
      <c r="E367" t="s">
        <v>72</v>
      </c>
      <c r="F367" t="s">
        <v>589</v>
      </c>
      <c r="G367">
        <v>8</v>
      </c>
      <c r="H367" s="27" t="s">
        <v>490</v>
      </c>
      <c r="I367" s="27" t="s">
        <v>1133</v>
      </c>
      <c r="J367">
        <v>838.82</v>
      </c>
      <c r="K367">
        <v>831.25</v>
      </c>
      <c r="L367">
        <v>6710.56</v>
      </c>
      <c r="M367">
        <v>6650</v>
      </c>
      <c r="N367">
        <v>60.5600000000004</v>
      </c>
      <c r="O367" s="17">
        <f t="shared" si="5"/>
        <v>0.9106766917293293</v>
      </c>
      <c r="P367" t="s">
        <v>45</v>
      </c>
    </row>
    <row r="368" spans="1:16">
      <c r="A368">
        <v>366</v>
      </c>
      <c r="B368" t="s">
        <v>469</v>
      </c>
      <c r="C368" t="s">
        <v>467</v>
      </c>
      <c r="D368" t="s">
        <v>478</v>
      </c>
      <c r="E368" t="s">
        <v>72</v>
      </c>
      <c r="F368" t="s">
        <v>589</v>
      </c>
      <c r="G368">
        <v>46</v>
      </c>
      <c r="H368" s="27" t="s">
        <v>479</v>
      </c>
      <c r="I368" s="27" t="s">
        <v>1133</v>
      </c>
      <c r="J368">
        <v>838.82</v>
      </c>
      <c r="K368">
        <v>841.74</v>
      </c>
      <c r="L368">
        <v>38585.72</v>
      </c>
      <c r="M368">
        <v>38720.04</v>
      </c>
      <c r="N368">
        <v>-134.31999999999812</v>
      </c>
      <c r="O368" s="17">
        <f t="shared" si="5"/>
        <v>-0.34690046807802399</v>
      </c>
      <c r="P368" t="s">
        <v>45</v>
      </c>
    </row>
    <row r="369" spans="1:16">
      <c r="A369">
        <v>367</v>
      </c>
      <c r="B369" t="s">
        <v>671</v>
      </c>
      <c r="C369" t="s">
        <v>672</v>
      </c>
      <c r="D369" t="s">
        <v>672</v>
      </c>
      <c r="E369" t="s">
        <v>72</v>
      </c>
      <c r="F369" t="s">
        <v>673</v>
      </c>
      <c r="G369">
        <v>1</v>
      </c>
      <c r="H369" s="27" t="s">
        <v>1059</v>
      </c>
      <c r="I369" s="27" t="s">
        <v>1133</v>
      </c>
      <c r="J369">
        <v>7073.25</v>
      </c>
      <c r="K369">
        <v>5646.35</v>
      </c>
      <c r="L369">
        <v>7073.25</v>
      </c>
      <c r="M369">
        <v>5646.35</v>
      </c>
      <c r="N369">
        <v>1426.8999999999996</v>
      </c>
      <c r="O369" s="17">
        <f t="shared" si="5"/>
        <v>25.271192894524773</v>
      </c>
      <c r="P369" t="s">
        <v>45</v>
      </c>
    </row>
    <row r="370" spans="1:16">
      <c r="A370">
        <v>368</v>
      </c>
      <c r="B370" t="s">
        <v>671</v>
      </c>
      <c r="C370" t="s">
        <v>672</v>
      </c>
      <c r="D370" t="s">
        <v>672</v>
      </c>
      <c r="E370" t="s">
        <v>72</v>
      </c>
      <c r="F370" t="s">
        <v>673</v>
      </c>
      <c r="G370">
        <v>4</v>
      </c>
      <c r="H370" s="27" t="s">
        <v>1042</v>
      </c>
      <c r="I370" s="27" t="s">
        <v>1133</v>
      </c>
      <c r="J370">
        <v>7073.25</v>
      </c>
      <c r="K370">
        <v>6095.94</v>
      </c>
      <c r="L370">
        <v>28293</v>
      </c>
      <c r="M370">
        <v>24383.759999999998</v>
      </c>
      <c r="N370">
        <v>3909.2400000000016</v>
      </c>
      <c r="O370" s="17">
        <f t="shared" si="5"/>
        <v>16.032145985688842</v>
      </c>
      <c r="P370" t="s">
        <v>45</v>
      </c>
    </row>
    <row r="371" spans="1:16">
      <c r="A371">
        <v>369</v>
      </c>
      <c r="B371" t="s">
        <v>218</v>
      </c>
      <c r="C371">
        <v>500408</v>
      </c>
      <c r="D371" t="s">
        <v>219</v>
      </c>
      <c r="E371" t="s">
        <v>72</v>
      </c>
      <c r="F371" t="s">
        <v>220</v>
      </c>
      <c r="G371">
        <v>1</v>
      </c>
      <c r="H371" s="27" t="s">
        <v>902</v>
      </c>
      <c r="I371" s="27" t="s">
        <v>1133</v>
      </c>
      <c r="J371">
        <v>8526.1</v>
      </c>
      <c r="K371">
        <v>5842.2</v>
      </c>
      <c r="L371">
        <v>8526.1</v>
      </c>
      <c r="M371">
        <v>5842.2</v>
      </c>
      <c r="N371">
        <v>2683.9000000000005</v>
      </c>
      <c r="O371" s="17">
        <f t="shared" si="5"/>
        <v>45.939885659511837</v>
      </c>
      <c r="P371" t="s">
        <v>45</v>
      </c>
    </row>
    <row r="372" spans="1:16">
      <c r="A372">
        <v>370</v>
      </c>
      <c r="B372" t="s">
        <v>194</v>
      </c>
      <c r="C372" t="s">
        <v>195</v>
      </c>
      <c r="D372" t="s">
        <v>195</v>
      </c>
      <c r="E372" t="s">
        <v>72</v>
      </c>
      <c r="F372" t="s">
        <v>196</v>
      </c>
      <c r="G372">
        <v>1</v>
      </c>
      <c r="H372" s="27" t="s">
        <v>1032</v>
      </c>
      <c r="I372" s="27" t="s">
        <v>1133</v>
      </c>
      <c r="J372">
        <v>14546.45</v>
      </c>
      <c r="K372">
        <v>14851.6</v>
      </c>
      <c r="L372">
        <v>14546.45</v>
      </c>
      <c r="M372">
        <v>14851.6</v>
      </c>
      <c r="N372">
        <v>-305.14999999999964</v>
      </c>
      <c r="O372" s="17">
        <f t="shared" si="5"/>
        <v>-2.0546607772899868</v>
      </c>
      <c r="P372" t="s">
        <v>45</v>
      </c>
    </row>
    <row r="373" spans="1:16">
      <c r="A373">
        <v>371</v>
      </c>
      <c r="B373" t="s">
        <v>194</v>
      </c>
      <c r="C373" t="s">
        <v>195</v>
      </c>
      <c r="D373" t="s">
        <v>195</v>
      </c>
      <c r="E373" t="s">
        <v>72</v>
      </c>
      <c r="F373" t="s">
        <v>196</v>
      </c>
      <c r="G373">
        <v>1</v>
      </c>
      <c r="H373" s="27" t="s">
        <v>1037</v>
      </c>
      <c r="I373" s="27" t="s">
        <v>1133</v>
      </c>
      <c r="J373">
        <v>14546.45</v>
      </c>
      <c r="K373">
        <v>15676.1</v>
      </c>
      <c r="L373">
        <v>14546.45</v>
      </c>
      <c r="M373">
        <v>15676.1</v>
      </c>
      <c r="N373">
        <v>-1129.6499999999996</v>
      </c>
      <c r="O373" s="17">
        <f t="shared" si="5"/>
        <v>-7.2061928668482578</v>
      </c>
      <c r="P373" t="s">
        <v>45</v>
      </c>
    </row>
    <row r="374" spans="1:16">
      <c r="A374">
        <v>372</v>
      </c>
      <c r="B374" t="s">
        <v>512</v>
      </c>
      <c r="C374" t="s">
        <v>511</v>
      </c>
      <c r="D374" t="s">
        <v>511</v>
      </c>
      <c r="E374" t="s">
        <v>72</v>
      </c>
      <c r="F374" t="s">
        <v>513</v>
      </c>
      <c r="G374">
        <v>5</v>
      </c>
      <c r="H374" s="27" t="s">
        <v>1087</v>
      </c>
      <c r="I374" s="27" t="s">
        <v>1133</v>
      </c>
      <c r="J374">
        <v>3262</v>
      </c>
      <c r="K374">
        <v>3091.5</v>
      </c>
      <c r="L374">
        <v>16310</v>
      </c>
      <c r="M374">
        <v>15457.5</v>
      </c>
      <c r="N374">
        <v>852.5</v>
      </c>
      <c r="O374" s="17">
        <f t="shared" si="5"/>
        <v>5.5151221090085727</v>
      </c>
      <c r="P374" t="s">
        <v>45</v>
      </c>
    </row>
    <row r="375" spans="1:16">
      <c r="A375">
        <v>373</v>
      </c>
      <c r="B375" t="s">
        <v>623</v>
      </c>
      <c r="C375" t="s">
        <v>624</v>
      </c>
      <c r="D375" t="s">
        <v>624</v>
      </c>
      <c r="E375" t="s">
        <v>72</v>
      </c>
      <c r="F375" t="s">
        <v>625</v>
      </c>
      <c r="G375">
        <v>15</v>
      </c>
      <c r="H375" s="27" t="s">
        <v>956</v>
      </c>
      <c r="I375" s="27" t="s">
        <v>1134</v>
      </c>
      <c r="J375">
        <v>1612.87</v>
      </c>
      <c r="K375">
        <v>1430.71</v>
      </c>
      <c r="L375">
        <v>24193.05</v>
      </c>
      <c r="M375">
        <v>21460.65</v>
      </c>
      <c r="N375">
        <v>2732.3999999999978</v>
      </c>
      <c r="O375" s="17">
        <f t="shared" si="5"/>
        <v>12.732139986440288</v>
      </c>
      <c r="P375" t="s">
        <v>45</v>
      </c>
    </row>
    <row r="376" spans="1:16">
      <c r="A376">
        <v>374</v>
      </c>
      <c r="B376" t="s">
        <v>623</v>
      </c>
      <c r="C376" t="s">
        <v>624</v>
      </c>
      <c r="D376" t="s">
        <v>624</v>
      </c>
      <c r="E376" t="s">
        <v>72</v>
      </c>
      <c r="F376" t="s">
        <v>625</v>
      </c>
      <c r="G376">
        <v>4</v>
      </c>
      <c r="H376" s="27" t="s">
        <v>805</v>
      </c>
      <c r="I376" s="27" t="s">
        <v>1134</v>
      </c>
      <c r="J376">
        <v>1612.87</v>
      </c>
      <c r="K376">
        <v>1654</v>
      </c>
      <c r="L376">
        <v>6451.48</v>
      </c>
      <c r="M376">
        <v>6616</v>
      </c>
      <c r="N376">
        <v>-164.52000000000044</v>
      </c>
      <c r="O376" s="17">
        <f t="shared" si="5"/>
        <v>-2.4866989117291483</v>
      </c>
      <c r="P376" t="s">
        <v>45</v>
      </c>
    </row>
    <row r="377" spans="1:16">
      <c r="A377">
        <v>375</v>
      </c>
      <c r="B377" t="s">
        <v>623</v>
      </c>
      <c r="C377" t="s">
        <v>624</v>
      </c>
      <c r="D377" t="s">
        <v>624</v>
      </c>
      <c r="E377" t="s">
        <v>72</v>
      </c>
      <c r="F377" t="s">
        <v>625</v>
      </c>
      <c r="G377">
        <v>3</v>
      </c>
      <c r="H377" s="27" t="s">
        <v>767</v>
      </c>
      <c r="I377" s="27" t="s">
        <v>1134</v>
      </c>
      <c r="J377">
        <v>1612.87</v>
      </c>
      <c r="K377">
        <v>1765.85</v>
      </c>
      <c r="L377">
        <v>4838.6099999999997</v>
      </c>
      <c r="M377">
        <v>5297.5499999999993</v>
      </c>
      <c r="N377">
        <v>-458.94000000000005</v>
      </c>
      <c r="O377" s="17">
        <f t="shared" si="5"/>
        <v>-8.6632499929212585</v>
      </c>
      <c r="P377" t="s">
        <v>45</v>
      </c>
    </row>
    <row r="378" spans="1:16">
      <c r="A378">
        <v>376</v>
      </c>
      <c r="B378" t="s">
        <v>623</v>
      </c>
      <c r="C378" t="s">
        <v>624</v>
      </c>
      <c r="D378" t="s">
        <v>624</v>
      </c>
      <c r="E378" t="s">
        <v>72</v>
      </c>
      <c r="F378" t="s">
        <v>625</v>
      </c>
      <c r="G378">
        <v>2</v>
      </c>
      <c r="H378" s="27" t="s">
        <v>770</v>
      </c>
      <c r="I378" s="27" t="s">
        <v>1134</v>
      </c>
      <c r="J378">
        <v>1612.87</v>
      </c>
      <c r="K378">
        <v>1806.65</v>
      </c>
      <c r="L378">
        <v>3225.74</v>
      </c>
      <c r="M378">
        <v>3613.3</v>
      </c>
      <c r="N378">
        <v>-387.5600000000004</v>
      </c>
      <c r="O378" s="17">
        <f t="shared" si="5"/>
        <v>-10.725929205988995</v>
      </c>
      <c r="P378" t="s">
        <v>45</v>
      </c>
    </row>
    <row r="379" spans="1:16">
      <c r="A379">
        <v>377</v>
      </c>
      <c r="B379" t="s">
        <v>623</v>
      </c>
      <c r="C379" t="s">
        <v>624</v>
      </c>
      <c r="D379" t="s">
        <v>624</v>
      </c>
      <c r="E379" t="s">
        <v>72</v>
      </c>
      <c r="F379" t="s">
        <v>625</v>
      </c>
      <c r="G379">
        <v>2</v>
      </c>
      <c r="H379" s="27" t="s">
        <v>733</v>
      </c>
      <c r="I379" s="27" t="s">
        <v>1134</v>
      </c>
      <c r="J379">
        <v>1612.87</v>
      </c>
      <c r="K379">
        <v>1777.65</v>
      </c>
      <c r="L379">
        <v>3225.74</v>
      </c>
      <c r="M379">
        <v>3555.3</v>
      </c>
      <c r="N379">
        <v>-329.5600000000004</v>
      </c>
      <c r="O379" s="17">
        <f t="shared" si="5"/>
        <v>-9.2695412482772301</v>
      </c>
      <c r="P379" t="s">
        <v>45</v>
      </c>
    </row>
    <row r="380" spans="1:16">
      <c r="A380">
        <v>378</v>
      </c>
      <c r="B380" t="s">
        <v>623</v>
      </c>
      <c r="C380" t="s">
        <v>624</v>
      </c>
      <c r="D380" t="s">
        <v>624</v>
      </c>
      <c r="E380" t="s">
        <v>72</v>
      </c>
      <c r="F380" t="s">
        <v>625</v>
      </c>
      <c r="G380">
        <v>2</v>
      </c>
      <c r="H380" s="27" t="s">
        <v>718</v>
      </c>
      <c r="I380" s="27" t="s">
        <v>1134</v>
      </c>
      <c r="J380">
        <v>1612.87</v>
      </c>
      <c r="K380">
        <v>1783.05</v>
      </c>
      <c r="L380">
        <v>3225.74</v>
      </c>
      <c r="M380">
        <v>3566.1</v>
      </c>
      <c r="N380">
        <v>-340.36000000000013</v>
      </c>
      <c r="O380" s="17">
        <f t="shared" si="5"/>
        <v>-9.5443201256274399</v>
      </c>
      <c r="P380" t="s">
        <v>45</v>
      </c>
    </row>
    <row r="381" spans="1:16">
      <c r="A381">
        <v>379</v>
      </c>
      <c r="B381" t="s">
        <v>623</v>
      </c>
      <c r="C381" t="s">
        <v>624</v>
      </c>
      <c r="D381" t="s">
        <v>624</v>
      </c>
      <c r="E381" t="s">
        <v>72</v>
      </c>
      <c r="F381" t="s">
        <v>625</v>
      </c>
      <c r="G381">
        <v>2</v>
      </c>
      <c r="H381" s="27" t="s">
        <v>637</v>
      </c>
      <c r="I381" s="27" t="s">
        <v>1134</v>
      </c>
      <c r="J381">
        <v>1612.87</v>
      </c>
      <c r="K381">
        <v>1531.4</v>
      </c>
      <c r="L381">
        <v>3225.74</v>
      </c>
      <c r="M381">
        <v>3062.8</v>
      </c>
      <c r="N381">
        <v>162.9399999999996</v>
      </c>
      <c r="O381" s="17">
        <f t="shared" si="5"/>
        <v>5.3199686561316311</v>
      </c>
      <c r="P381" t="s">
        <v>45</v>
      </c>
    </row>
    <row r="382" spans="1:16">
      <c r="A382">
        <v>380</v>
      </c>
      <c r="B382" t="s">
        <v>623</v>
      </c>
      <c r="C382" t="s">
        <v>624</v>
      </c>
      <c r="D382" t="s">
        <v>624</v>
      </c>
      <c r="E382" t="s">
        <v>72</v>
      </c>
      <c r="F382" t="s">
        <v>625</v>
      </c>
      <c r="G382">
        <v>3</v>
      </c>
      <c r="H382" s="27" t="s">
        <v>636</v>
      </c>
      <c r="I382" s="27" t="s">
        <v>1134</v>
      </c>
      <c r="J382">
        <v>1612.87</v>
      </c>
      <c r="K382">
        <v>1547</v>
      </c>
      <c r="L382">
        <v>4838.6099999999997</v>
      </c>
      <c r="M382">
        <v>4641</v>
      </c>
      <c r="N382">
        <v>197.60999999999967</v>
      </c>
      <c r="O382" s="17">
        <f t="shared" si="5"/>
        <v>4.257918552036192</v>
      </c>
      <c r="P382" t="s">
        <v>45</v>
      </c>
    </row>
    <row r="383" spans="1:16">
      <c r="A383">
        <v>381</v>
      </c>
      <c r="B383" t="s">
        <v>623</v>
      </c>
      <c r="C383" t="s">
        <v>624</v>
      </c>
      <c r="D383" t="s">
        <v>624</v>
      </c>
      <c r="E383" t="s">
        <v>72</v>
      </c>
      <c r="F383" t="s">
        <v>625</v>
      </c>
      <c r="G383">
        <v>12</v>
      </c>
      <c r="H383" s="27" t="s">
        <v>626</v>
      </c>
      <c r="I383" s="27" t="s">
        <v>1134</v>
      </c>
      <c r="J383">
        <v>1612.87</v>
      </c>
      <c r="K383">
        <v>1552.97</v>
      </c>
      <c r="L383">
        <v>19354.439999999999</v>
      </c>
      <c r="M383">
        <v>18635.64</v>
      </c>
      <c r="N383">
        <v>718.79999999999836</v>
      </c>
      <c r="O383" s="17">
        <f t="shared" si="5"/>
        <v>3.8571253791122726</v>
      </c>
      <c r="P383" t="s">
        <v>45</v>
      </c>
    </row>
    <row r="384" spans="1:16">
      <c r="A384">
        <v>382</v>
      </c>
      <c r="B384" t="s">
        <v>13</v>
      </c>
      <c r="C384" t="s">
        <v>83</v>
      </c>
      <c r="D384" t="s">
        <v>246</v>
      </c>
      <c r="E384" t="s">
        <v>76</v>
      </c>
      <c r="F384" t="s">
        <v>84</v>
      </c>
      <c r="G384">
        <v>13</v>
      </c>
      <c r="H384" s="27" t="s">
        <v>1121</v>
      </c>
      <c r="I384" s="27" t="s">
        <v>1134</v>
      </c>
      <c r="J384">
        <v>1339.53</v>
      </c>
      <c r="K384">
        <v>1165.6500000000001</v>
      </c>
      <c r="L384">
        <v>17413.89</v>
      </c>
      <c r="M384">
        <v>15153.45</v>
      </c>
      <c r="N384">
        <v>2260.4399999999987</v>
      </c>
      <c r="O384" s="17">
        <f t="shared" si="5"/>
        <v>14.916999099215021</v>
      </c>
      <c r="P384" t="s">
        <v>45</v>
      </c>
    </row>
    <row r="385" spans="1:16">
      <c r="A385">
        <v>383</v>
      </c>
      <c r="B385" t="s">
        <v>13</v>
      </c>
      <c r="C385" t="s">
        <v>83</v>
      </c>
      <c r="D385" t="s">
        <v>246</v>
      </c>
      <c r="E385" t="s">
        <v>76</v>
      </c>
      <c r="F385" t="s">
        <v>84</v>
      </c>
      <c r="G385">
        <v>2</v>
      </c>
      <c r="H385" s="27" t="s">
        <v>1108</v>
      </c>
      <c r="I385" s="27" t="s">
        <v>1134</v>
      </c>
      <c r="J385">
        <v>1339.53</v>
      </c>
      <c r="K385">
        <v>1301.25</v>
      </c>
      <c r="L385">
        <v>2679.06</v>
      </c>
      <c r="M385">
        <v>2602.5</v>
      </c>
      <c r="N385">
        <v>76.559999999999945</v>
      </c>
      <c r="O385" s="17">
        <f t="shared" si="5"/>
        <v>2.941786743515848</v>
      </c>
      <c r="P385" t="s">
        <v>45</v>
      </c>
    </row>
    <row r="386" spans="1:16">
      <c r="A386">
        <v>384</v>
      </c>
      <c r="B386" t="s">
        <v>627</v>
      </c>
      <c r="C386" t="s">
        <v>683</v>
      </c>
      <c r="D386" t="s">
        <v>628</v>
      </c>
      <c r="E386" t="s">
        <v>72</v>
      </c>
      <c r="F386" t="s">
        <v>629</v>
      </c>
      <c r="G386">
        <v>62</v>
      </c>
      <c r="H386" s="27" t="s">
        <v>1046</v>
      </c>
      <c r="I386" s="27" t="s">
        <v>1134</v>
      </c>
      <c r="J386">
        <v>393</v>
      </c>
      <c r="K386">
        <v>350.91</v>
      </c>
      <c r="L386">
        <v>24366</v>
      </c>
      <c r="M386">
        <v>21756.420000000002</v>
      </c>
      <c r="N386">
        <v>2609.5799999999986</v>
      </c>
      <c r="O386" s="17">
        <f t="shared" si="5"/>
        <v>11.994528511584159</v>
      </c>
      <c r="P386" t="s">
        <v>45</v>
      </c>
    </row>
    <row r="387" spans="1:16">
      <c r="A387">
        <v>385</v>
      </c>
      <c r="B387" t="s">
        <v>627</v>
      </c>
      <c r="C387" t="s">
        <v>683</v>
      </c>
      <c r="D387" t="s">
        <v>711</v>
      </c>
      <c r="E387" t="s">
        <v>72</v>
      </c>
      <c r="F387" t="s">
        <v>629</v>
      </c>
      <c r="G387">
        <v>2</v>
      </c>
      <c r="H387" s="27" t="s">
        <v>770</v>
      </c>
      <c r="I387" s="27" t="s">
        <v>1134</v>
      </c>
      <c r="J387">
        <v>393</v>
      </c>
      <c r="K387">
        <v>369.98</v>
      </c>
      <c r="L387">
        <v>786</v>
      </c>
      <c r="M387">
        <v>739.96</v>
      </c>
      <c r="N387">
        <v>46.039999999999964</v>
      </c>
      <c r="O387" s="17">
        <f t="shared" si="5"/>
        <v>6.221957943672626</v>
      </c>
      <c r="P387" t="s">
        <v>45</v>
      </c>
    </row>
    <row r="388" spans="1:16">
      <c r="A388">
        <v>386</v>
      </c>
      <c r="B388" t="s">
        <v>627</v>
      </c>
      <c r="C388" t="s">
        <v>683</v>
      </c>
      <c r="D388" t="s">
        <v>711</v>
      </c>
      <c r="E388" t="s">
        <v>72</v>
      </c>
      <c r="F388" t="s">
        <v>629</v>
      </c>
      <c r="G388">
        <v>11</v>
      </c>
      <c r="H388" s="27" t="s">
        <v>737</v>
      </c>
      <c r="I388" s="27" t="s">
        <v>1134</v>
      </c>
      <c r="J388">
        <v>393</v>
      </c>
      <c r="K388">
        <v>364.5</v>
      </c>
      <c r="L388">
        <v>4323</v>
      </c>
      <c r="M388">
        <v>4009.5</v>
      </c>
      <c r="N388">
        <v>313.5</v>
      </c>
      <c r="O388" s="17">
        <f t="shared" ref="O388:O451" si="6">N388/M388%</f>
        <v>7.8189300411522638</v>
      </c>
      <c r="P388" t="s">
        <v>45</v>
      </c>
    </row>
    <row r="389" spans="1:16">
      <c r="A389">
        <v>387</v>
      </c>
      <c r="B389" t="s">
        <v>68</v>
      </c>
      <c r="C389">
        <v>500235</v>
      </c>
      <c r="D389" t="s">
        <v>98</v>
      </c>
      <c r="E389" t="s">
        <v>72</v>
      </c>
      <c r="F389" t="s">
        <v>99</v>
      </c>
      <c r="G389">
        <v>40</v>
      </c>
      <c r="H389" s="27" t="s">
        <v>1043</v>
      </c>
      <c r="I389" s="27" t="s">
        <v>1134</v>
      </c>
      <c r="J389">
        <v>294.13</v>
      </c>
      <c r="K389">
        <v>299.2</v>
      </c>
      <c r="L389">
        <v>11765.2</v>
      </c>
      <c r="M389">
        <v>11968</v>
      </c>
      <c r="N389">
        <v>-202.79999999999973</v>
      </c>
      <c r="O389" s="17">
        <f t="shared" si="6"/>
        <v>-1.6945187165775377</v>
      </c>
      <c r="P389" t="s">
        <v>45</v>
      </c>
    </row>
    <row r="390" spans="1:16">
      <c r="A390">
        <v>388</v>
      </c>
      <c r="B390" t="s">
        <v>68</v>
      </c>
      <c r="C390">
        <v>500235</v>
      </c>
      <c r="D390" t="s">
        <v>98</v>
      </c>
      <c r="E390" t="s">
        <v>72</v>
      </c>
      <c r="F390" t="s">
        <v>99</v>
      </c>
      <c r="G390">
        <v>20</v>
      </c>
      <c r="H390" s="27" t="s">
        <v>1044</v>
      </c>
      <c r="I390" s="27" t="s">
        <v>1134</v>
      </c>
      <c r="J390">
        <v>294.13</v>
      </c>
      <c r="K390">
        <v>308.95</v>
      </c>
      <c r="L390">
        <v>5882.6</v>
      </c>
      <c r="M390">
        <v>6179</v>
      </c>
      <c r="N390">
        <v>-296.39999999999986</v>
      </c>
      <c r="O390" s="17">
        <f t="shared" si="6"/>
        <v>-4.7968927010843156</v>
      </c>
      <c r="P390" t="s">
        <v>45</v>
      </c>
    </row>
    <row r="391" spans="1:16">
      <c r="A391">
        <v>389</v>
      </c>
      <c r="B391" t="s">
        <v>68</v>
      </c>
      <c r="C391">
        <v>500235</v>
      </c>
      <c r="D391" t="s">
        <v>98</v>
      </c>
      <c r="E391" t="s">
        <v>72</v>
      </c>
      <c r="F391" t="s">
        <v>99</v>
      </c>
      <c r="G391">
        <v>120</v>
      </c>
      <c r="H391" s="27" t="s">
        <v>928</v>
      </c>
      <c r="I391" s="27" t="s">
        <v>1134</v>
      </c>
      <c r="J391">
        <v>294.13</v>
      </c>
      <c r="K391">
        <v>281</v>
      </c>
      <c r="L391">
        <v>35295.599999999999</v>
      </c>
      <c r="M391">
        <v>33720</v>
      </c>
      <c r="N391">
        <v>1575.5999999999995</v>
      </c>
      <c r="O391" s="17">
        <f t="shared" si="6"/>
        <v>4.6725978647686821</v>
      </c>
      <c r="P391" t="s">
        <v>45</v>
      </c>
    </row>
    <row r="392" spans="1:16">
      <c r="A392">
        <v>390</v>
      </c>
      <c r="B392" t="s">
        <v>68</v>
      </c>
      <c r="C392">
        <v>500235</v>
      </c>
      <c r="D392" t="s">
        <v>98</v>
      </c>
      <c r="E392" t="s">
        <v>72</v>
      </c>
      <c r="F392" t="s">
        <v>99</v>
      </c>
      <c r="G392">
        <v>30</v>
      </c>
      <c r="H392" s="27" t="s">
        <v>864</v>
      </c>
      <c r="I392" s="27" t="s">
        <v>1134</v>
      </c>
      <c r="J392">
        <v>294.13</v>
      </c>
      <c r="K392">
        <v>369.8</v>
      </c>
      <c r="L392">
        <v>8823.9</v>
      </c>
      <c r="M392">
        <v>11094</v>
      </c>
      <c r="N392">
        <v>-2270.1000000000004</v>
      </c>
      <c r="O392" s="17">
        <f t="shared" si="6"/>
        <v>-20.462412114656576</v>
      </c>
      <c r="P392" t="s">
        <v>45</v>
      </c>
    </row>
    <row r="393" spans="1:16">
      <c r="A393">
        <v>391</v>
      </c>
      <c r="B393" t="s">
        <v>68</v>
      </c>
      <c r="C393">
        <v>500235</v>
      </c>
      <c r="D393" t="s">
        <v>98</v>
      </c>
      <c r="E393" t="s">
        <v>72</v>
      </c>
      <c r="F393" t="s">
        <v>99</v>
      </c>
      <c r="G393">
        <v>5</v>
      </c>
      <c r="H393" s="27" t="s">
        <v>790</v>
      </c>
      <c r="I393" s="27" t="s">
        <v>1134</v>
      </c>
      <c r="J393">
        <v>294.13</v>
      </c>
      <c r="K393">
        <v>384.26</v>
      </c>
      <c r="L393">
        <v>1470.65</v>
      </c>
      <c r="M393">
        <v>1921.3</v>
      </c>
      <c r="N393">
        <v>-450.65</v>
      </c>
      <c r="O393" s="17">
        <f t="shared" si="6"/>
        <v>-23.455472856919791</v>
      </c>
      <c r="P393" t="s">
        <v>45</v>
      </c>
    </row>
    <row r="394" spans="1:16">
      <c r="A394">
        <v>392</v>
      </c>
      <c r="B394" t="s">
        <v>530</v>
      </c>
      <c r="C394" t="s">
        <v>531</v>
      </c>
      <c r="D394" t="s">
        <v>531</v>
      </c>
      <c r="E394" t="s">
        <v>72</v>
      </c>
      <c r="F394" t="s">
        <v>532</v>
      </c>
      <c r="G394">
        <v>40</v>
      </c>
      <c r="H394" s="27" t="s">
        <v>1093</v>
      </c>
      <c r="I394" s="27" t="s">
        <v>1135</v>
      </c>
      <c r="J394">
        <v>602.13</v>
      </c>
      <c r="K394">
        <v>606.79999999999995</v>
      </c>
      <c r="L394">
        <v>24085.200000000001</v>
      </c>
      <c r="M394">
        <v>24272</v>
      </c>
      <c r="N394">
        <v>-186.79999999999836</v>
      </c>
      <c r="O394" s="17">
        <f t="shared" si="6"/>
        <v>-0.76961107448911648</v>
      </c>
      <c r="P394" t="s">
        <v>45</v>
      </c>
    </row>
    <row r="395" spans="1:16">
      <c r="A395">
        <v>393</v>
      </c>
      <c r="B395" t="s">
        <v>649</v>
      </c>
      <c r="C395" t="s">
        <v>648</v>
      </c>
      <c r="D395" t="s">
        <v>648</v>
      </c>
      <c r="E395" t="s">
        <v>72</v>
      </c>
      <c r="F395" t="s">
        <v>975</v>
      </c>
      <c r="G395">
        <v>110</v>
      </c>
      <c r="H395" s="27" t="s">
        <v>1087</v>
      </c>
      <c r="I395" s="27" t="s">
        <v>1135</v>
      </c>
      <c r="J395">
        <v>149.91</v>
      </c>
      <c r="K395">
        <v>123.03</v>
      </c>
      <c r="L395">
        <v>16490.099999999999</v>
      </c>
      <c r="M395">
        <v>13533.3</v>
      </c>
      <c r="N395">
        <v>2956.7999999999993</v>
      </c>
      <c r="O395" s="17">
        <f t="shared" si="6"/>
        <v>21.848329675688852</v>
      </c>
      <c r="P395" t="s">
        <v>45</v>
      </c>
    </row>
    <row r="396" spans="1:16">
      <c r="A396">
        <v>394</v>
      </c>
      <c r="B396" t="s">
        <v>12</v>
      </c>
      <c r="C396" t="s">
        <v>410</v>
      </c>
      <c r="D396" t="s">
        <v>81</v>
      </c>
      <c r="E396" t="s">
        <v>72</v>
      </c>
      <c r="F396" t="s">
        <v>82</v>
      </c>
      <c r="G396">
        <v>5</v>
      </c>
      <c r="H396" s="27" t="s">
        <v>1097</v>
      </c>
      <c r="I396" s="27" t="s">
        <v>1135</v>
      </c>
      <c r="J396">
        <v>815.09</v>
      </c>
      <c r="K396">
        <v>733.95</v>
      </c>
      <c r="L396">
        <v>4075.4500000000003</v>
      </c>
      <c r="M396">
        <v>3669.75</v>
      </c>
      <c r="N396">
        <v>405.69999999999993</v>
      </c>
      <c r="O396" s="17">
        <f t="shared" si="6"/>
        <v>11.055248995163158</v>
      </c>
      <c r="P396" t="s">
        <v>45</v>
      </c>
    </row>
    <row r="397" spans="1:16">
      <c r="A397">
        <v>395</v>
      </c>
      <c r="B397" t="s">
        <v>12</v>
      </c>
      <c r="C397" t="s">
        <v>410</v>
      </c>
      <c r="D397" t="s">
        <v>81</v>
      </c>
      <c r="E397" t="s">
        <v>72</v>
      </c>
      <c r="F397" t="s">
        <v>82</v>
      </c>
      <c r="G397">
        <v>35</v>
      </c>
      <c r="H397" s="27" t="s">
        <v>1098</v>
      </c>
      <c r="I397" s="27" t="s">
        <v>1135</v>
      </c>
      <c r="J397">
        <v>815.09</v>
      </c>
      <c r="K397">
        <v>745.38</v>
      </c>
      <c r="L397">
        <v>28528.15</v>
      </c>
      <c r="M397">
        <v>26088.3</v>
      </c>
      <c r="N397">
        <v>2439.8500000000013</v>
      </c>
      <c r="O397" s="17">
        <f t="shared" si="6"/>
        <v>9.3522766910837483</v>
      </c>
      <c r="P397" t="s">
        <v>45</v>
      </c>
    </row>
    <row r="398" spans="1:16">
      <c r="A398">
        <v>396</v>
      </c>
      <c r="B398" t="s">
        <v>671</v>
      </c>
      <c r="C398" t="s">
        <v>672</v>
      </c>
      <c r="D398" t="s">
        <v>672</v>
      </c>
      <c r="E398" t="s">
        <v>72</v>
      </c>
      <c r="F398" t="s">
        <v>673</v>
      </c>
      <c r="G398">
        <v>1</v>
      </c>
      <c r="H398" s="27" t="s">
        <v>1042</v>
      </c>
      <c r="I398" s="27" t="s">
        <v>1135</v>
      </c>
      <c r="J398">
        <v>6196.8</v>
      </c>
      <c r="K398">
        <v>6095.94</v>
      </c>
      <c r="L398">
        <v>6196.8</v>
      </c>
      <c r="M398">
        <v>6095.94</v>
      </c>
      <c r="N398">
        <v>100.86000000000058</v>
      </c>
      <c r="O398" s="17">
        <f t="shared" si="6"/>
        <v>1.6545438439354816</v>
      </c>
      <c r="P398" t="s">
        <v>45</v>
      </c>
    </row>
    <row r="399" spans="1:16">
      <c r="A399">
        <v>397</v>
      </c>
      <c r="B399" t="s">
        <v>671</v>
      </c>
      <c r="C399" t="s">
        <v>672</v>
      </c>
      <c r="D399" t="s">
        <v>672</v>
      </c>
      <c r="E399" t="s">
        <v>72</v>
      </c>
      <c r="F399" t="s">
        <v>673</v>
      </c>
      <c r="G399">
        <v>1</v>
      </c>
      <c r="H399" s="27" t="s">
        <v>1044</v>
      </c>
      <c r="I399" s="27" t="s">
        <v>1135</v>
      </c>
      <c r="J399">
        <v>6196.8</v>
      </c>
      <c r="K399">
        <v>6612.85</v>
      </c>
      <c r="L399">
        <v>6196.8</v>
      </c>
      <c r="M399">
        <v>6612.85</v>
      </c>
      <c r="N399">
        <v>-416.05000000000018</v>
      </c>
      <c r="O399" s="17">
        <f t="shared" si="6"/>
        <v>-6.2915384440899187</v>
      </c>
      <c r="P399" t="s">
        <v>45</v>
      </c>
    </row>
    <row r="400" spans="1:16">
      <c r="A400">
        <v>398</v>
      </c>
      <c r="B400" t="s">
        <v>671</v>
      </c>
      <c r="C400" t="s">
        <v>672</v>
      </c>
      <c r="D400" t="s">
        <v>672</v>
      </c>
      <c r="E400" t="s">
        <v>72</v>
      </c>
      <c r="F400" t="s">
        <v>673</v>
      </c>
      <c r="G400">
        <v>3</v>
      </c>
      <c r="H400" s="27" t="s">
        <v>1032</v>
      </c>
      <c r="I400" s="27" t="s">
        <v>1135</v>
      </c>
      <c r="J400">
        <v>6196.8</v>
      </c>
      <c r="K400">
        <v>6710.9</v>
      </c>
      <c r="L400">
        <v>18590.400000000001</v>
      </c>
      <c r="M400">
        <v>20132.699999999997</v>
      </c>
      <c r="N400">
        <v>-1542.2999999999984</v>
      </c>
      <c r="O400" s="17">
        <f t="shared" si="6"/>
        <v>-7.6606714449626656</v>
      </c>
      <c r="P400" t="s">
        <v>45</v>
      </c>
    </row>
    <row r="401" spans="1:16">
      <c r="A401">
        <v>399</v>
      </c>
      <c r="B401" t="s">
        <v>925</v>
      </c>
      <c r="C401" t="s">
        <v>926</v>
      </c>
      <c r="D401" t="s">
        <v>926</v>
      </c>
      <c r="E401" t="s">
        <v>72</v>
      </c>
      <c r="F401" t="s">
        <v>927</v>
      </c>
      <c r="G401">
        <v>10</v>
      </c>
      <c r="H401" s="27" t="s">
        <v>1093</v>
      </c>
      <c r="I401" s="27" t="s">
        <v>1135</v>
      </c>
      <c r="J401">
        <v>816.5</v>
      </c>
      <c r="K401">
        <v>776.18</v>
      </c>
      <c r="L401">
        <v>8165</v>
      </c>
      <c r="M401">
        <v>7761.7999999999993</v>
      </c>
      <c r="N401">
        <v>403.2000000000005</v>
      </c>
      <c r="O401" s="17">
        <f t="shared" si="6"/>
        <v>5.1946713391223751</v>
      </c>
      <c r="P401" t="s">
        <v>45</v>
      </c>
    </row>
    <row r="402" spans="1:16">
      <c r="A402">
        <v>400</v>
      </c>
      <c r="B402" t="s">
        <v>925</v>
      </c>
      <c r="C402" t="s">
        <v>926</v>
      </c>
      <c r="D402" t="s">
        <v>926</v>
      </c>
      <c r="E402" t="s">
        <v>72</v>
      </c>
      <c r="F402" t="s">
        <v>927</v>
      </c>
      <c r="G402">
        <v>4</v>
      </c>
      <c r="H402" s="27" t="s">
        <v>1094</v>
      </c>
      <c r="I402" s="27" t="s">
        <v>1135</v>
      </c>
      <c r="J402">
        <v>816.5</v>
      </c>
      <c r="K402">
        <v>827.1</v>
      </c>
      <c r="L402">
        <v>3266</v>
      </c>
      <c r="M402">
        <v>3308.4</v>
      </c>
      <c r="N402">
        <v>-42.400000000000091</v>
      </c>
      <c r="O402" s="17">
        <f t="shared" si="6"/>
        <v>-1.2815862652641787</v>
      </c>
      <c r="P402" t="s">
        <v>45</v>
      </c>
    </row>
    <row r="403" spans="1:16">
      <c r="A403">
        <v>401</v>
      </c>
      <c r="B403" t="s">
        <v>925</v>
      </c>
      <c r="C403" t="s">
        <v>926</v>
      </c>
      <c r="D403" t="s">
        <v>926</v>
      </c>
      <c r="E403" t="s">
        <v>72</v>
      </c>
      <c r="F403" t="s">
        <v>927</v>
      </c>
      <c r="G403">
        <v>4</v>
      </c>
      <c r="H403" s="27" t="s">
        <v>1098</v>
      </c>
      <c r="I403" s="27" t="s">
        <v>1135</v>
      </c>
      <c r="J403">
        <v>816.5</v>
      </c>
      <c r="K403">
        <v>862.25</v>
      </c>
      <c r="L403">
        <v>3266</v>
      </c>
      <c r="M403">
        <v>3449</v>
      </c>
      <c r="N403">
        <v>-183</v>
      </c>
      <c r="O403" s="17">
        <f t="shared" si="6"/>
        <v>-5.3058857639895622</v>
      </c>
      <c r="P403" t="s">
        <v>45</v>
      </c>
    </row>
    <row r="404" spans="1:16">
      <c r="A404">
        <v>402</v>
      </c>
      <c r="B404" t="s">
        <v>925</v>
      </c>
      <c r="C404" t="s">
        <v>926</v>
      </c>
      <c r="D404" t="s">
        <v>926</v>
      </c>
      <c r="E404" t="s">
        <v>72</v>
      </c>
      <c r="F404" t="s">
        <v>927</v>
      </c>
      <c r="G404">
        <v>12</v>
      </c>
      <c r="H404" s="27" t="s">
        <v>1046</v>
      </c>
      <c r="I404" s="27" t="s">
        <v>1135</v>
      </c>
      <c r="J404">
        <v>816.5</v>
      </c>
      <c r="K404">
        <v>644.29999999999995</v>
      </c>
      <c r="L404">
        <v>9798</v>
      </c>
      <c r="M404">
        <v>7731.5999999999995</v>
      </c>
      <c r="N404">
        <v>2066.4000000000005</v>
      </c>
      <c r="O404" s="17">
        <f t="shared" si="6"/>
        <v>26.726680117957486</v>
      </c>
      <c r="P404" t="s">
        <v>45</v>
      </c>
    </row>
    <row r="405" spans="1:16">
      <c r="A405">
        <v>403</v>
      </c>
      <c r="B405" t="s">
        <v>194</v>
      </c>
      <c r="C405" t="s">
        <v>195</v>
      </c>
      <c r="D405" t="s">
        <v>195</v>
      </c>
      <c r="E405" t="s">
        <v>72</v>
      </c>
      <c r="F405" t="s">
        <v>196</v>
      </c>
      <c r="G405">
        <v>1</v>
      </c>
      <c r="H405" s="27" t="s">
        <v>1017</v>
      </c>
      <c r="I405" s="27" t="s">
        <v>1135</v>
      </c>
      <c r="J405">
        <v>12603.7</v>
      </c>
      <c r="K405">
        <v>16178</v>
      </c>
      <c r="L405">
        <v>12603.7</v>
      </c>
      <c r="M405">
        <v>16178</v>
      </c>
      <c r="N405">
        <v>-3574.2999999999993</v>
      </c>
      <c r="O405" s="17">
        <f t="shared" si="6"/>
        <v>-22.093583879342312</v>
      </c>
      <c r="P405" t="s">
        <v>45</v>
      </c>
    </row>
    <row r="406" spans="1:16">
      <c r="A406">
        <v>404</v>
      </c>
      <c r="B406" t="s">
        <v>194</v>
      </c>
      <c r="C406" t="s">
        <v>195</v>
      </c>
      <c r="D406" t="s">
        <v>195</v>
      </c>
      <c r="E406" t="s">
        <v>72</v>
      </c>
      <c r="F406" t="s">
        <v>196</v>
      </c>
      <c r="G406">
        <v>1</v>
      </c>
      <c r="H406" s="27" t="s">
        <v>948</v>
      </c>
      <c r="I406" s="27" t="s">
        <v>1135</v>
      </c>
      <c r="J406">
        <v>12603.7</v>
      </c>
      <c r="K406">
        <v>15808.2</v>
      </c>
      <c r="L406">
        <v>12603.7</v>
      </c>
      <c r="M406">
        <v>15808.2</v>
      </c>
      <c r="N406">
        <v>-3204.5</v>
      </c>
      <c r="O406" s="17">
        <f t="shared" si="6"/>
        <v>-20.271125112283499</v>
      </c>
      <c r="P406" t="s">
        <v>45</v>
      </c>
    </row>
    <row r="407" spans="1:16">
      <c r="A407">
        <v>405</v>
      </c>
      <c r="B407" t="s">
        <v>512</v>
      </c>
      <c r="C407" t="s">
        <v>511</v>
      </c>
      <c r="D407" t="s">
        <v>511</v>
      </c>
      <c r="E407" t="s">
        <v>72</v>
      </c>
      <c r="F407" t="s">
        <v>513</v>
      </c>
      <c r="G407">
        <v>1</v>
      </c>
      <c r="H407" s="27" t="s">
        <v>1087</v>
      </c>
      <c r="I407" s="27" t="s">
        <v>1135</v>
      </c>
      <c r="J407">
        <v>3079.7</v>
      </c>
      <c r="K407">
        <v>3091.5</v>
      </c>
      <c r="L407">
        <v>3079.7</v>
      </c>
      <c r="M407">
        <v>3091.5</v>
      </c>
      <c r="N407">
        <v>-11.800000000000182</v>
      </c>
      <c r="O407" s="17">
        <f t="shared" si="6"/>
        <v>-0.38169173540353168</v>
      </c>
      <c r="P407" t="s">
        <v>45</v>
      </c>
    </row>
    <row r="408" spans="1:16">
      <c r="A408">
        <v>406</v>
      </c>
      <c r="B408" t="s">
        <v>512</v>
      </c>
      <c r="C408" t="s">
        <v>511</v>
      </c>
      <c r="D408" t="s">
        <v>511</v>
      </c>
      <c r="E408" t="s">
        <v>72</v>
      </c>
      <c r="F408" t="s">
        <v>513</v>
      </c>
      <c r="G408">
        <v>5</v>
      </c>
      <c r="H408" s="27" t="s">
        <v>1069</v>
      </c>
      <c r="I408" s="27" t="s">
        <v>1135</v>
      </c>
      <c r="J408">
        <v>3079.7</v>
      </c>
      <c r="K408">
        <v>2859.25</v>
      </c>
      <c r="L408">
        <v>15398.5</v>
      </c>
      <c r="M408">
        <v>14296.25</v>
      </c>
      <c r="N408">
        <v>1102.2499999999991</v>
      </c>
      <c r="O408" s="17">
        <f t="shared" si="6"/>
        <v>7.7100638279268976</v>
      </c>
      <c r="P408" t="s">
        <v>45</v>
      </c>
    </row>
    <row r="409" spans="1:16">
      <c r="A409">
        <v>407</v>
      </c>
      <c r="B409" t="s">
        <v>969</v>
      </c>
      <c r="C409" t="s">
        <v>970</v>
      </c>
      <c r="D409" t="s">
        <v>970</v>
      </c>
      <c r="E409" t="s">
        <v>72</v>
      </c>
      <c r="F409" t="s">
        <v>919</v>
      </c>
      <c r="G409">
        <v>6</v>
      </c>
      <c r="H409" s="27" t="s">
        <v>1105</v>
      </c>
      <c r="I409" s="27" t="s">
        <v>1135</v>
      </c>
      <c r="J409">
        <v>1406.13</v>
      </c>
      <c r="K409">
        <v>1270.45</v>
      </c>
      <c r="L409">
        <v>8436.7800000000007</v>
      </c>
      <c r="M409">
        <v>7622.7000000000007</v>
      </c>
      <c r="N409">
        <v>814.08000000000038</v>
      </c>
      <c r="O409" s="17">
        <f t="shared" si="6"/>
        <v>10.67968042819474</v>
      </c>
      <c r="P409" t="s">
        <v>45</v>
      </c>
    </row>
    <row r="410" spans="1:16">
      <c r="A410">
        <v>408</v>
      </c>
      <c r="B410" t="s">
        <v>751</v>
      </c>
      <c r="C410" t="s">
        <v>753</v>
      </c>
      <c r="D410" t="s">
        <v>752</v>
      </c>
      <c r="E410" t="s">
        <v>72</v>
      </c>
      <c r="F410" t="s">
        <v>754</v>
      </c>
      <c r="G410">
        <v>19</v>
      </c>
      <c r="H410" s="27" t="s">
        <v>1121</v>
      </c>
      <c r="I410" s="27" t="s">
        <v>1135</v>
      </c>
      <c r="J410">
        <v>1831.43</v>
      </c>
      <c r="K410">
        <v>1455.68</v>
      </c>
      <c r="L410">
        <v>34797.17</v>
      </c>
      <c r="M410">
        <v>27657.920000000002</v>
      </c>
      <c r="N410">
        <v>7139.25</v>
      </c>
      <c r="O410" s="17">
        <f t="shared" si="6"/>
        <v>25.812678610683665</v>
      </c>
      <c r="P410" t="s">
        <v>45</v>
      </c>
    </row>
    <row r="411" spans="1:16">
      <c r="A411">
        <v>409</v>
      </c>
      <c r="B411" t="s">
        <v>751</v>
      </c>
      <c r="C411" t="s">
        <v>753</v>
      </c>
      <c r="D411" t="s">
        <v>752</v>
      </c>
      <c r="E411" t="s">
        <v>72</v>
      </c>
      <c r="F411" t="s">
        <v>754</v>
      </c>
      <c r="G411">
        <v>15</v>
      </c>
      <c r="H411" s="27" t="s">
        <v>1106</v>
      </c>
      <c r="I411" s="27" t="s">
        <v>1135</v>
      </c>
      <c r="J411">
        <v>1831.43</v>
      </c>
      <c r="K411">
        <v>1651</v>
      </c>
      <c r="L411">
        <v>27471.45</v>
      </c>
      <c r="M411">
        <v>24765</v>
      </c>
      <c r="N411">
        <v>2706.4500000000007</v>
      </c>
      <c r="O411" s="17">
        <f t="shared" si="6"/>
        <v>10.92852816474864</v>
      </c>
      <c r="P411" t="s">
        <v>45</v>
      </c>
    </row>
    <row r="412" spans="1:16">
      <c r="A412">
        <v>410</v>
      </c>
      <c r="B412" t="s">
        <v>751</v>
      </c>
      <c r="C412" t="s">
        <v>763</v>
      </c>
      <c r="D412" t="s">
        <v>752</v>
      </c>
      <c r="E412" t="s">
        <v>72</v>
      </c>
      <c r="F412" t="s">
        <v>754</v>
      </c>
      <c r="G412">
        <v>3</v>
      </c>
      <c r="H412" s="27" t="s">
        <v>1063</v>
      </c>
      <c r="I412" s="27" t="s">
        <v>1135</v>
      </c>
      <c r="J412">
        <v>1831.43</v>
      </c>
      <c r="K412">
        <v>1628.9</v>
      </c>
      <c r="L412">
        <v>5494.29</v>
      </c>
      <c r="M412">
        <v>4886.7000000000007</v>
      </c>
      <c r="N412">
        <v>607.58999999999992</v>
      </c>
      <c r="O412" s="17">
        <f t="shared" si="6"/>
        <v>12.43354410952176</v>
      </c>
      <c r="P412" t="s">
        <v>45</v>
      </c>
    </row>
    <row r="413" spans="1:16">
      <c r="A413">
        <v>411</v>
      </c>
      <c r="B413" t="s">
        <v>751</v>
      </c>
      <c r="C413" t="s">
        <v>763</v>
      </c>
      <c r="D413" t="s">
        <v>752</v>
      </c>
      <c r="E413" t="s">
        <v>72</v>
      </c>
      <c r="F413" t="s">
        <v>754</v>
      </c>
      <c r="G413">
        <v>5</v>
      </c>
      <c r="H413" s="27" t="s">
        <v>1064</v>
      </c>
      <c r="I413" s="27" t="s">
        <v>1135</v>
      </c>
      <c r="J413">
        <v>1831.43</v>
      </c>
      <c r="K413">
        <v>1586.75</v>
      </c>
      <c r="L413">
        <v>9157.15</v>
      </c>
      <c r="M413">
        <v>7933.75</v>
      </c>
      <c r="N413">
        <v>1223.4000000000003</v>
      </c>
      <c r="O413" s="17">
        <f t="shared" si="6"/>
        <v>15.42019851898535</v>
      </c>
      <c r="P413" t="s">
        <v>45</v>
      </c>
    </row>
    <row r="414" spans="1:16">
      <c r="A414">
        <v>412</v>
      </c>
      <c r="B414" t="s">
        <v>470</v>
      </c>
      <c r="C414" t="s">
        <v>471</v>
      </c>
      <c r="D414" t="s">
        <v>471</v>
      </c>
      <c r="E414" t="s">
        <v>72</v>
      </c>
      <c r="F414" t="s">
        <v>609</v>
      </c>
      <c r="G414">
        <v>2</v>
      </c>
      <c r="H414" s="27" t="s">
        <v>484</v>
      </c>
      <c r="I414" s="27" t="s">
        <v>1142</v>
      </c>
      <c r="J414">
        <v>1945.95</v>
      </c>
      <c r="K414">
        <v>1237.44</v>
      </c>
      <c r="L414">
        <v>3891.9</v>
      </c>
      <c r="M414">
        <v>2474.88</v>
      </c>
      <c r="N414">
        <v>1417.02</v>
      </c>
      <c r="O414" s="17">
        <f t="shared" si="6"/>
        <v>57.256109387121789</v>
      </c>
      <c r="P414" t="s">
        <v>45</v>
      </c>
    </row>
    <row r="415" spans="1:16">
      <c r="A415">
        <v>413</v>
      </c>
      <c r="B415" t="s">
        <v>194</v>
      </c>
      <c r="C415" t="s">
        <v>195</v>
      </c>
      <c r="D415" t="s">
        <v>195</v>
      </c>
      <c r="E415" t="s">
        <v>72</v>
      </c>
      <c r="F415" t="s">
        <v>196</v>
      </c>
      <c r="G415">
        <v>7</v>
      </c>
      <c r="H415" s="27" t="s">
        <v>959</v>
      </c>
      <c r="I415" s="27" t="s">
        <v>1142</v>
      </c>
      <c r="J415">
        <v>1772.21</v>
      </c>
      <c r="K415">
        <v>1544.37</v>
      </c>
      <c r="L415">
        <v>12405.470000000001</v>
      </c>
      <c r="M415">
        <v>10810.59</v>
      </c>
      <c r="N415">
        <v>1594.880000000001</v>
      </c>
      <c r="O415" s="17">
        <f t="shared" si="6"/>
        <v>14.752941328826649</v>
      </c>
      <c r="P415" t="s">
        <v>45</v>
      </c>
    </row>
    <row r="416" spans="1:16">
      <c r="A416">
        <v>414</v>
      </c>
      <c r="B416" t="s">
        <v>522</v>
      </c>
      <c r="C416" t="s">
        <v>523</v>
      </c>
      <c r="D416" t="s">
        <v>523</v>
      </c>
      <c r="E416" t="s">
        <v>72</v>
      </c>
      <c r="F416" t="s">
        <v>524</v>
      </c>
      <c r="G416">
        <v>125</v>
      </c>
      <c r="H416" s="27" t="s">
        <v>930</v>
      </c>
      <c r="I416" s="27" t="s">
        <v>1142</v>
      </c>
      <c r="J416">
        <v>126.48</v>
      </c>
      <c r="K416">
        <v>85.89</v>
      </c>
      <c r="L416">
        <v>15810</v>
      </c>
      <c r="M416">
        <v>10736.25</v>
      </c>
      <c r="N416">
        <v>5073.75</v>
      </c>
      <c r="O416" s="17">
        <f t="shared" si="6"/>
        <v>47.25812085225288</v>
      </c>
      <c r="P416" t="s">
        <v>45</v>
      </c>
    </row>
    <row r="417" spans="1:16">
      <c r="A417">
        <v>415</v>
      </c>
      <c r="B417" t="s">
        <v>533</v>
      </c>
      <c r="C417" t="s">
        <v>534</v>
      </c>
      <c r="D417" t="s">
        <v>534</v>
      </c>
      <c r="E417" t="s">
        <v>72</v>
      </c>
      <c r="F417" t="s">
        <v>535</v>
      </c>
      <c r="G417">
        <v>1</v>
      </c>
      <c r="H417" s="27" t="s">
        <v>1092</v>
      </c>
      <c r="I417" s="27" t="s">
        <v>1142</v>
      </c>
      <c r="J417">
        <v>3023.2</v>
      </c>
      <c r="K417">
        <v>2863.25</v>
      </c>
      <c r="L417">
        <v>3023.2</v>
      </c>
      <c r="M417">
        <v>2863.25</v>
      </c>
      <c r="N417">
        <v>159.94999999999982</v>
      </c>
      <c r="O417" s="17">
        <f t="shared" si="6"/>
        <v>5.5863092639483041</v>
      </c>
      <c r="P417" t="s">
        <v>45</v>
      </c>
    </row>
    <row r="418" spans="1:16">
      <c r="A418">
        <v>416</v>
      </c>
      <c r="B418" t="s">
        <v>533</v>
      </c>
      <c r="C418" t="s">
        <v>534</v>
      </c>
      <c r="D418" t="s">
        <v>534</v>
      </c>
      <c r="E418" t="s">
        <v>72</v>
      </c>
      <c r="F418" t="s">
        <v>535</v>
      </c>
      <c r="G418">
        <v>3</v>
      </c>
      <c r="H418" s="27" t="s">
        <v>1058</v>
      </c>
      <c r="I418" s="27" t="s">
        <v>1142</v>
      </c>
      <c r="J418">
        <v>3023.2</v>
      </c>
      <c r="K418">
        <v>2734.5</v>
      </c>
      <c r="L418">
        <v>9069.5999999999985</v>
      </c>
      <c r="M418">
        <v>8203.5</v>
      </c>
      <c r="N418">
        <v>866.09999999999945</v>
      </c>
      <c r="O418" s="17">
        <f t="shared" si="6"/>
        <v>10.557688791369531</v>
      </c>
      <c r="P418" t="s">
        <v>45</v>
      </c>
    </row>
    <row r="419" spans="1:16">
      <c r="A419">
        <v>417</v>
      </c>
      <c r="B419" t="s">
        <v>28</v>
      </c>
      <c r="C419" t="s">
        <v>28</v>
      </c>
      <c r="D419" t="s">
        <v>28</v>
      </c>
      <c r="E419" t="s">
        <v>72</v>
      </c>
      <c r="F419" t="s">
        <v>1143</v>
      </c>
      <c r="G419">
        <v>100</v>
      </c>
      <c r="H419" s="27" t="s">
        <v>1142</v>
      </c>
      <c r="I419" s="27" t="s">
        <v>1142</v>
      </c>
      <c r="J419">
        <v>244.35</v>
      </c>
      <c r="K419">
        <v>243.45</v>
      </c>
      <c r="L419">
        <v>24435</v>
      </c>
      <c r="M419">
        <v>24345</v>
      </c>
      <c r="N419">
        <v>90.000000000000568</v>
      </c>
      <c r="O419" s="17">
        <f t="shared" si="6"/>
        <v>0.36968576709796908</v>
      </c>
    </row>
    <row r="420" spans="1:16">
      <c r="A420">
        <v>418</v>
      </c>
      <c r="B420" t="s">
        <v>649</v>
      </c>
      <c r="C420" t="s">
        <v>648</v>
      </c>
      <c r="D420" t="s">
        <v>648</v>
      </c>
      <c r="E420" t="s">
        <v>72</v>
      </c>
      <c r="F420" t="s">
        <v>975</v>
      </c>
      <c r="G420">
        <v>90</v>
      </c>
      <c r="H420" s="27" t="s">
        <v>1087</v>
      </c>
      <c r="I420" s="27" t="s">
        <v>1144</v>
      </c>
      <c r="J420">
        <v>142.91999999999999</v>
      </c>
      <c r="K420">
        <v>123.03</v>
      </c>
      <c r="L420">
        <v>12862.8</v>
      </c>
      <c r="M420">
        <v>11072.7</v>
      </c>
      <c r="N420">
        <v>1790.0999999999988</v>
      </c>
      <c r="O420" s="17">
        <f t="shared" si="6"/>
        <v>16.16678858814922</v>
      </c>
      <c r="P420" t="s">
        <v>45</v>
      </c>
    </row>
    <row r="421" spans="1:16">
      <c r="A421">
        <v>419</v>
      </c>
      <c r="B421" t="s">
        <v>649</v>
      </c>
      <c r="C421" t="s">
        <v>648</v>
      </c>
      <c r="D421" t="s">
        <v>648</v>
      </c>
      <c r="E421" t="s">
        <v>72</v>
      </c>
      <c r="F421" t="s">
        <v>975</v>
      </c>
      <c r="G421">
        <v>90</v>
      </c>
      <c r="H421" s="27" t="s">
        <v>1095</v>
      </c>
      <c r="I421" s="27" t="s">
        <v>1144</v>
      </c>
      <c r="J421">
        <v>142.91999999999999</v>
      </c>
      <c r="K421">
        <v>135.58000000000001</v>
      </c>
      <c r="L421">
        <v>12862.8</v>
      </c>
      <c r="M421">
        <v>12202.2</v>
      </c>
      <c r="N421">
        <v>660.59999999999775</v>
      </c>
      <c r="O421" s="17">
        <f t="shared" si="6"/>
        <v>5.413777843339707</v>
      </c>
      <c r="P421" t="s">
        <v>45</v>
      </c>
    </row>
    <row r="422" spans="1:16">
      <c r="A422">
        <v>420</v>
      </c>
      <c r="B422" t="s">
        <v>13</v>
      </c>
      <c r="C422" t="s">
        <v>83</v>
      </c>
      <c r="D422" t="s">
        <v>246</v>
      </c>
      <c r="E422" t="s">
        <v>76</v>
      </c>
      <c r="F422" t="s">
        <v>84</v>
      </c>
      <c r="G422">
        <v>10</v>
      </c>
      <c r="H422" s="27" t="s">
        <v>1108</v>
      </c>
      <c r="I422" s="27" t="s">
        <v>1144</v>
      </c>
      <c r="J422">
        <v>1243.51</v>
      </c>
      <c r="K422">
        <v>1301.25</v>
      </c>
      <c r="L422">
        <v>12435.1</v>
      </c>
      <c r="M422">
        <v>13012.5</v>
      </c>
      <c r="N422">
        <v>-577.40000000000009</v>
      </c>
      <c r="O422" s="17">
        <f t="shared" si="6"/>
        <v>-4.4372718539865517</v>
      </c>
      <c r="P422" t="s">
        <v>45</v>
      </c>
    </row>
    <row r="423" spans="1:16">
      <c r="A423">
        <v>421</v>
      </c>
      <c r="B423" t="s">
        <v>751</v>
      </c>
      <c r="C423" t="s">
        <v>763</v>
      </c>
      <c r="D423" t="s">
        <v>752</v>
      </c>
      <c r="E423" t="s">
        <v>72</v>
      </c>
      <c r="F423" t="s">
        <v>754</v>
      </c>
      <c r="G423">
        <v>7</v>
      </c>
      <c r="H423" s="27" t="s">
        <v>1064</v>
      </c>
      <c r="I423" s="27" t="s">
        <v>1144</v>
      </c>
      <c r="J423">
        <v>1867.86</v>
      </c>
      <c r="K423">
        <v>1586.75</v>
      </c>
      <c r="L423">
        <v>13075.019999999999</v>
      </c>
      <c r="M423">
        <v>11107.25</v>
      </c>
      <c r="N423">
        <v>1967.7699999999993</v>
      </c>
      <c r="O423" s="17">
        <f t="shared" si="6"/>
        <v>17.716086340003145</v>
      </c>
      <c r="P423" t="s">
        <v>45</v>
      </c>
    </row>
    <row r="424" spans="1:16">
      <c r="A424">
        <v>422</v>
      </c>
      <c r="B424" t="s">
        <v>635</v>
      </c>
      <c r="C424" t="s">
        <v>633</v>
      </c>
      <c r="D424" t="s">
        <v>633</v>
      </c>
      <c r="E424" t="s">
        <v>72</v>
      </c>
      <c r="F424" t="s">
        <v>634</v>
      </c>
      <c r="G424">
        <v>2</v>
      </c>
      <c r="H424" s="27" t="s">
        <v>639</v>
      </c>
      <c r="I424" s="27" t="s">
        <v>1144</v>
      </c>
      <c r="J424">
        <v>6212</v>
      </c>
      <c r="K424">
        <v>3238.7</v>
      </c>
      <c r="L424">
        <v>12424</v>
      </c>
      <c r="M424">
        <v>6477.4</v>
      </c>
      <c r="N424">
        <v>5946.6</v>
      </c>
      <c r="O424" s="17">
        <f t="shared" si="6"/>
        <v>91.805354000061755</v>
      </c>
      <c r="P424" t="s">
        <v>45</v>
      </c>
    </row>
    <row r="425" spans="1:16">
      <c r="A425">
        <v>423</v>
      </c>
      <c r="B425" t="s">
        <v>20</v>
      </c>
      <c r="C425" t="s">
        <v>93</v>
      </c>
      <c r="D425" t="s">
        <v>210</v>
      </c>
      <c r="E425" t="s">
        <v>76</v>
      </c>
      <c r="F425" t="s">
        <v>95</v>
      </c>
      <c r="G425">
        <v>15</v>
      </c>
      <c r="H425" s="27" t="s">
        <v>1088</v>
      </c>
      <c r="I425" s="27" t="s">
        <v>1145</v>
      </c>
      <c r="J425">
        <v>197.05</v>
      </c>
      <c r="K425">
        <v>147.4</v>
      </c>
      <c r="L425">
        <v>2955.75</v>
      </c>
      <c r="M425">
        <v>2211</v>
      </c>
      <c r="N425">
        <v>744.75000000000011</v>
      </c>
      <c r="O425" s="17">
        <f t="shared" si="6"/>
        <v>33.683853459972866</v>
      </c>
      <c r="P425" t="s">
        <v>45</v>
      </c>
    </row>
    <row r="426" spans="1:16">
      <c r="A426">
        <v>424</v>
      </c>
      <c r="B426" t="s">
        <v>230</v>
      </c>
      <c r="C426" t="s">
        <v>117</v>
      </c>
      <c r="D426" t="s">
        <v>117</v>
      </c>
      <c r="E426" t="s">
        <v>72</v>
      </c>
      <c r="F426" t="s">
        <v>118</v>
      </c>
      <c r="G426">
        <v>30</v>
      </c>
      <c r="H426" s="27" t="s">
        <v>1142</v>
      </c>
      <c r="I426" s="27" t="s">
        <v>1145</v>
      </c>
      <c r="J426">
        <v>250.64</v>
      </c>
      <c r="K426">
        <v>232.85</v>
      </c>
      <c r="L426">
        <v>7519.2</v>
      </c>
      <c r="M426">
        <v>6985.5</v>
      </c>
      <c r="N426">
        <v>533.69999999999982</v>
      </c>
      <c r="O426" s="17">
        <f t="shared" si="6"/>
        <v>7.6401116598668644</v>
      </c>
      <c r="P426" t="s">
        <v>45</v>
      </c>
    </row>
    <row r="427" spans="1:16">
      <c r="A427">
        <v>425</v>
      </c>
      <c r="B427" t="s">
        <v>230</v>
      </c>
      <c r="C427" t="s">
        <v>117</v>
      </c>
      <c r="D427" t="s">
        <v>117</v>
      </c>
      <c r="E427" t="s">
        <v>72</v>
      </c>
      <c r="F427" t="s">
        <v>118</v>
      </c>
      <c r="G427">
        <v>10</v>
      </c>
      <c r="H427" s="27" t="s">
        <v>1059</v>
      </c>
      <c r="I427" s="27" t="s">
        <v>1145</v>
      </c>
      <c r="J427">
        <v>250.64</v>
      </c>
      <c r="K427">
        <v>181.79</v>
      </c>
      <c r="L427">
        <v>2506.3999999999996</v>
      </c>
      <c r="M427">
        <v>1817.8999999999999</v>
      </c>
      <c r="N427">
        <v>688.5</v>
      </c>
      <c r="O427" s="17">
        <f t="shared" si="6"/>
        <v>37.873370372407727</v>
      </c>
      <c r="P427" t="s">
        <v>45</v>
      </c>
    </row>
    <row r="428" spans="1:16">
      <c r="A428">
        <v>426</v>
      </c>
      <c r="B428" t="s">
        <v>230</v>
      </c>
      <c r="C428" t="s">
        <v>117</v>
      </c>
      <c r="D428" t="s">
        <v>117</v>
      </c>
      <c r="E428" t="s">
        <v>72</v>
      </c>
      <c r="F428" t="s">
        <v>118</v>
      </c>
      <c r="G428">
        <v>17</v>
      </c>
      <c r="H428" s="27" t="s">
        <v>1042</v>
      </c>
      <c r="I428" s="27" t="s">
        <v>1145</v>
      </c>
      <c r="J428">
        <v>250.64</v>
      </c>
      <c r="K428">
        <v>205.06</v>
      </c>
      <c r="L428">
        <v>4260.88</v>
      </c>
      <c r="M428">
        <v>3486.02</v>
      </c>
      <c r="N428">
        <v>774.85999999999967</v>
      </c>
      <c r="O428" s="17">
        <f t="shared" si="6"/>
        <v>22.227640690529594</v>
      </c>
      <c r="P428" t="s">
        <v>45</v>
      </c>
    </row>
    <row r="429" spans="1:16">
      <c r="A429">
        <v>427</v>
      </c>
      <c r="B429" t="s">
        <v>668</v>
      </c>
      <c r="C429" t="s">
        <v>669</v>
      </c>
      <c r="D429" t="s">
        <v>669</v>
      </c>
      <c r="E429" t="s">
        <v>72</v>
      </c>
      <c r="F429" t="s">
        <v>670</v>
      </c>
      <c r="G429">
        <v>2</v>
      </c>
      <c r="H429" s="27" t="s">
        <v>1142</v>
      </c>
      <c r="I429" s="27" t="s">
        <v>1145</v>
      </c>
      <c r="J429">
        <v>3866.85</v>
      </c>
      <c r="K429">
        <v>3732.2</v>
      </c>
      <c r="L429">
        <v>7733.7</v>
      </c>
      <c r="M429">
        <v>7464.4</v>
      </c>
      <c r="N429">
        <v>269.30000000000018</v>
      </c>
      <c r="O429" s="17">
        <f t="shared" si="6"/>
        <v>3.6077916510369246</v>
      </c>
      <c r="P429" t="s">
        <v>45</v>
      </c>
    </row>
    <row r="430" spans="1:16">
      <c r="A430">
        <v>428</v>
      </c>
      <c r="B430" t="s">
        <v>668</v>
      </c>
      <c r="C430" t="s">
        <v>669</v>
      </c>
      <c r="D430" t="s">
        <v>669</v>
      </c>
      <c r="E430" t="s">
        <v>72</v>
      </c>
      <c r="F430" t="s">
        <v>670</v>
      </c>
      <c r="G430">
        <v>1</v>
      </c>
      <c r="H430" s="27" t="s">
        <v>1104</v>
      </c>
      <c r="I430" s="27" t="s">
        <v>1145</v>
      </c>
      <c r="J430">
        <v>3866.85</v>
      </c>
      <c r="K430">
        <v>3484.67</v>
      </c>
      <c r="L430">
        <v>3866.85</v>
      </c>
      <c r="M430">
        <v>3484.67</v>
      </c>
      <c r="N430">
        <v>382.17999999999984</v>
      </c>
      <c r="O430" s="17">
        <f t="shared" si="6"/>
        <v>10.967466072827552</v>
      </c>
      <c r="P430" t="s">
        <v>45</v>
      </c>
    </row>
    <row r="431" spans="1:16">
      <c r="A431">
        <v>429</v>
      </c>
      <c r="B431" t="s">
        <v>931</v>
      </c>
      <c r="C431" t="s">
        <v>931</v>
      </c>
      <c r="D431" t="s">
        <v>931</v>
      </c>
      <c r="E431" t="s">
        <v>72</v>
      </c>
      <c r="F431" t="s">
        <v>932</v>
      </c>
      <c r="G431">
        <v>100</v>
      </c>
      <c r="H431" s="27" t="s">
        <v>1146</v>
      </c>
      <c r="I431" s="27" t="s">
        <v>1145</v>
      </c>
      <c r="J431">
        <v>107.8</v>
      </c>
      <c r="K431">
        <v>100.98</v>
      </c>
      <c r="L431">
        <v>10780</v>
      </c>
      <c r="M431">
        <v>10098</v>
      </c>
      <c r="N431">
        <v>681.99999999999932</v>
      </c>
      <c r="O431" s="17">
        <f t="shared" si="6"/>
        <v>6.7538126361655699</v>
      </c>
      <c r="P431" t="s">
        <v>45</v>
      </c>
    </row>
    <row r="432" spans="1:16">
      <c r="A432">
        <v>430</v>
      </c>
      <c r="B432" t="s">
        <v>9</v>
      </c>
      <c r="C432" t="s">
        <v>75</v>
      </c>
      <c r="D432" t="s">
        <v>205</v>
      </c>
      <c r="E432" t="s">
        <v>76</v>
      </c>
      <c r="F432" t="s">
        <v>77</v>
      </c>
      <c r="G432">
        <v>10</v>
      </c>
      <c r="H432" s="27" t="s">
        <v>1089</v>
      </c>
      <c r="I432" s="27" t="s">
        <v>1145</v>
      </c>
      <c r="J432">
        <v>412.1</v>
      </c>
      <c r="K432">
        <v>309.10000000000002</v>
      </c>
      <c r="L432">
        <v>4121</v>
      </c>
      <c r="M432">
        <v>3091</v>
      </c>
      <c r="N432">
        <v>1030</v>
      </c>
      <c r="O432" s="17">
        <f t="shared" si="6"/>
        <v>33.322549336784213</v>
      </c>
      <c r="P432" t="s">
        <v>45</v>
      </c>
    </row>
    <row r="433" spans="1:16">
      <c r="A433">
        <v>431</v>
      </c>
      <c r="B433" t="s">
        <v>610</v>
      </c>
      <c r="C433" t="s">
        <v>611</v>
      </c>
      <c r="D433" t="s">
        <v>695</v>
      </c>
      <c r="E433" t="s">
        <v>72</v>
      </c>
      <c r="F433" t="s">
        <v>612</v>
      </c>
      <c r="G433">
        <v>30</v>
      </c>
      <c r="H433" s="27" t="s">
        <v>1096</v>
      </c>
      <c r="I433" s="27" t="s">
        <v>1146</v>
      </c>
      <c r="J433">
        <v>396.5</v>
      </c>
      <c r="K433">
        <v>375.45</v>
      </c>
      <c r="L433">
        <v>11895</v>
      </c>
      <c r="M433">
        <v>11263.5</v>
      </c>
      <c r="N433">
        <v>631.50000000000034</v>
      </c>
      <c r="O433" s="17">
        <f t="shared" si="6"/>
        <v>5.6066054068451221</v>
      </c>
      <c r="P433" t="s">
        <v>45</v>
      </c>
    </row>
    <row r="434" spans="1:16">
      <c r="A434">
        <v>432</v>
      </c>
      <c r="B434" t="s">
        <v>674</v>
      </c>
      <c r="C434" t="s">
        <v>675</v>
      </c>
      <c r="D434" t="s">
        <v>675</v>
      </c>
      <c r="E434" t="s">
        <v>72</v>
      </c>
      <c r="F434" t="s">
        <v>676</v>
      </c>
      <c r="G434">
        <v>15</v>
      </c>
      <c r="H434" s="27" t="s">
        <v>1092</v>
      </c>
      <c r="I434" s="27" t="s">
        <v>1146</v>
      </c>
      <c r="J434">
        <v>547.65</v>
      </c>
      <c r="K434">
        <v>520.83000000000004</v>
      </c>
      <c r="L434">
        <v>8214.75</v>
      </c>
      <c r="M434">
        <v>7812.4500000000007</v>
      </c>
      <c r="N434">
        <v>402.29999999999905</v>
      </c>
      <c r="O434" s="17">
        <f t="shared" si="6"/>
        <v>5.1494729566269095</v>
      </c>
      <c r="P434" t="s">
        <v>45</v>
      </c>
    </row>
    <row r="435" spans="1:16">
      <c r="A435">
        <v>433</v>
      </c>
      <c r="B435" t="s">
        <v>674</v>
      </c>
      <c r="C435" t="s">
        <v>675</v>
      </c>
      <c r="D435" t="s">
        <v>675</v>
      </c>
      <c r="E435" t="s">
        <v>72</v>
      </c>
      <c r="F435" t="s">
        <v>676</v>
      </c>
      <c r="G435">
        <v>5</v>
      </c>
      <c r="H435" s="27" t="s">
        <v>1108</v>
      </c>
      <c r="I435" s="27" t="s">
        <v>1146</v>
      </c>
      <c r="J435">
        <v>547.65</v>
      </c>
      <c r="K435">
        <v>541.66999999999996</v>
      </c>
      <c r="L435">
        <v>2738.25</v>
      </c>
      <c r="M435">
        <v>2708.35</v>
      </c>
      <c r="N435">
        <v>29.900000000000091</v>
      </c>
      <c r="O435" s="17">
        <f t="shared" si="6"/>
        <v>1.1039932061956574</v>
      </c>
      <c r="P435" t="s">
        <v>45</v>
      </c>
    </row>
    <row r="436" spans="1:16">
      <c r="A436">
        <v>434</v>
      </c>
      <c r="B436" t="s">
        <v>218</v>
      </c>
      <c r="C436">
        <v>500408</v>
      </c>
      <c r="D436" t="s">
        <v>219</v>
      </c>
      <c r="E436" t="s">
        <v>72</v>
      </c>
      <c r="F436" t="s">
        <v>220</v>
      </c>
      <c r="G436">
        <v>1</v>
      </c>
      <c r="H436" s="27" t="s">
        <v>902</v>
      </c>
      <c r="I436" s="27" t="s">
        <v>1146</v>
      </c>
      <c r="J436">
        <v>6949.05</v>
      </c>
      <c r="K436">
        <v>5842.2</v>
      </c>
      <c r="L436">
        <v>6949.05</v>
      </c>
      <c r="M436">
        <v>5842.2</v>
      </c>
      <c r="N436">
        <v>1106.8500000000004</v>
      </c>
      <c r="O436" s="17">
        <f t="shared" si="6"/>
        <v>18.945773852315916</v>
      </c>
      <c r="P436" t="s">
        <v>45</v>
      </c>
    </row>
    <row r="437" spans="1:16">
      <c r="A437">
        <v>435</v>
      </c>
      <c r="B437" t="s">
        <v>522</v>
      </c>
      <c r="C437" t="s">
        <v>523</v>
      </c>
      <c r="D437" t="s">
        <v>523</v>
      </c>
      <c r="E437" t="s">
        <v>72</v>
      </c>
      <c r="F437" t="s">
        <v>524</v>
      </c>
      <c r="G437">
        <v>90</v>
      </c>
      <c r="H437" s="27" t="s">
        <v>930</v>
      </c>
      <c r="I437" s="27" t="s">
        <v>1157</v>
      </c>
      <c r="J437">
        <v>136.29</v>
      </c>
      <c r="K437">
        <v>85.89</v>
      </c>
      <c r="L437">
        <v>12266.099999999999</v>
      </c>
      <c r="M437">
        <v>7730.1</v>
      </c>
      <c r="N437">
        <v>4535.9999999999991</v>
      </c>
      <c r="O437" s="17">
        <f t="shared" si="6"/>
        <v>58.679706601466982</v>
      </c>
      <c r="P437" t="s">
        <v>45</v>
      </c>
    </row>
    <row r="438" spans="1:16">
      <c r="A438">
        <v>436</v>
      </c>
      <c r="B438" t="s">
        <v>34</v>
      </c>
      <c r="C438" t="s">
        <v>115</v>
      </c>
      <c r="D438" t="s">
        <v>115</v>
      </c>
      <c r="E438" t="s">
        <v>72</v>
      </c>
      <c r="F438" t="s">
        <v>116</v>
      </c>
      <c r="G438">
        <v>10</v>
      </c>
      <c r="H438" s="27" t="s">
        <v>255</v>
      </c>
      <c r="I438" s="27" t="s">
        <v>1157</v>
      </c>
      <c r="J438">
        <v>167</v>
      </c>
      <c r="K438">
        <v>125.01</v>
      </c>
      <c r="L438">
        <v>1670</v>
      </c>
      <c r="M438">
        <v>1250.1000000000001</v>
      </c>
      <c r="N438">
        <v>419.9</v>
      </c>
      <c r="O438" s="17">
        <f t="shared" si="6"/>
        <v>33.589312854971595</v>
      </c>
      <c r="P438" t="s">
        <v>45</v>
      </c>
    </row>
    <row r="439" spans="1:16">
      <c r="A439">
        <v>437</v>
      </c>
      <c r="B439" t="s">
        <v>27</v>
      </c>
      <c r="C439">
        <v>500288</v>
      </c>
      <c r="D439" t="s">
        <v>104</v>
      </c>
      <c r="E439" t="s">
        <v>72</v>
      </c>
      <c r="F439" t="s">
        <v>105</v>
      </c>
      <c r="G439">
        <v>100</v>
      </c>
      <c r="H439" s="27" t="s">
        <v>1091</v>
      </c>
      <c r="I439" s="27" t="s">
        <v>1157</v>
      </c>
      <c r="J439">
        <v>30.2</v>
      </c>
      <c r="K439">
        <v>23.98</v>
      </c>
      <c r="L439">
        <v>3020</v>
      </c>
      <c r="M439">
        <v>2398</v>
      </c>
      <c r="N439">
        <v>621.99999999999989</v>
      </c>
      <c r="O439" s="17">
        <f t="shared" si="6"/>
        <v>25.938281901584649</v>
      </c>
      <c r="P439" t="s">
        <v>45</v>
      </c>
    </row>
    <row r="440" spans="1:16">
      <c r="A440">
        <v>438</v>
      </c>
      <c r="B440" t="s">
        <v>627</v>
      </c>
      <c r="C440" t="s">
        <v>683</v>
      </c>
      <c r="D440" t="s">
        <v>711</v>
      </c>
      <c r="E440" t="s">
        <v>72</v>
      </c>
      <c r="F440" t="s">
        <v>629</v>
      </c>
      <c r="G440">
        <v>14</v>
      </c>
      <c r="H440" s="27" t="s">
        <v>737</v>
      </c>
      <c r="I440" s="27" t="s">
        <v>1151</v>
      </c>
      <c r="J440">
        <v>434.78</v>
      </c>
      <c r="K440">
        <v>364.5</v>
      </c>
      <c r="L440">
        <v>6086.92</v>
      </c>
      <c r="M440">
        <v>5103</v>
      </c>
      <c r="N440">
        <v>983.91999999999962</v>
      </c>
      <c r="O440" s="17">
        <f t="shared" si="6"/>
        <v>19.281207133058977</v>
      </c>
      <c r="P440" t="s">
        <v>45</v>
      </c>
    </row>
    <row r="441" spans="1:16">
      <c r="A441">
        <v>439</v>
      </c>
      <c r="B441" t="s">
        <v>627</v>
      </c>
      <c r="C441" t="s">
        <v>683</v>
      </c>
      <c r="D441" t="s">
        <v>711</v>
      </c>
      <c r="E441" t="s">
        <v>72</v>
      </c>
      <c r="F441" t="s">
        <v>629</v>
      </c>
      <c r="G441">
        <v>5</v>
      </c>
      <c r="H441" s="27" t="s">
        <v>719</v>
      </c>
      <c r="I441" s="27" t="s">
        <v>1151</v>
      </c>
      <c r="J441">
        <v>434.78</v>
      </c>
      <c r="K441">
        <v>367.7</v>
      </c>
      <c r="L441">
        <v>2173.8999999999996</v>
      </c>
      <c r="M441">
        <v>1838.5</v>
      </c>
      <c r="N441">
        <v>335.39999999999992</v>
      </c>
      <c r="O441" s="17">
        <f t="shared" si="6"/>
        <v>18.243132988849599</v>
      </c>
      <c r="P441" t="s">
        <v>45</v>
      </c>
    </row>
    <row r="442" spans="1:16">
      <c r="A442">
        <v>440</v>
      </c>
      <c r="B442" t="s">
        <v>627</v>
      </c>
      <c r="C442" t="s">
        <v>683</v>
      </c>
      <c r="D442" t="s">
        <v>628</v>
      </c>
      <c r="E442" t="s">
        <v>72</v>
      </c>
      <c r="F442" t="s">
        <v>629</v>
      </c>
      <c r="G442">
        <v>16</v>
      </c>
      <c r="H442" s="27" t="s">
        <v>694</v>
      </c>
      <c r="I442" s="27" t="s">
        <v>1151</v>
      </c>
      <c r="J442">
        <v>434.78</v>
      </c>
      <c r="K442">
        <v>359.43</v>
      </c>
      <c r="L442">
        <v>6956.48</v>
      </c>
      <c r="M442">
        <v>5750.88</v>
      </c>
      <c r="N442">
        <v>1205.5999999999995</v>
      </c>
      <c r="O442" s="17">
        <f t="shared" si="6"/>
        <v>20.963748156803817</v>
      </c>
      <c r="P442" t="s">
        <v>45</v>
      </c>
    </row>
    <row r="443" spans="1:16">
      <c r="A443">
        <v>441</v>
      </c>
      <c r="B443" t="s">
        <v>627</v>
      </c>
      <c r="C443" t="s">
        <v>683</v>
      </c>
      <c r="D443" t="s">
        <v>628</v>
      </c>
      <c r="E443" t="s">
        <v>72</v>
      </c>
      <c r="F443" t="s">
        <v>629</v>
      </c>
      <c r="G443">
        <v>5</v>
      </c>
      <c r="H443" s="27" t="s">
        <v>687</v>
      </c>
      <c r="I443" s="27" t="s">
        <v>1151</v>
      </c>
      <c r="J443">
        <v>434.78</v>
      </c>
      <c r="K443">
        <v>379.5</v>
      </c>
      <c r="L443">
        <v>2173.8999999999996</v>
      </c>
      <c r="M443">
        <v>1897.5</v>
      </c>
      <c r="N443">
        <v>276.39999999999986</v>
      </c>
      <c r="O443" s="17">
        <f t="shared" si="6"/>
        <v>14.566534914360993</v>
      </c>
      <c r="P443" t="s">
        <v>45</v>
      </c>
    </row>
    <row r="444" spans="1:16">
      <c r="A444">
        <v>442</v>
      </c>
      <c r="B444" t="s">
        <v>26</v>
      </c>
      <c r="C444" t="s">
        <v>102</v>
      </c>
      <c r="D444" t="s">
        <v>102</v>
      </c>
      <c r="E444" t="s">
        <v>72</v>
      </c>
      <c r="F444" t="s">
        <v>103</v>
      </c>
      <c r="G444">
        <v>95</v>
      </c>
      <c r="H444" s="27" t="s">
        <v>1063</v>
      </c>
      <c r="I444" s="27" t="s">
        <v>1151</v>
      </c>
      <c r="J444">
        <v>119.33</v>
      </c>
      <c r="K444">
        <v>93.24</v>
      </c>
      <c r="L444">
        <v>11336.35</v>
      </c>
      <c r="M444">
        <v>8857.7999999999993</v>
      </c>
      <c r="N444">
        <v>2478.5500000000002</v>
      </c>
      <c r="O444" s="17">
        <f t="shared" si="6"/>
        <v>27.981552981552987</v>
      </c>
      <c r="P444" t="s">
        <v>45</v>
      </c>
    </row>
    <row r="445" spans="1:16">
      <c r="A445">
        <v>443</v>
      </c>
      <c r="B445" t="s">
        <v>26</v>
      </c>
      <c r="C445" t="s">
        <v>102</v>
      </c>
      <c r="D445" t="s">
        <v>102</v>
      </c>
      <c r="E445" t="s">
        <v>72</v>
      </c>
      <c r="F445" t="s">
        <v>103</v>
      </c>
      <c r="G445">
        <v>105</v>
      </c>
      <c r="H445" s="27" t="s">
        <v>1042</v>
      </c>
      <c r="I445" s="27" t="s">
        <v>1151</v>
      </c>
      <c r="J445">
        <v>119.33</v>
      </c>
      <c r="K445">
        <v>108.55</v>
      </c>
      <c r="L445">
        <v>12529.65</v>
      </c>
      <c r="M445">
        <v>11397.75</v>
      </c>
      <c r="N445">
        <v>1131.9000000000001</v>
      </c>
      <c r="O445" s="17">
        <f t="shared" si="6"/>
        <v>9.9309074159373569</v>
      </c>
      <c r="P445" t="s">
        <v>45</v>
      </c>
    </row>
    <row r="446" spans="1:16">
      <c r="A446">
        <v>444</v>
      </c>
      <c r="B446" t="s">
        <v>743</v>
      </c>
      <c r="C446" t="s">
        <v>744</v>
      </c>
      <c r="D446" t="s">
        <v>744</v>
      </c>
      <c r="E446" t="s">
        <v>72</v>
      </c>
      <c r="F446" t="s">
        <v>745</v>
      </c>
      <c r="G446">
        <v>25</v>
      </c>
      <c r="H446" s="27" t="s">
        <v>1146</v>
      </c>
      <c r="I446" s="27" t="s">
        <v>1152</v>
      </c>
      <c r="J446">
        <v>284.8</v>
      </c>
      <c r="K446">
        <v>271.39</v>
      </c>
      <c r="L446">
        <v>7120</v>
      </c>
      <c r="M446">
        <v>6784.75</v>
      </c>
      <c r="N446">
        <v>335.25000000000063</v>
      </c>
      <c r="O446" s="17">
        <f t="shared" si="6"/>
        <v>4.9412284903644297</v>
      </c>
      <c r="P446" t="s">
        <v>45</v>
      </c>
    </row>
    <row r="447" spans="1:16">
      <c r="A447">
        <v>445</v>
      </c>
      <c r="B447" t="s">
        <v>26</v>
      </c>
      <c r="C447" t="s">
        <v>102</v>
      </c>
      <c r="D447" t="s">
        <v>102</v>
      </c>
      <c r="E447" t="s">
        <v>72</v>
      </c>
      <c r="F447" t="s">
        <v>103</v>
      </c>
      <c r="G447">
        <v>185</v>
      </c>
      <c r="H447" s="27" t="s">
        <v>1042</v>
      </c>
      <c r="I447" s="27" t="s">
        <v>1152</v>
      </c>
      <c r="J447">
        <v>115.17</v>
      </c>
      <c r="K447">
        <v>108.55</v>
      </c>
      <c r="L447">
        <v>21306.45</v>
      </c>
      <c r="M447">
        <v>20081.75</v>
      </c>
      <c r="N447">
        <v>1224.7000000000007</v>
      </c>
      <c r="O447" s="17">
        <f t="shared" si="6"/>
        <v>6.0985720865960422</v>
      </c>
      <c r="P447" t="s">
        <v>45</v>
      </c>
    </row>
    <row r="448" spans="1:16">
      <c r="A448">
        <v>446</v>
      </c>
      <c r="B448" t="s">
        <v>26</v>
      </c>
      <c r="C448" t="s">
        <v>102</v>
      </c>
      <c r="D448" t="s">
        <v>102</v>
      </c>
      <c r="E448" t="s">
        <v>72</v>
      </c>
      <c r="F448" t="s">
        <v>103</v>
      </c>
      <c r="G448">
        <v>181</v>
      </c>
      <c r="H448" s="27" t="s">
        <v>947</v>
      </c>
      <c r="I448" s="27" t="s">
        <v>1152</v>
      </c>
      <c r="J448">
        <v>115.17</v>
      </c>
      <c r="K448">
        <v>111.53</v>
      </c>
      <c r="L448">
        <v>20845.77</v>
      </c>
      <c r="M448">
        <v>20186.93</v>
      </c>
      <c r="N448">
        <v>658.84000000000015</v>
      </c>
      <c r="O448" s="17">
        <f t="shared" si="6"/>
        <v>3.2636958665829829</v>
      </c>
      <c r="P448" t="s">
        <v>45</v>
      </c>
    </row>
    <row r="449" spans="1:16">
      <c r="A449">
        <v>447</v>
      </c>
      <c r="B449" t="s">
        <v>894</v>
      </c>
      <c r="C449" t="s">
        <v>898</v>
      </c>
      <c r="D449" t="s">
        <v>898</v>
      </c>
      <c r="E449" t="s">
        <v>72</v>
      </c>
      <c r="F449" t="s">
        <v>899</v>
      </c>
      <c r="G449">
        <v>3</v>
      </c>
      <c r="H449" s="27" t="s">
        <v>1098</v>
      </c>
      <c r="I449" s="27" t="s">
        <v>1152</v>
      </c>
      <c r="J449">
        <v>3781</v>
      </c>
      <c r="K449">
        <v>3559.73</v>
      </c>
      <c r="L449">
        <v>11343</v>
      </c>
      <c r="M449">
        <v>10679.19</v>
      </c>
      <c r="N449">
        <v>663.81</v>
      </c>
      <c r="O449" s="17">
        <f t="shared" si="6"/>
        <v>6.2159208704030924</v>
      </c>
      <c r="P449" t="s">
        <v>45</v>
      </c>
    </row>
    <row r="450" spans="1:16">
      <c r="A450">
        <v>448</v>
      </c>
      <c r="B450" t="s">
        <v>441</v>
      </c>
      <c r="C450" t="s">
        <v>445</v>
      </c>
      <c r="D450" t="s">
        <v>445</v>
      </c>
      <c r="E450" t="s">
        <v>72</v>
      </c>
      <c r="F450" t="s">
        <v>584</v>
      </c>
      <c r="G450">
        <v>1</v>
      </c>
      <c r="H450" s="27" t="s">
        <v>1038</v>
      </c>
      <c r="I450" s="27" t="s">
        <v>1153</v>
      </c>
      <c r="J450">
        <v>1629.45</v>
      </c>
      <c r="K450">
        <v>1362.61</v>
      </c>
      <c r="L450">
        <v>1629.45</v>
      </c>
      <c r="M450">
        <v>1362.61</v>
      </c>
      <c r="N450">
        <v>266.84000000000015</v>
      </c>
      <c r="O450" s="17">
        <f t="shared" si="6"/>
        <v>19.583006142623361</v>
      </c>
      <c r="P450" t="s">
        <v>45</v>
      </c>
    </row>
    <row r="451" spans="1:16">
      <c r="A451">
        <v>449</v>
      </c>
      <c r="B451" t="s">
        <v>441</v>
      </c>
      <c r="C451" t="s">
        <v>445</v>
      </c>
      <c r="D451" t="s">
        <v>445</v>
      </c>
      <c r="E451" t="s">
        <v>72</v>
      </c>
      <c r="F451" t="s">
        <v>584</v>
      </c>
      <c r="G451">
        <v>2</v>
      </c>
      <c r="H451" s="27" t="s">
        <v>1039</v>
      </c>
      <c r="I451" s="27" t="s">
        <v>1153</v>
      </c>
      <c r="J451">
        <v>1629.45</v>
      </c>
      <c r="K451">
        <v>1407.5</v>
      </c>
      <c r="L451">
        <v>3258.9</v>
      </c>
      <c r="M451">
        <v>2815</v>
      </c>
      <c r="N451">
        <v>443.90000000000009</v>
      </c>
      <c r="O451" s="17">
        <f t="shared" si="6"/>
        <v>15.769094138543521</v>
      </c>
      <c r="P451" t="s">
        <v>45</v>
      </c>
    </row>
    <row r="452" spans="1:16">
      <c r="A452">
        <v>450</v>
      </c>
      <c r="B452" t="s">
        <v>441</v>
      </c>
      <c r="C452" t="s">
        <v>445</v>
      </c>
      <c r="D452" t="s">
        <v>445</v>
      </c>
      <c r="E452" t="s">
        <v>72</v>
      </c>
      <c r="F452" t="s">
        <v>584</v>
      </c>
      <c r="G452">
        <v>7</v>
      </c>
      <c r="H452" s="27" t="s">
        <v>1018</v>
      </c>
      <c r="I452" s="27" t="s">
        <v>1153</v>
      </c>
      <c r="J452">
        <v>1629.45</v>
      </c>
      <c r="K452">
        <v>1493.79</v>
      </c>
      <c r="L452">
        <v>11406.15</v>
      </c>
      <c r="M452">
        <v>10456.529999999999</v>
      </c>
      <c r="N452">
        <v>949.62000000000057</v>
      </c>
      <c r="O452" s="17">
        <f t="shared" ref="O452:O515" si="7">N452/M452%</f>
        <v>9.0815978149539145</v>
      </c>
      <c r="P452" t="s">
        <v>45</v>
      </c>
    </row>
    <row r="453" spans="1:16">
      <c r="A453">
        <v>451</v>
      </c>
      <c r="B453" t="s">
        <v>18</v>
      </c>
      <c r="C453">
        <v>532281</v>
      </c>
      <c r="D453" t="s">
        <v>88</v>
      </c>
      <c r="E453" t="s">
        <v>72</v>
      </c>
      <c r="F453" t="s">
        <v>89</v>
      </c>
      <c r="G453">
        <v>11</v>
      </c>
      <c r="H453" s="27" t="s">
        <v>1108</v>
      </c>
      <c r="I453" s="27" t="s">
        <v>1153</v>
      </c>
      <c r="J453">
        <v>1088.29</v>
      </c>
      <c r="K453">
        <v>962.08</v>
      </c>
      <c r="L453">
        <v>11971.189999999999</v>
      </c>
      <c r="M453">
        <v>10582.880000000001</v>
      </c>
      <c r="N453">
        <v>1388.309999999999</v>
      </c>
      <c r="O453" s="17">
        <f t="shared" si="7"/>
        <v>13.118451688009301</v>
      </c>
      <c r="P453" t="s">
        <v>45</v>
      </c>
    </row>
    <row r="454" spans="1:16">
      <c r="A454">
        <v>452</v>
      </c>
      <c r="B454" t="s">
        <v>712</v>
      </c>
      <c r="C454" t="s">
        <v>713</v>
      </c>
      <c r="D454" t="s">
        <v>716</v>
      </c>
      <c r="E454" t="s">
        <v>72</v>
      </c>
      <c r="F454" t="s">
        <v>971</v>
      </c>
      <c r="G454">
        <v>12</v>
      </c>
      <c r="H454" s="27" t="s">
        <v>1142</v>
      </c>
      <c r="I454" s="27" t="s">
        <v>1153</v>
      </c>
      <c r="J454">
        <v>1244.55</v>
      </c>
      <c r="K454">
        <v>1145.58</v>
      </c>
      <c r="L454">
        <v>14934.599999999999</v>
      </c>
      <c r="M454">
        <v>13746.96</v>
      </c>
      <c r="N454">
        <v>1187.6400000000003</v>
      </c>
      <c r="O454" s="17">
        <f t="shared" si="7"/>
        <v>8.6392918870790378</v>
      </c>
      <c r="P454" t="s">
        <v>45</v>
      </c>
    </row>
    <row r="455" spans="1:16">
      <c r="A455">
        <v>453</v>
      </c>
      <c r="B455" t="s">
        <v>645</v>
      </c>
      <c r="C455" t="s">
        <v>646</v>
      </c>
      <c r="D455" t="s">
        <v>646</v>
      </c>
      <c r="E455" t="s">
        <v>72</v>
      </c>
      <c r="F455" t="s">
        <v>647</v>
      </c>
      <c r="G455">
        <v>2</v>
      </c>
      <c r="H455" s="27" t="s">
        <v>1058</v>
      </c>
      <c r="I455" s="27" t="s">
        <v>1153</v>
      </c>
      <c r="J455">
        <v>2456.3000000000002</v>
      </c>
      <c r="K455">
        <v>1760.05</v>
      </c>
      <c r="L455">
        <v>4912.6000000000004</v>
      </c>
      <c r="M455">
        <v>3520.1</v>
      </c>
      <c r="N455">
        <v>1392.5000000000005</v>
      </c>
      <c r="O455" s="17">
        <f t="shared" si="7"/>
        <v>39.55853526888442</v>
      </c>
      <c r="P455" t="s">
        <v>45</v>
      </c>
    </row>
    <row r="456" spans="1:16">
      <c r="A456">
        <v>454</v>
      </c>
      <c r="B456" t="s">
        <v>645</v>
      </c>
      <c r="C456" t="s">
        <v>646</v>
      </c>
      <c r="D456" t="s">
        <v>646</v>
      </c>
      <c r="E456" t="s">
        <v>72</v>
      </c>
      <c r="F456" t="s">
        <v>647</v>
      </c>
      <c r="G456">
        <v>2</v>
      </c>
      <c r="H456" s="27" t="s">
        <v>1018</v>
      </c>
      <c r="I456" s="27" t="s">
        <v>1153</v>
      </c>
      <c r="J456">
        <v>2456.3000000000002</v>
      </c>
      <c r="K456">
        <v>2054.42</v>
      </c>
      <c r="L456">
        <v>4912.6000000000004</v>
      </c>
      <c r="M456">
        <v>4108.84</v>
      </c>
      <c r="N456">
        <v>803.76000000000022</v>
      </c>
      <c r="O456" s="17">
        <f t="shared" si="7"/>
        <v>19.561725450492116</v>
      </c>
      <c r="P456" t="s">
        <v>45</v>
      </c>
    </row>
    <row r="457" spans="1:16">
      <c r="A457">
        <v>455</v>
      </c>
      <c r="B457" t="s">
        <v>13</v>
      </c>
      <c r="C457" t="s">
        <v>83</v>
      </c>
      <c r="D457" t="s">
        <v>246</v>
      </c>
      <c r="E457" t="s">
        <v>76</v>
      </c>
      <c r="F457" t="s">
        <v>84</v>
      </c>
      <c r="G457">
        <v>8</v>
      </c>
      <c r="H457" s="27" t="s">
        <v>1108</v>
      </c>
      <c r="I457" s="27" t="s">
        <v>1154</v>
      </c>
      <c r="J457">
        <v>1308.51</v>
      </c>
      <c r="K457">
        <v>1301.25</v>
      </c>
      <c r="L457">
        <v>10468.08</v>
      </c>
      <c r="M457">
        <v>10410</v>
      </c>
      <c r="N457">
        <v>58.079999999999927</v>
      </c>
      <c r="O457" s="17">
        <f t="shared" si="7"/>
        <v>0.55792507204610886</v>
      </c>
      <c r="P457" t="s">
        <v>45</v>
      </c>
    </row>
    <row r="458" spans="1:16">
      <c r="A458">
        <v>456</v>
      </c>
      <c r="B458" t="s">
        <v>13</v>
      </c>
      <c r="C458" t="s">
        <v>83</v>
      </c>
      <c r="D458" t="s">
        <v>246</v>
      </c>
      <c r="E458" t="s">
        <v>76</v>
      </c>
      <c r="F458" t="s">
        <v>84</v>
      </c>
      <c r="G458">
        <v>2</v>
      </c>
      <c r="H458" s="27" t="s">
        <v>1046</v>
      </c>
      <c r="I458" s="27" t="s">
        <v>1154</v>
      </c>
      <c r="J458">
        <v>1308.51</v>
      </c>
      <c r="K458">
        <v>1151.6300000000001</v>
      </c>
      <c r="L458">
        <v>2617.02</v>
      </c>
      <c r="M458">
        <v>2303.2600000000002</v>
      </c>
      <c r="N458">
        <v>313.75999999999976</v>
      </c>
      <c r="O458" s="17">
        <f t="shared" si="7"/>
        <v>13.622430815452867</v>
      </c>
      <c r="P458" t="s">
        <v>45</v>
      </c>
    </row>
    <row r="459" spans="1:16">
      <c r="A459">
        <v>457</v>
      </c>
      <c r="B459" t="s">
        <v>34</v>
      </c>
      <c r="C459" t="s">
        <v>115</v>
      </c>
      <c r="D459" t="s">
        <v>115</v>
      </c>
      <c r="E459" t="s">
        <v>72</v>
      </c>
      <c r="F459" t="s">
        <v>116</v>
      </c>
      <c r="G459">
        <v>10</v>
      </c>
      <c r="H459" s="27" t="s">
        <v>255</v>
      </c>
      <c r="I459" s="27" t="s">
        <v>1154</v>
      </c>
      <c r="J459">
        <v>154.1</v>
      </c>
      <c r="K459">
        <v>125.01</v>
      </c>
      <c r="L459">
        <v>1541</v>
      </c>
      <c r="M459">
        <v>1250.1000000000001</v>
      </c>
      <c r="N459">
        <v>290.89999999999986</v>
      </c>
      <c r="O459" s="17">
        <f t="shared" si="7"/>
        <v>23.270138388928874</v>
      </c>
      <c r="P459" t="s">
        <v>45</v>
      </c>
    </row>
    <row r="460" spans="1:16">
      <c r="A460">
        <v>458</v>
      </c>
      <c r="B460" t="s">
        <v>893</v>
      </c>
      <c r="C460" t="s">
        <v>904</v>
      </c>
      <c r="D460" t="s">
        <v>904</v>
      </c>
      <c r="E460" t="s">
        <v>72</v>
      </c>
      <c r="F460" t="s">
        <v>905</v>
      </c>
      <c r="G460">
        <v>10</v>
      </c>
      <c r="H460" s="27" t="s">
        <v>1046</v>
      </c>
      <c r="I460" s="27" t="s">
        <v>1155</v>
      </c>
      <c r="J460">
        <v>576.75</v>
      </c>
      <c r="K460">
        <v>835.33</v>
      </c>
      <c r="L460">
        <v>5767.5</v>
      </c>
      <c r="M460">
        <v>8353.3000000000011</v>
      </c>
      <c r="N460">
        <v>-2585.8000000000002</v>
      </c>
      <c r="O460" s="17">
        <f t="shared" si="7"/>
        <v>-30.955430787832348</v>
      </c>
      <c r="P460" t="s">
        <v>45</v>
      </c>
    </row>
    <row r="461" spans="1:16">
      <c r="A461">
        <v>459</v>
      </c>
      <c r="B461" t="s">
        <v>717</v>
      </c>
      <c r="C461" t="s">
        <v>705</v>
      </c>
      <c r="D461" t="s">
        <v>705</v>
      </c>
      <c r="E461" t="s">
        <v>72</v>
      </c>
      <c r="F461" t="s">
        <v>706</v>
      </c>
      <c r="G461">
        <v>4</v>
      </c>
      <c r="H461" s="27" t="s">
        <v>1063</v>
      </c>
      <c r="I461" s="27" t="s">
        <v>1155</v>
      </c>
      <c r="J461">
        <v>1464.25</v>
      </c>
      <c r="K461">
        <v>1254.78</v>
      </c>
      <c r="L461">
        <v>5857</v>
      </c>
      <c r="M461">
        <v>5019.12</v>
      </c>
      <c r="N461">
        <v>837.88000000000011</v>
      </c>
      <c r="O461" s="17">
        <f t="shared" si="7"/>
        <v>16.693763050096432</v>
      </c>
      <c r="P461" t="s">
        <v>45</v>
      </c>
    </row>
    <row r="462" spans="1:16">
      <c r="A462">
        <v>460</v>
      </c>
      <c r="B462" t="s">
        <v>717</v>
      </c>
      <c r="C462" t="s">
        <v>705</v>
      </c>
      <c r="D462" t="s">
        <v>705</v>
      </c>
      <c r="E462" t="s">
        <v>72</v>
      </c>
      <c r="F462" t="s">
        <v>706</v>
      </c>
      <c r="G462">
        <v>3</v>
      </c>
      <c r="H462" s="27" t="s">
        <v>780</v>
      </c>
      <c r="I462" s="27" t="s">
        <v>1155</v>
      </c>
      <c r="J462">
        <v>1464.25</v>
      </c>
      <c r="K462">
        <v>1210.8</v>
      </c>
      <c r="L462">
        <v>4392.75</v>
      </c>
      <c r="M462">
        <v>3632.3999999999996</v>
      </c>
      <c r="N462">
        <v>760.35000000000014</v>
      </c>
      <c r="O462" s="17">
        <f t="shared" si="7"/>
        <v>20.932441361083587</v>
      </c>
      <c r="P462" t="s">
        <v>45</v>
      </c>
    </row>
    <row r="463" spans="1:16">
      <c r="A463">
        <v>461</v>
      </c>
      <c r="B463" t="s">
        <v>717</v>
      </c>
      <c r="C463" t="s">
        <v>705</v>
      </c>
      <c r="D463" t="s">
        <v>705</v>
      </c>
      <c r="E463" t="s">
        <v>72</v>
      </c>
      <c r="F463" t="s">
        <v>706</v>
      </c>
      <c r="G463">
        <v>6</v>
      </c>
      <c r="H463" s="27" t="s">
        <v>762</v>
      </c>
      <c r="I463" s="27" t="s">
        <v>1155</v>
      </c>
      <c r="J463">
        <v>1464.25</v>
      </c>
      <c r="K463">
        <v>1167.3800000000001</v>
      </c>
      <c r="L463">
        <v>8785.5</v>
      </c>
      <c r="M463">
        <v>7004.2800000000007</v>
      </c>
      <c r="N463">
        <v>1781.2199999999993</v>
      </c>
      <c r="O463" s="17">
        <f t="shared" si="7"/>
        <v>25.430451095615815</v>
      </c>
      <c r="P463" t="s">
        <v>45</v>
      </c>
    </row>
    <row r="464" spans="1:16">
      <c r="A464">
        <v>462</v>
      </c>
      <c r="B464" t="s">
        <v>717</v>
      </c>
      <c r="C464" t="s">
        <v>705</v>
      </c>
      <c r="D464" t="s">
        <v>705</v>
      </c>
      <c r="E464" t="s">
        <v>72</v>
      </c>
      <c r="F464" t="s">
        <v>706</v>
      </c>
      <c r="G464">
        <v>3</v>
      </c>
      <c r="H464" s="27" t="s">
        <v>736</v>
      </c>
      <c r="I464" s="27" t="s">
        <v>1155</v>
      </c>
      <c r="J464">
        <v>1464.25</v>
      </c>
      <c r="K464">
        <v>1233</v>
      </c>
      <c r="L464">
        <v>4392.75</v>
      </c>
      <c r="M464">
        <v>3699</v>
      </c>
      <c r="N464">
        <v>693.75</v>
      </c>
      <c r="O464" s="17">
        <f t="shared" si="7"/>
        <v>18.755068937550689</v>
      </c>
      <c r="P464" t="s">
        <v>45</v>
      </c>
    </row>
    <row r="465" spans="1:16">
      <c r="A465">
        <v>463</v>
      </c>
      <c r="B465" t="s">
        <v>717</v>
      </c>
      <c r="C465" t="s">
        <v>705</v>
      </c>
      <c r="D465" t="s">
        <v>705</v>
      </c>
      <c r="E465" t="s">
        <v>72</v>
      </c>
      <c r="F465" t="s">
        <v>706</v>
      </c>
      <c r="G465">
        <v>59</v>
      </c>
      <c r="H465" s="27" t="s">
        <v>708</v>
      </c>
      <c r="I465" s="27" t="s">
        <v>1155</v>
      </c>
      <c r="J465">
        <v>1464.25</v>
      </c>
      <c r="K465">
        <v>961.3</v>
      </c>
      <c r="L465">
        <v>86390.75</v>
      </c>
      <c r="M465">
        <v>56716.7</v>
      </c>
      <c r="N465">
        <v>29674.050000000003</v>
      </c>
      <c r="O465" s="17">
        <f t="shared" si="7"/>
        <v>52.319775304275474</v>
      </c>
      <c r="P465" t="s">
        <v>45</v>
      </c>
    </row>
    <row r="466" spans="1:16">
      <c r="A466">
        <v>464</v>
      </c>
      <c r="B466" t="s">
        <v>26</v>
      </c>
      <c r="C466" t="s">
        <v>102</v>
      </c>
      <c r="D466" t="s">
        <v>102</v>
      </c>
      <c r="E466" t="s">
        <v>72</v>
      </c>
      <c r="F466" t="s">
        <v>103</v>
      </c>
      <c r="G466">
        <v>100</v>
      </c>
      <c r="H466" s="27" t="s">
        <v>947</v>
      </c>
      <c r="I466" s="27" t="s">
        <v>1155</v>
      </c>
      <c r="J466">
        <v>109.1</v>
      </c>
      <c r="K466">
        <v>111.53</v>
      </c>
      <c r="L466">
        <v>10910</v>
      </c>
      <c r="M466">
        <v>11153</v>
      </c>
      <c r="N466">
        <v>-243.00000000000068</v>
      </c>
      <c r="O466" s="17">
        <f t="shared" si="7"/>
        <v>-2.1787859768672169</v>
      </c>
      <c r="P466" t="s">
        <v>45</v>
      </c>
    </row>
    <row r="467" spans="1:16">
      <c r="A467">
        <v>465</v>
      </c>
      <c r="B467" t="s">
        <v>931</v>
      </c>
      <c r="C467" t="s">
        <v>931</v>
      </c>
      <c r="D467" t="s">
        <v>931</v>
      </c>
      <c r="E467" t="s">
        <v>72</v>
      </c>
      <c r="F467" t="s">
        <v>932</v>
      </c>
      <c r="G467">
        <v>110</v>
      </c>
      <c r="H467" s="27" t="s">
        <v>1146</v>
      </c>
      <c r="I467" s="27" t="s">
        <v>1156</v>
      </c>
      <c r="J467">
        <v>113.56</v>
      </c>
      <c r="K467">
        <v>100.98</v>
      </c>
      <c r="L467">
        <v>12491.6</v>
      </c>
      <c r="M467">
        <v>11107.800000000001</v>
      </c>
      <c r="N467">
        <v>1383.7999999999997</v>
      </c>
      <c r="O467" s="17">
        <f t="shared" si="7"/>
        <v>12.457912457912453</v>
      </c>
      <c r="P467" t="s">
        <v>45</v>
      </c>
    </row>
    <row r="468" spans="1:16">
      <c r="A468">
        <v>466</v>
      </c>
      <c r="B468" t="s">
        <v>566</v>
      </c>
      <c r="C468" t="s">
        <v>567</v>
      </c>
      <c r="D468" t="s">
        <v>567</v>
      </c>
      <c r="E468" t="s">
        <v>72</v>
      </c>
      <c r="F468" t="s">
        <v>585</v>
      </c>
      <c r="G468">
        <v>10</v>
      </c>
      <c r="H468" s="27" t="s">
        <v>1043</v>
      </c>
      <c r="I468" s="27" t="s">
        <v>1156</v>
      </c>
      <c r="J468">
        <v>550</v>
      </c>
      <c r="K468">
        <v>471.43</v>
      </c>
      <c r="L468">
        <v>5500</v>
      </c>
      <c r="M468">
        <v>4714.3</v>
      </c>
      <c r="N468">
        <v>785.69999999999993</v>
      </c>
      <c r="O468" s="17">
        <f t="shared" si="7"/>
        <v>16.666313132384445</v>
      </c>
      <c r="P468" t="s">
        <v>45</v>
      </c>
    </row>
    <row r="469" spans="1:16">
      <c r="A469">
        <v>467</v>
      </c>
      <c r="B469" t="s">
        <v>19</v>
      </c>
      <c r="C469" t="s">
        <v>90</v>
      </c>
      <c r="D469" t="s">
        <v>90</v>
      </c>
      <c r="E469" t="s">
        <v>72</v>
      </c>
      <c r="F469" t="s">
        <v>91</v>
      </c>
      <c r="G469">
        <v>125</v>
      </c>
      <c r="H469" s="27" t="s">
        <v>1109</v>
      </c>
      <c r="I469" s="27" t="s">
        <v>1156</v>
      </c>
      <c r="J469">
        <v>291.23</v>
      </c>
      <c r="K469">
        <v>268.83999999999997</v>
      </c>
      <c r="L469">
        <v>36403.75</v>
      </c>
      <c r="M469">
        <v>33605</v>
      </c>
      <c r="N469">
        <v>2798.7500000000055</v>
      </c>
      <c r="O469" s="17">
        <f t="shared" si="7"/>
        <v>8.3283737539056855</v>
      </c>
      <c r="P469" t="s">
        <v>45</v>
      </c>
    </row>
    <row r="470" spans="1:16">
      <c r="A470">
        <v>468</v>
      </c>
      <c r="B470" t="s">
        <v>19</v>
      </c>
      <c r="C470" t="s">
        <v>90</v>
      </c>
      <c r="D470" t="s">
        <v>90</v>
      </c>
      <c r="E470" t="s">
        <v>72</v>
      </c>
      <c r="F470" t="s">
        <v>91</v>
      </c>
      <c r="G470">
        <v>90</v>
      </c>
      <c r="H470" s="27" t="s">
        <v>1042</v>
      </c>
      <c r="I470" s="27" t="s">
        <v>1156</v>
      </c>
      <c r="J470">
        <v>291.23</v>
      </c>
      <c r="K470">
        <v>307.12</v>
      </c>
      <c r="L470">
        <v>26210.7</v>
      </c>
      <c r="M470">
        <v>27640.799999999999</v>
      </c>
      <c r="N470">
        <v>-1430.0999999999988</v>
      </c>
      <c r="O470" s="17">
        <f t="shared" si="7"/>
        <v>-5.1738734045324257</v>
      </c>
      <c r="P470" t="s">
        <v>45</v>
      </c>
    </row>
    <row r="471" spans="1:16">
      <c r="A471">
        <v>469</v>
      </c>
      <c r="B471" t="s">
        <v>522</v>
      </c>
      <c r="C471" t="s">
        <v>523</v>
      </c>
      <c r="D471" t="s">
        <v>523</v>
      </c>
      <c r="E471" t="s">
        <v>72</v>
      </c>
      <c r="F471" t="s">
        <v>524</v>
      </c>
      <c r="G471">
        <v>75</v>
      </c>
      <c r="H471" s="27" t="s">
        <v>930</v>
      </c>
      <c r="I471" s="27" t="s">
        <v>1156</v>
      </c>
      <c r="J471">
        <v>131.51</v>
      </c>
      <c r="K471">
        <v>85.89</v>
      </c>
      <c r="L471">
        <v>9863.25</v>
      </c>
      <c r="M471">
        <v>6441.75</v>
      </c>
      <c r="N471">
        <v>3421.4999999999991</v>
      </c>
      <c r="O471" s="17">
        <f t="shared" si="7"/>
        <v>53.114448713470701</v>
      </c>
      <c r="P471" t="s">
        <v>45</v>
      </c>
    </row>
    <row r="472" spans="1:16">
      <c r="A472">
        <v>470</v>
      </c>
      <c r="B472" t="s">
        <v>522</v>
      </c>
      <c r="C472" t="s">
        <v>523</v>
      </c>
      <c r="D472" t="s">
        <v>523</v>
      </c>
      <c r="E472" t="s">
        <v>72</v>
      </c>
      <c r="F472" t="s">
        <v>524</v>
      </c>
      <c r="G472">
        <v>40</v>
      </c>
      <c r="H472" s="27" t="s">
        <v>872</v>
      </c>
      <c r="I472" s="27" t="s">
        <v>1156</v>
      </c>
      <c r="J472">
        <v>131.51</v>
      </c>
      <c r="K472">
        <v>122.38</v>
      </c>
      <c r="L472">
        <v>5260.4</v>
      </c>
      <c r="M472">
        <v>4895.2</v>
      </c>
      <c r="N472">
        <v>365.19999999999982</v>
      </c>
      <c r="O472" s="17">
        <f t="shared" si="7"/>
        <v>7.4603693413956496</v>
      </c>
      <c r="P472" t="s">
        <v>45</v>
      </c>
    </row>
    <row r="473" spans="1:16">
      <c r="A473">
        <v>471</v>
      </c>
      <c r="B473" t="s">
        <v>522</v>
      </c>
      <c r="C473" t="s">
        <v>523</v>
      </c>
      <c r="D473" t="s">
        <v>523</v>
      </c>
      <c r="E473" t="s">
        <v>72</v>
      </c>
      <c r="F473" t="s">
        <v>524</v>
      </c>
      <c r="G473">
        <v>15</v>
      </c>
      <c r="H473" s="27" t="s">
        <v>792</v>
      </c>
      <c r="I473" s="27" t="s">
        <v>1156</v>
      </c>
      <c r="J473">
        <v>131.51</v>
      </c>
      <c r="K473">
        <v>129.6</v>
      </c>
      <c r="L473">
        <v>1972.6499999999999</v>
      </c>
      <c r="M473">
        <v>1944</v>
      </c>
      <c r="N473">
        <v>28.649999999999949</v>
      </c>
      <c r="O473" s="17">
        <f t="shared" si="7"/>
        <v>1.4737654320987628</v>
      </c>
      <c r="P473" t="s">
        <v>45</v>
      </c>
    </row>
    <row r="474" spans="1:16">
      <c r="A474">
        <v>472</v>
      </c>
      <c r="B474" t="s">
        <v>522</v>
      </c>
      <c r="C474" t="s">
        <v>523</v>
      </c>
      <c r="D474" t="s">
        <v>523</v>
      </c>
      <c r="E474" t="s">
        <v>72</v>
      </c>
      <c r="F474" t="s">
        <v>524</v>
      </c>
      <c r="G474">
        <v>25</v>
      </c>
      <c r="H474" s="27" t="s">
        <v>778</v>
      </c>
      <c r="I474" s="27" t="s">
        <v>1156</v>
      </c>
      <c r="J474">
        <v>131.51</v>
      </c>
      <c r="K474">
        <v>133.35</v>
      </c>
      <c r="L474">
        <v>3287.75</v>
      </c>
      <c r="M474">
        <v>3333.75</v>
      </c>
      <c r="N474">
        <v>-46.000000000000085</v>
      </c>
      <c r="O474" s="17">
        <f t="shared" si="7"/>
        <v>-1.3798275215598077</v>
      </c>
      <c r="P474" t="s">
        <v>45</v>
      </c>
    </row>
    <row r="475" spans="1:16">
      <c r="A475">
        <v>473</v>
      </c>
      <c r="B475" t="s">
        <v>522</v>
      </c>
      <c r="C475" t="s">
        <v>523</v>
      </c>
      <c r="D475" t="s">
        <v>523</v>
      </c>
      <c r="E475" t="s">
        <v>72</v>
      </c>
      <c r="F475" t="s">
        <v>524</v>
      </c>
      <c r="G475">
        <v>120</v>
      </c>
      <c r="H475" s="27" t="s">
        <v>758</v>
      </c>
      <c r="I475" s="27" t="s">
        <v>1156</v>
      </c>
      <c r="J475">
        <v>131.51</v>
      </c>
      <c r="K475">
        <v>139.33000000000001</v>
      </c>
      <c r="L475">
        <v>15781.199999999999</v>
      </c>
      <c r="M475">
        <v>16719.600000000002</v>
      </c>
      <c r="N475">
        <v>-938.40000000000259</v>
      </c>
      <c r="O475" s="17">
        <f t="shared" si="7"/>
        <v>-5.6125744635039263</v>
      </c>
      <c r="P475" t="s">
        <v>45</v>
      </c>
    </row>
    <row r="476" spans="1:16">
      <c r="A476">
        <v>474</v>
      </c>
      <c r="B476" t="s">
        <v>522</v>
      </c>
      <c r="C476" t="s">
        <v>523</v>
      </c>
      <c r="D476" t="s">
        <v>523</v>
      </c>
      <c r="E476" t="s">
        <v>72</v>
      </c>
      <c r="F476" t="s">
        <v>524</v>
      </c>
      <c r="G476">
        <v>30</v>
      </c>
      <c r="H476" s="27" t="s">
        <v>704</v>
      </c>
      <c r="I476" s="27" t="s">
        <v>1156</v>
      </c>
      <c r="J476">
        <v>131.51</v>
      </c>
      <c r="K476">
        <v>139.75</v>
      </c>
      <c r="L476">
        <v>3945.2999999999997</v>
      </c>
      <c r="M476">
        <v>4192.5</v>
      </c>
      <c r="N476">
        <v>-247.20000000000027</v>
      </c>
      <c r="O476" s="17">
        <f t="shared" si="7"/>
        <v>-5.8962432915921354</v>
      </c>
      <c r="P476" t="s">
        <v>45</v>
      </c>
    </row>
    <row r="477" spans="1:16">
      <c r="A477">
        <v>475</v>
      </c>
      <c r="B477" t="s">
        <v>522</v>
      </c>
      <c r="C477" t="s">
        <v>523</v>
      </c>
      <c r="D477" t="s">
        <v>523</v>
      </c>
      <c r="E477" t="s">
        <v>72</v>
      </c>
      <c r="F477" t="s">
        <v>524</v>
      </c>
      <c r="G477">
        <v>25</v>
      </c>
      <c r="H477" s="27" t="s">
        <v>710</v>
      </c>
      <c r="I477" s="27" t="s">
        <v>1156</v>
      </c>
      <c r="J477">
        <v>131.51</v>
      </c>
      <c r="K477">
        <v>142.25</v>
      </c>
      <c r="L477">
        <v>3287.75</v>
      </c>
      <c r="M477">
        <v>3556.25</v>
      </c>
      <c r="N477">
        <v>-268.50000000000023</v>
      </c>
      <c r="O477" s="17">
        <f t="shared" si="7"/>
        <v>-7.5500878734622212</v>
      </c>
      <c r="P477" t="s">
        <v>45</v>
      </c>
    </row>
    <row r="478" spans="1:16">
      <c r="A478">
        <v>476</v>
      </c>
      <c r="B478" t="s">
        <v>522</v>
      </c>
      <c r="C478" t="s">
        <v>523</v>
      </c>
      <c r="D478" t="s">
        <v>523</v>
      </c>
      <c r="E478" t="s">
        <v>72</v>
      </c>
      <c r="F478" t="s">
        <v>524</v>
      </c>
      <c r="G478">
        <v>15</v>
      </c>
      <c r="H478" s="27" t="s">
        <v>563</v>
      </c>
      <c r="I478" s="27" t="s">
        <v>1156</v>
      </c>
      <c r="J478">
        <v>131.51</v>
      </c>
      <c r="K478">
        <v>127.03</v>
      </c>
      <c r="L478">
        <v>1972.6499999999999</v>
      </c>
      <c r="M478">
        <v>1905.45</v>
      </c>
      <c r="N478">
        <v>67.199999999999847</v>
      </c>
      <c r="O478" s="17">
        <f t="shared" si="7"/>
        <v>3.5267259702432412</v>
      </c>
      <c r="P478" t="s">
        <v>45</v>
      </c>
    </row>
    <row r="479" spans="1:16">
      <c r="A479">
        <v>477</v>
      </c>
      <c r="B479" t="s">
        <v>31</v>
      </c>
      <c r="C479" t="s">
        <v>111</v>
      </c>
      <c r="D479" t="s">
        <v>111</v>
      </c>
      <c r="E479" t="s">
        <v>72</v>
      </c>
      <c r="F479" t="s">
        <v>112</v>
      </c>
      <c r="G479">
        <v>100</v>
      </c>
      <c r="H479" s="27" t="s">
        <v>1059</v>
      </c>
      <c r="I479" s="27" t="s">
        <v>1156</v>
      </c>
      <c r="J479">
        <v>118.86</v>
      </c>
      <c r="K479">
        <v>106</v>
      </c>
      <c r="L479">
        <v>11886</v>
      </c>
      <c r="M479">
        <v>10600</v>
      </c>
      <c r="N479">
        <v>1286</v>
      </c>
      <c r="O479" s="17">
        <f t="shared" si="7"/>
        <v>12.132075471698114</v>
      </c>
      <c r="P479" t="s">
        <v>45</v>
      </c>
    </row>
    <row r="480" spans="1:16">
      <c r="A480">
        <v>478</v>
      </c>
      <c r="B480" t="s">
        <v>31</v>
      </c>
      <c r="C480" t="s">
        <v>111</v>
      </c>
      <c r="D480" t="s">
        <v>111</v>
      </c>
      <c r="E480" t="s">
        <v>72</v>
      </c>
      <c r="F480" t="s">
        <v>112</v>
      </c>
      <c r="G480">
        <v>10</v>
      </c>
      <c r="H480" s="27" t="s">
        <v>1046</v>
      </c>
      <c r="I480" s="27" t="s">
        <v>1156</v>
      </c>
      <c r="J480">
        <v>118.86</v>
      </c>
      <c r="K480">
        <v>111.21</v>
      </c>
      <c r="L480">
        <v>1188.5999999999999</v>
      </c>
      <c r="M480">
        <v>1112.0999999999999</v>
      </c>
      <c r="N480">
        <v>76.500000000000057</v>
      </c>
      <c r="O480" s="17">
        <f t="shared" si="7"/>
        <v>6.8788777987591105</v>
      </c>
      <c r="P480" t="s">
        <v>45</v>
      </c>
    </row>
    <row r="481" spans="1:16">
      <c r="A481">
        <v>479</v>
      </c>
      <c r="B481" t="s">
        <v>645</v>
      </c>
      <c r="C481" t="s">
        <v>646</v>
      </c>
      <c r="D481" t="s">
        <v>646</v>
      </c>
      <c r="E481" t="s">
        <v>72</v>
      </c>
      <c r="F481" t="s">
        <v>647</v>
      </c>
      <c r="G481">
        <v>6</v>
      </c>
      <c r="H481" s="27" t="s">
        <v>1018</v>
      </c>
      <c r="I481" s="27" t="s">
        <v>1156</v>
      </c>
      <c r="J481">
        <v>2333</v>
      </c>
      <c r="K481">
        <v>2054.42</v>
      </c>
      <c r="L481">
        <v>13998</v>
      </c>
      <c r="M481">
        <v>12326.52</v>
      </c>
      <c r="N481">
        <v>1671.4799999999996</v>
      </c>
      <c r="O481" s="17">
        <f t="shared" si="7"/>
        <v>13.560031541749005</v>
      </c>
      <c r="P481" t="s">
        <v>45</v>
      </c>
    </row>
    <row r="482" spans="1:16">
      <c r="A482">
        <v>480</v>
      </c>
      <c r="B482" t="s">
        <v>674</v>
      </c>
      <c r="C482" t="s">
        <v>675</v>
      </c>
      <c r="D482" t="s">
        <v>675</v>
      </c>
      <c r="E482" t="s">
        <v>72</v>
      </c>
      <c r="F482" t="s">
        <v>676</v>
      </c>
      <c r="G482">
        <v>20</v>
      </c>
      <c r="H482" s="27" t="s">
        <v>1108</v>
      </c>
      <c r="I482" s="27" t="s">
        <v>1178</v>
      </c>
      <c r="J482">
        <v>583.04999999999995</v>
      </c>
      <c r="K482">
        <v>541.66999999999996</v>
      </c>
      <c r="L482">
        <v>11661</v>
      </c>
      <c r="M482">
        <v>10833.4</v>
      </c>
      <c r="N482">
        <v>827.59999999999991</v>
      </c>
      <c r="O482" s="17">
        <f t="shared" si="7"/>
        <v>7.6393376040762817</v>
      </c>
      <c r="P482" t="s">
        <v>45</v>
      </c>
    </row>
    <row r="483" spans="1:16">
      <c r="A483">
        <v>481</v>
      </c>
      <c r="B483" t="s">
        <v>727</v>
      </c>
      <c r="C483" t="s">
        <v>728</v>
      </c>
      <c r="D483" t="s">
        <v>728</v>
      </c>
      <c r="E483" t="s">
        <v>72</v>
      </c>
      <c r="F483" t="s">
        <v>729</v>
      </c>
      <c r="G483">
        <v>8</v>
      </c>
      <c r="H483" s="27" t="s">
        <v>1042</v>
      </c>
      <c r="I483" s="27" t="s">
        <v>1179</v>
      </c>
      <c r="J483">
        <v>1570.04</v>
      </c>
      <c r="K483">
        <v>1282.6500000000001</v>
      </c>
      <c r="L483">
        <v>12560.32</v>
      </c>
      <c r="M483">
        <v>10261.200000000001</v>
      </c>
      <c r="N483">
        <v>2299.119999999999</v>
      </c>
      <c r="O483" s="17">
        <f t="shared" si="7"/>
        <v>22.405956418352616</v>
      </c>
      <c r="P483" t="s">
        <v>45</v>
      </c>
    </row>
    <row r="484" spans="1:16">
      <c r="A484">
        <v>482</v>
      </c>
      <c r="B484" t="s">
        <v>31</v>
      </c>
      <c r="C484" t="s">
        <v>111</v>
      </c>
      <c r="D484" t="s">
        <v>111</v>
      </c>
      <c r="E484" t="s">
        <v>72</v>
      </c>
      <c r="F484" t="s">
        <v>112</v>
      </c>
      <c r="G484">
        <v>60</v>
      </c>
      <c r="H484" s="27" t="s">
        <v>1046</v>
      </c>
      <c r="I484" s="27" t="s">
        <v>1180</v>
      </c>
      <c r="J484">
        <v>124.88</v>
      </c>
      <c r="K484">
        <v>111.21</v>
      </c>
      <c r="L484">
        <v>7492.7999999999993</v>
      </c>
      <c r="M484">
        <v>6672.5999999999995</v>
      </c>
      <c r="N484">
        <v>820.2</v>
      </c>
      <c r="O484" s="17">
        <f t="shared" si="7"/>
        <v>12.292060066540779</v>
      </c>
      <c r="P484" t="s">
        <v>45</v>
      </c>
    </row>
    <row r="485" spans="1:16">
      <c r="A485">
        <v>483</v>
      </c>
      <c r="B485" t="s">
        <v>31</v>
      </c>
      <c r="C485" t="s">
        <v>111</v>
      </c>
      <c r="D485" t="s">
        <v>111</v>
      </c>
      <c r="E485" t="s">
        <v>72</v>
      </c>
      <c r="F485" t="s">
        <v>112</v>
      </c>
      <c r="G485">
        <v>65</v>
      </c>
      <c r="H485" s="27" t="s">
        <v>1043</v>
      </c>
      <c r="I485" s="27" t="s">
        <v>1180</v>
      </c>
      <c r="J485">
        <v>124.88</v>
      </c>
      <c r="K485">
        <v>114.15</v>
      </c>
      <c r="L485">
        <v>8117.2</v>
      </c>
      <c r="M485">
        <v>7419.75</v>
      </c>
      <c r="N485">
        <v>697.44999999999936</v>
      </c>
      <c r="O485" s="17">
        <f t="shared" si="7"/>
        <v>9.3999123959702047</v>
      </c>
      <c r="P485" t="s">
        <v>45</v>
      </c>
    </row>
    <row r="486" spans="1:16">
      <c r="A486">
        <v>484</v>
      </c>
      <c r="B486" t="s">
        <v>29</v>
      </c>
      <c r="C486" t="s">
        <v>107</v>
      </c>
      <c r="D486" t="s">
        <v>107</v>
      </c>
      <c r="E486" t="s">
        <v>72</v>
      </c>
      <c r="F486" t="s">
        <v>108</v>
      </c>
      <c r="G486">
        <v>5</v>
      </c>
      <c r="H486" s="27" t="s">
        <v>1042</v>
      </c>
      <c r="I486" s="27" t="s">
        <v>1180</v>
      </c>
      <c r="J486">
        <v>2688.76</v>
      </c>
      <c r="K486">
        <v>2277.6</v>
      </c>
      <c r="L486">
        <v>13443.800000000001</v>
      </c>
      <c r="M486">
        <v>11388</v>
      </c>
      <c r="N486">
        <v>2055.8000000000015</v>
      </c>
      <c r="O486" s="17">
        <f t="shared" si="7"/>
        <v>18.052335792061832</v>
      </c>
      <c r="P486" t="s">
        <v>45</v>
      </c>
    </row>
    <row r="487" spans="1:16">
      <c r="A487">
        <v>485</v>
      </c>
      <c r="B487" t="s">
        <v>823</v>
      </c>
      <c r="C487" t="s">
        <v>824</v>
      </c>
      <c r="D487" t="s">
        <v>824</v>
      </c>
      <c r="E487" t="s">
        <v>72</v>
      </c>
      <c r="F487" t="s">
        <v>825</v>
      </c>
      <c r="G487">
        <v>27</v>
      </c>
      <c r="H487" s="27" t="s">
        <v>1063</v>
      </c>
      <c r="I487" s="27" t="s">
        <v>1180</v>
      </c>
      <c r="J487">
        <v>248.38</v>
      </c>
      <c r="K487">
        <v>234.37</v>
      </c>
      <c r="L487">
        <v>6706.26</v>
      </c>
      <c r="M487">
        <v>6327.99</v>
      </c>
      <c r="N487">
        <v>378.26999999999975</v>
      </c>
      <c r="O487" s="17">
        <f t="shared" si="7"/>
        <v>5.9777275248538597</v>
      </c>
      <c r="P487" t="s">
        <v>45</v>
      </c>
    </row>
    <row r="488" spans="1:16">
      <c r="A488">
        <v>486</v>
      </c>
      <c r="B488" t="s">
        <v>823</v>
      </c>
      <c r="C488" t="s">
        <v>824</v>
      </c>
      <c r="D488" t="s">
        <v>824</v>
      </c>
      <c r="E488" t="s">
        <v>72</v>
      </c>
      <c r="F488" t="s">
        <v>825</v>
      </c>
      <c r="G488">
        <v>15</v>
      </c>
      <c r="H488" s="27" t="s">
        <v>1031</v>
      </c>
      <c r="I488" s="27" t="s">
        <v>1180</v>
      </c>
      <c r="J488">
        <v>248.38</v>
      </c>
      <c r="K488">
        <v>249.4</v>
      </c>
      <c r="L488">
        <v>3725.7</v>
      </c>
      <c r="M488">
        <v>3741</v>
      </c>
      <c r="N488">
        <v>-15.300000000000153</v>
      </c>
      <c r="O488" s="17">
        <f t="shared" si="7"/>
        <v>-0.40898155573376516</v>
      </c>
      <c r="P488" t="s">
        <v>45</v>
      </c>
    </row>
    <row r="489" spans="1:16">
      <c r="A489">
        <v>487</v>
      </c>
      <c r="B489" t="s">
        <v>823</v>
      </c>
      <c r="C489" t="s">
        <v>824</v>
      </c>
      <c r="D489" t="s">
        <v>824</v>
      </c>
      <c r="E489" t="s">
        <v>72</v>
      </c>
      <c r="F489" t="s">
        <v>825</v>
      </c>
      <c r="G489">
        <v>100</v>
      </c>
      <c r="H489" s="27" t="s">
        <v>1037</v>
      </c>
      <c r="I489" s="27" t="s">
        <v>1180</v>
      </c>
      <c r="J489">
        <v>248.38</v>
      </c>
      <c r="K489">
        <v>268.14999999999998</v>
      </c>
      <c r="L489">
        <v>24838</v>
      </c>
      <c r="M489">
        <v>26814.999999999996</v>
      </c>
      <c r="N489">
        <v>-1976.9999999999982</v>
      </c>
      <c r="O489" s="17">
        <f t="shared" si="7"/>
        <v>-7.3727391385418546</v>
      </c>
      <c r="P489" t="s">
        <v>45</v>
      </c>
    </row>
    <row r="490" spans="1:16">
      <c r="A490">
        <v>488</v>
      </c>
      <c r="B490" t="s">
        <v>823</v>
      </c>
      <c r="C490" t="s">
        <v>824</v>
      </c>
      <c r="D490" t="s">
        <v>824</v>
      </c>
      <c r="E490" t="s">
        <v>72</v>
      </c>
      <c r="F490" t="s">
        <v>825</v>
      </c>
      <c r="G490">
        <v>79</v>
      </c>
      <c r="H490" s="27" t="s">
        <v>928</v>
      </c>
      <c r="I490" s="27" t="s">
        <v>1180</v>
      </c>
      <c r="J490">
        <v>248.38</v>
      </c>
      <c r="K490">
        <v>230</v>
      </c>
      <c r="L490">
        <v>19622.02</v>
      </c>
      <c r="M490">
        <v>18170</v>
      </c>
      <c r="N490">
        <v>1452.0199999999995</v>
      </c>
      <c r="O490" s="17">
        <f t="shared" si="7"/>
        <v>7.9913043478260848</v>
      </c>
      <c r="P490" t="s">
        <v>45</v>
      </c>
    </row>
    <row r="491" spans="1:16">
      <c r="A491">
        <v>489</v>
      </c>
      <c r="B491" t="s">
        <v>28</v>
      </c>
      <c r="C491" t="s">
        <v>28</v>
      </c>
      <c r="D491" t="s">
        <v>28</v>
      </c>
      <c r="E491" t="s">
        <v>72</v>
      </c>
      <c r="F491" t="s">
        <v>1143</v>
      </c>
      <c r="G491">
        <v>50</v>
      </c>
      <c r="H491" s="27" t="s">
        <v>1151</v>
      </c>
      <c r="I491" s="27" t="s">
        <v>1180</v>
      </c>
      <c r="J491">
        <v>234.46</v>
      </c>
      <c r="K491">
        <v>225.5</v>
      </c>
      <c r="L491">
        <v>11723</v>
      </c>
      <c r="M491">
        <v>11275</v>
      </c>
      <c r="N491">
        <v>448.0000000000004</v>
      </c>
      <c r="O491" s="17">
        <f t="shared" si="7"/>
        <v>3.9733924611973426</v>
      </c>
      <c r="P491" t="s">
        <v>45</v>
      </c>
    </row>
    <row r="492" spans="1:16">
      <c r="A492">
        <v>490</v>
      </c>
      <c r="B492" t="s">
        <v>28</v>
      </c>
      <c r="C492" t="s">
        <v>28</v>
      </c>
      <c r="D492" t="s">
        <v>28</v>
      </c>
      <c r="E492" t="s">
        <v>72</v>
      </c>
      <c r="F492" t="s">
        <v>1143</v>
      </c>
      <c r="G492">
        <v>150</v>
      </c>
      <c r="H492" s="27" t="s">
        <v>1154</v>
      </c>
      <c r="I492" s="27" t="s">
        <v>1180</v>
      </c>
      <c r="J492">
        <v>234.46</v>
      </c>
      <c r="K492">
        <v>220.6</v>
      </c>
      <c r="L492">
        <v>35169</v>
      </c>
      <c r="M492">
        <v>33090</v>
      </c>
      <c r="N492">
        <v>2079.0000000000018</v>
      </c>
      <c r="O492" s="17">
        <f t="shared" si="7"/>
        <v>6.2828649138712658</v>
      </c>
      <c r="P492" t="s">
        <v>45</v>
      </c>
    </row>
    <row r="493" spans="1:16">
      <c r="A493">
        <v>491</v>
      </c>
      <c r="B493" t="s">
        <v>28</v>
      </c>
      <c r="C493" t="s">
        <v>28</v>
      </c>
      <c r="D493" t="s">
        <v>28</v>
      </c>
      <c r="E493" t="s">
        <v>72</v>
      </c>
      <c r="F493" t="s">
        <v>1143</v>
      </c>
      <c r="G493">
        <v>150</v>
      </c>
      <c r="H493" s="27" t="s">
        <v>1155</v>
      </c>
      <c r="I493" s="27" t="s">
        <v>1180</v>
      </c>
      <c r="J493">
        <v>234.46</v>
      </c>
      <c r="K493">
        <v>229.1</v>
      </c>
      <c r="L493">
        <v>35169</v>
      </c>
      <c r="M493">
        <v>34365</v>
      </c>
      <c r="N493">
        <v>804.00000000000205</v>
      </c>
      <c r="O493" s="17">
        <f t="shared" si="7"/>
        <v>2.3395896988214813</v>
      </c>
      <c r="P493" t="s">
        <v>45</v>
      </c>
    </row>
    <row r="494" spans="1:16">
      <c r="A494">
        <v>492</v>
      </c>
      <c r="B494" t="s">
        <v>812</v>
      </c>
      <c r="C494" t="s">
        <v>813</v>
      </c>
      <c r="D494" t="s">
        <v>815</v>
      </c>
      <c r="E494" t="s">
        <v>72</v>
      </c>
      <c r="F494" t="s">
        <v>814</v>
      </c>
      <c r="G494">
        <v>30</v>
      </c>
      <c r="H494" s="27" t="s">
        <v>1063</v>
      </c>
      <c r="I494" s="27" t="s">
        <v>1180</v>
      </c>
      <c r="J494">
        <v>322.7</v>
      </c>
      <c r="K494">
        <v>303.66000000000003</v>
      </c>
      <c r="L494">
        <v>9681</v>
      </c>
      <c r="M494">
        <v>9109.8000000000011</v>
      </c>
      <c r="N494">
        <v>571.19999999999891</v>
      </c>
      <c r="O494" s="17">
        <f t="shared" si="7"/>
        <v>6.2701705855232701</v>
      </c>
      <c r="P494" t="s">
        <v>45</v>
      </c>
    </row>
    <row r="495" spans="1:16">
      <c r="A495">
        <v>493</v>
      </c>
      <c r="B495" t="s">
        <v>665</v>
      </c>
      <c r="C495" t="s">
        <v>666</v>
      </c>
      <c r="D495" t="s">
        <v>666</v>
      </c>
      <c r="E495" t="s">
        <v>72</v>
      </c>
      <c r="F495" t="s">
        <v>667</v>
      </c>
      <c r="G495">
        <v>9</v>
      </c>
      <c r="H495" s="27" t="s">
        <v>1059</v>
      </c>
      <c r="I495" s="27" t="s">
        <v>1182</v>
      </c>
      <c r="J495">
        <v>2427.17</v>
      </c>
      <c r="K495">
        <v>2266.9699999999998</v>
      </c>
      <c r="L495">
        <v>21844.53</v>
      </c>
      <c r="M495">
        <v>20402.73</v>
      </c>
      <c r="N495">
        <v>1441.8000000000025</v>
      </c>
      <c r="O495" s="17">
        <f t="shared" si="7"/>
        <v>7.0667013679051891</v>
      </c>
      <c r="P495" t="s">
        <v>45</v>
      </c>
    </row>
    <row r="496" spans="1:16">
      <c r="A496">
        <v>494</v>
      </c>
      <c r="B496" t="s">
        <v>665</v>
      </c>
      <c r="C496" t="s">
        <v>666</v>
      </c>
      <c r="D496" t="s">
        <v>666</v>
      </c>
      <c r="E496" t="s">
        <v>72</v>
      </c>
      <c r="F496" t="s">
        <v>667</v>
      </c>
      <c r="G496">
        <v>4</v>
      </c>
      <c r="H496" s="27" t="s">
        <v>1047</v>
      </c>
      <c r="I496" s="27" t="s">
        <v>1182</v>
      </c>
      <c r="J496">
        <v>2427.17</v>
      </c>
      <c r="K496">
        <v>2513.25</v>
      </c>
      <c r="L496">
        <v>9708.68</v>
      </c>
      <c r="M496">
        <v>10053</v>
      </c>
      <c r="N496">
        <v>-344.31999999999971</v>
      </c>
      <c r="O496" s="17">
        <f t="shared" si="7"/>
        <v>-3.4250472495772377</v>
      </c>
      <c r="P496" t="s">
        <v>45</v>
      </c>
    </row>
    <row r="497" spans="1:16">
      <c r="A497">
        <v>495</v>
      </c>
      <c r="B497" t="s">
        <v>533</v>
      </c>
      <c r="C497" t="s">
        <v>534</v>
      </c>
      <c r="D497" t="s">
        <v>534</v>
      </c>
      <c r="E497" t="s">
        <v>72</v>
      </c>
      <c r="F497" t="s">
        <v>535</v>
      </c>
      <c r="G497">
        <v>7</v>
      </c>
      <c r="H497" s="27" t="s">
        <v>1058</v>
      </c>
      <c r="I497" s="27" t="s">
        <v>1182</v>
      </c>
      <c r="J497">
        <v>2850.17</v>
      </c>
      <c r="K497">
        <v>2734.5</v>
      </c>
      <c r="L497">
        <v>19951.190000000002</v>
      </c>
      <c r="M497">
        <v>19141.5</v>
      </c>
      <c r="N497">
        <v>809.69000000000051</v>
      </c>
      <c r="O497" s="17">
        <f t="shared" si="7"/>
        <v>4.2300237703419299</v>
      </c>
      <c r="P497" t="s">
        <v>45</v>
      </c>
    </row>
    <row r="498" spans="1:16">
      <c r="A498">
        <v>496</v>
      </c>
      <c r="B498" t="s">
        <v>533</v>
      </c>
      <c r="C498" t="s">
        <v>534</v>
      </c>
      <c r="D498" t="s">
        <v>534</v>
      </c>
      <c r="E498" t="s">
        <v>72</v>
      </c>
      <c r="F498" t="s">
        <v>535</v>
      </c>
      <c r="G498">
        <v>10</v>
      </c>
      <c r="H498" s="27" t="s">
        <v>1049</v>
      </c>
      <c r="I498" s="27" t="s">
        <v>1182</v>
      </c>
      <c r="J498">
        <v>2850.17</v>
      </c>
      <c r="K498">
        <v>3048.19</v>
      </c>
      <c r="L498">
        <v>28501.7</v>
      </c>
      <c r="M498">
        <v>30481.9</v>
      </c>
      <c r="N498">
        <v>-1980.1999999999998</v>
      </c>
      <c r="O498" s="17">
        <f t="shared" si="7"/>
        <v>-6.4963142061354437</v>
      </c>
      <c r="P498" t="s">
        <v>45</v>
      </c>
    </row>
    <row r="499" spans="1:16">
      <c r="A499">
        <v>497</v>
      </c>
      <c r="B499" t="s">
        <v>1084</v>
      </c>
      <c r="C499" t="s">
        <v>1084</v>
      </c>
      <c r="D499" t="s">
        <v>1084</v>
      </c>
      <c r="E499" t="s">
        <v>72</v>
      </c>
      <c r="F499" t="s">
        <v>1085</v>
      </c>
      <c r="G499">
        <v>3</v>
      </c>
      <c r="H499" s="27" t="s">
        <v>1180</v>
      </c>
      <c r="I499" s="27" t="s">
        <v>1190</v>
      </c>
      <c r="J499">
        <v>2369</v>
      </c>
      <c r="K499">
        <v>2256.4</v>
      </c>
      <c r="L499">
        <v>7107</v>
      </c>
      <c r="M499">
        <v>6769.2000000000007</v>
      </c>
      <c r="N499">
        <v>337.79999999999973</v>
      </c>
      <c r="O499" s="17">
        <f t="shared" si="7"/>
        <v>4.9902499556816124</v>
      </c>
      <c r="P499" t="s">
        <v>45</v>
      </c>
    </row>
    <row r="500" spans="1:16">
      <c r="A500">
        <v>498</v>
      </c>
      <c r="B500" t="s">
        <v>894</v>
      </c>
      <c r="C500" t="s">
        <v>898</v>
      </c>
      <c r="D500" t="s">
        <v>898</v>
      </c>
      <c r="E500" t="s">
        <v>72</v>
      </c>
      <c r="F500" t="s">
        <v>899</v>
      </c>
      <c r="G500">
        <v>2</v>
      </c>
      <c r="H500" s="27" t="s">
        <v>1098</v>
      </c>
      <c r="I500" s="27" t="s">
        <v>1190</v>
      </c>
      <c r="J500">
        <v>4295</v>
      </c>
      <c r="K500">
        <v>3559.73</v>
      </c>
      <c r="L500">
        <v>8590</v>
      </c>
      <c r="M500">
        <v>7119.46</v>
      </c>
      <c r="N500">
        <v>1470.54</v>
      </c>
      <c r="O500" s="17">
        <f t="shared" si="7"/>
        <v>20.655218232843502</v>
      </c>
      <c r="P500" t="s">
        <v>45</v>
      </c>
    </row>
    <row r="501" spans="1:16">
      <c r="A501">
        <v>499</v>
      </c>
      <c r="B501" t="s">
        <v>894</v>
      </c>
      <c r="C501" t="s">
        <v>898</v>
      </c>
      <c r="D501" t="s">
        <v>898</v>
      </c>
      <c r="E501" t="s">
        <v>72</v>
      </c>
      <c r="F501" t="s">
        <v>899</v>
      </c>
      <c r="G501">
        <v>1</v>
      </c>
      <c r="H501" s="27" t="s">
        <v>1102</v>
      </c>
      <c r="I501" s="27" t="s">
        <v>1190</v>
      </c>
      <c r="J501">
        <v>4295</v>
      </c>
      <c r="K501">
        <v>3608</v>
      </c>
      <c r="L501">
        <v>4295</v>
      </c>
      <c r="M501">
        <v>3608</v>
      </c>
      <c r="N501">
        <v>687</v>
      </c>
      <c r="O501" s="17">
        <f t="shared" si="7"/>
        <v>19.041019955654104</v>
      </c>
      <c r="P501" t="s">
        <v>45</v>
      </c>
    </row>
    <row r="502" spans="1:16">
      <c r="A502">
        <v>500</v>
      </c>
      <c r="B502" t="s">
        <v>812</v>
      </c>
      <c r="C502" t="s">
        <v>813</v>
      </c>
      <c r="D502" t="s">
        <v>815</v>
      </c>
      <c r="E502" t="s">
        <v>72</v>
      </c>
      <c r="F502" t="s">
        <v>814</v>
      </c>
      <c r="G502">
        <v>24</v>
      </c>
      <c r="H502" s="27" t="s">
        <v>1063</v>
      </c>
      <c r="I502" s="27" t="s">
        <v>1190</v>
      </c>
      <c r="J502">
        <v>339.38</v>
      </c>
      <c r="K502">
        <v>303.66000000000003</v>
      </c>
      <c r="L502">
        <v>8145.12</v>
      </c>
      <c r="M502">
        <v>7287.84</v>
      </c>
      <c r="N502">
        <v>857.27999999999929</v>
      </c>
      <c r="O502" s="17">
        <f t="shared" si="7"/>
        <v>11.763156161496401</v>
      </c>
      <c r="P502" t="s">
        <v>45</v>
      </c>
    </row>
    <row r="503" spans="1:16">
      <c r="A503">
        <v>501</v>
      </c>
      <c r="B503" t="s">
        <v>966</v>
      </c>
      <c r="C503" t="s">
        <v>967</v>
      </c>
      <c r="D503" t="s">
        <v>967</v>
      </c>
      <c r="E503" t="s">
        <v>72</v>
      </c>
      <c r="F503" t="s">
        <v>968</v>
      </c>
      <c r="G503">
        <v>7</v>
      </c>
      <c r="H503" s="27" t="s">
        <v>1182</v>
      </c>
      <c r="I503" s="27" t="s">
        <v>1190</v>
      </c>
      <c r="J503">
        <v>798.86</v>
      </c>
      <c r="K503">
        <v>742.4</v>
      </c>
      <c r="L503">
        <v>5592.02</v>
      </c>
      <c r="M503">
        <v>5196.8</v>
      </c>
      <c r="N503">
        <v>395.22000000000025</v>
      </c>
      <c r="O503" s="17">
        <f t="shared" si="7"/>
        <v>7.6050646551724181</v>
      </c>
      <c r="P503" t="s">
        <v>45</v>
      </c>
    </row>
    <row r="504" spans="1:16">
      <c r="A504">
        <v>502</v>
      </c>
      <c r="B504" t="s">
        <v>545</v>
      </c>
      <c r="C504" t="s">
        <v>546</v>
      </c>
      <c r="D504" t="s">
        <v>546</v>
      </c>
      <c r="E504" t="s">
        <v>72</v>
      </c>
      <c r="F504" t="s">
        <v>547</v>
      </c>
      <c r="G504">
        <v>8</v>
      </c>
      <c r="H504" s="27" t="s">
        <v>1109</v>
      </c>
      <c r="I504" s="27" t="s">
        <v>1190</v>
      </c>
      <c r="J504">
        <v>1706.38</v>
      </c>
      <c r="K504">
        <v>1263.1600000000001</v>
      </c>
      <c r="L504">
        <v>13651.04</v>
      </c>
      <c r="M504">
        <v>10105.280000000001</v>
      </c>
      <c r="N504">
        <v>3545.76</v>
      </c>
      <c r="O504" s="17">
        <f t="shared" si="7"/>
        <v>35.088191519680798</v>
      </c>
      <c r="P504" t="s">
        <v>45</v>
      </c>
    </row>
    <row r="505" spans="1:16">
      <c r="A505">
        <v>503</v>
      </c>
      <c r="B505" t="s">
        <v>12</v>
      </c>
      <c r="C505" t="s">
        <v>410</v>
      </c>
      <c r="D505" t="s">
        <v>81</v>
      </c>
      <c r="E505" t="s">
        <v>72</v>
      </c>
      <c r="F505" t="s">
        <v>82</v>
      </c>
      <c r="G505">
        <v>5</v>
      </c>
      <c r="H505" s="27" t="s">
        <v>1098</v>
      </c>
      <c r="I505" s="27" t="s">
        <v>1190</v>
      </c>
      <c r="J505">
        <v>752.76</v>
      </c>
      <c r="K505">
        <v>745.38</v>
      </c>
      <c r="L505">
        <v>3763.8</v>
      </c>
      <c r="M505">
        <v>3726.9</v>
      </c>
      <c r="N505">
        <v>36.899999999999977</v>
      </c>
      <c r="O505" s="17">
        <f t="shared" si="7"/>
        <v>0.99009900990098954</v>
      </c>
      <c r="P505" t="s">
        <v>45</v>
      </c>
    </row>
    <row r="506" spans="1:16">
      <c r="A506">
        <v>504</v>
      </c>
      <c r="B506" t="s">
        <v>12</v>
      </c>
      <c r="C506" t="s">
        <v>410</v>
      </c>
      <c r="D506" t="s">
        <v>81</v>
      </c>
      <c r="E506" t="s">
        <v>72</v>
      </c>
      <c r="F506" t="s">
        <v>82</v>
      </c>
      <c r="G506">
        <v>2</v>
      </c>
      <c r="H506" s="27" t="s">
        <v>1031</v>
      </c>
      <c r="I506" s="27" t="s">
        <v>1190</v>
      </c>
      <c r="J506">
        <v>752.76</v>
      </c>
      <c r="K506">
        <v>715.6</v>
      </c>
      <c r="L506">
        <v>1505.52</v>
      </c>
      <c r="M506">
        <v>1431.2</v>
      </c>
      <c r="N506">
        <v>74.319999999999936</v>
      </c>
      <c r="O506" s="17">
        <f t="shared" si="7"/>
        <v>5.1928451648965854</v>
      </c>
      <c r="P506" t="s">
        <v>45</v>
      </c>
    </row>
    <row r="507" spans="1:16">
      <c r="A507">
        <v>505</v>
      </c>
      <c r="B507" t="s">
        <v>645</v>
      </c>
      <c r="C507" t="s">
        <v>646</v>
      </c>
      <c r="D507" t="s">
        <v>646</v>
      </c>
      <c r="E507" t="s">
        <v>72</v>
      </c>
      <c r="F507" t="s">
        <v>647</v>
      </c>
      <c r="G507">
        <v>4</v>
      </c>
      <c r="H507" s="27" t="s">
        <v>1018</v>
      </c>
      <c r="I507" s="27" t="s">
        <v>1190</v>
      </c>
      <c r="J507">
        <v>2492.25</v>
      </c>
      <c r="K507">
        <v>2054.42</v>
      </c>
      <c r="L507">
        <v>9969</v>
      </c>
      <c r="M507">
        <v>8217.68</v>
      </c>
      <c r="N507">
        <v>1751.3199999999997</v>
      </c>
      <c r="O507" s="17">
        <f t="shared" si="7"/>
        <v>21.311611062976407</v>
      </c>
      <c r="P507" t="s">
        <v>45</v>
      </c>
    </row>
    <row r="508" spans="1:16">
      <c r="A508">
        <v>506</v>
      </c>
      <c r="B508" t="s">
        <v>894</v>
      </c>
      <c r="C508" t="s">
        <v>898</v>
      </c>
      <c r="D508" t="s">
        <v>898</v>
      </c>
      <c r="E508" t="s">
        <v>72</v>
      </c>
      <c r="F508" t="s">
        <v>899</v>
      </c>
      <c r="G508">
        <v>1</v>
      </c>
      <c r="H508" s="27" t="s">
        <v>1102</v>
      </c>
      <c r="I508" s="27" t="s">
        <v>1186</v>
      </c>
      <c r="J508">
        <v>4012.95</v>
      </c>
      <c r="K508">
        <v>3608</v>
      </c>
      <c r="L508">
        <v>4012.95</v>
      </c>
      <c r="M508">
        <v>3608</v>
      </c>
      <c r="N508">
        <v>404.94999999999982</v>
      </c>
      <c r="O508" s="17">
        <f t="shared" si="7"/>
        <v>11.223669623059862</v>
      </c>
      <c r="P508" t="s">
        <v>45</v>
      </c>
    </row>
    <row r="509" spans="1:16">
      <c r="A509">
        <v>507</v>
      </c>
      <c r="B509" t="s">
        <v>894</v>
      </c>
      <c r="C509" t="s">
        <v>898</v>
      </c>
      <c r="D509" t="s">
        <v>898</v>
      </c>
      <c r="E509" t="s">
        <v>72</v>
      </c>
      <c r="F509" t="s">
        <v>899</v>
      </c>
      <c r="G509">
        <v>2</v>
      </c>
      <c r="H509" s="27" t="s">
        <v>1058</v>
      </c>
      <c r="I509" s="27" t="s">
        <v>1186</v>
      </c>
      <c r="J509">
        <v>4012.95</v>
      </c>
      <c r="K509">
        <v>3448.5</v>
      </c>
      <c r="L509">
        <v>8025.9</v>
      </c>
      <c r="M509">
        <v>6897</v>
      </c>
      <c r="N509">
        <v>1128.8999999999996</v>
      </c>
      <c r="O509" s="17">
        <f t="shared" si="7"/>
        <v>16.367986080904736</v>
      </c>
      <c r="P509" t="s">
        <v>45</v>
      </c>
    </row>
    <row r="510" spans="1:16">
      <c r="A510">
        <v>508</v>
      </c>
      <c r="B510" t="s">
        <v>931</v>
      </c>
      <c r="C510" t="s">
        <v>931</v>
      </c>
      <c r="D510" t="s">
        <v>931</v>
      </c>
      <c r="E510" t="s">
        <v>72</v>
      </c>
      <c r="F510" t="s">
        <v>932</v>
      </c>
      <c r="G510">
        <v>100</v>
      </c>
      <c r="H510" s="27" t="s">
        <v>1146</v>
      </c>
      <c r="I510" s="27" t="s">
        <v>1186</v>
      </c>
      <c r="J510">
        <v>120.5</v>
      </c>
      <c r="K510">
        <v>100.98</v>
      </c>
      <c r="L510">
        <v>12050</v>
      </c>
      <c r="M510">
        <v>10098</v>
      </c>
      <c r="N510">
        <v>1951.9999999999995</v>
      </c>
      <c r="O510" s="17">
        <f t="shared" si="7"/>
        <v>19.330560507031091</v>
      </c>
      <c r="P510" t="s">
        <v>45</v>
      </c>
    </row>
    <row r="511" spans="1:16">
      <c r="A511">
        <v>509</v>
      </c>
      <c r="B511" t="s">
        <v>34</v>
      </c>
      <c r="C511" t="s">
        <v>115</v>
      </c>
      <c r="D511" t="s">
        <v>115</v>
      </c>
      <c r="E511" t="s">
        <v>72</v>
      </c>
      <c r="F511" t="s">
        <v>116</v>
      </c>
      <c r="G511">
        <v>20</v>
      </c>
      <c r="H511" s="27" t="s">
        <v>255</v>
      </c>
      <c r="I511" s="27" t="s">
        <v>1186</v>
      </c>
      <c r="J511">
        <v>166.9</v>
      </c>
      <c r="K511">
        <v>125.01</v>
      </c>
      <c r="L511">
        <v>3338</v>
      </c>
      <c r="M511">
        <v>2500.2000000000003</v>
      </c>
      <c r="N511">
        <v>837.8</v>
      </c>
      <c r="O511" s="17">
        <f t="shared" si="7"/>
        <v>33.509319254459641</v>
      </c>
      <c r="P511" t="s">
        <v>45</v>
      </c>
    </row>
    <row r="512" spans="1:16">
      <c r="A512">
        <v>510</v>
      </c>
      <c r="B512" t="s">
        <v>982</v>
      </c>
      <c r="C512" t="s">
        <v>943</v>
      </c>
      <c r="D512" t="s">
        <v>943</v>
      </c>
      <c r="E512" t="s">
        <v>72</v>
      </c>
      <c r="F512" t="s">
        <v>944</v>
      </c>
      <c r="G512">
        <v>4</v>
      </c>
      <c r="H512" s="27" t="s">
        <v>942</v>
      </c>
      <c r="I512" s="27" t="s">
        <v>1186</v>
      </c>
      <c r="J512">
        <v>724.13</v>
      </c>
      <c r="K512">
        <v>556.07000000000005</v>
      </c>
      <c r="L512">
        <v>2896.52</v>
      </c>
      <c r="M512">
        <v>2224.2800000000002</v>
      </c>
      <c r="N512">
        <v>672.23999999999978</v>
      </c>
      <c r="O512" s="17">
        <f t="shared" si="7"/>
        <v>30.222813674537367</v>
      </c>
      <c r="P512" t="s">
        <v>45</v>
      </c>
    </row>
    <row r="513" spans="1:16">
      <c r="A513">
        <v>511</v>
      </c>
      <c r="B513" t="s">
        <v>982</v>
      </c>
      <c r="C513" t="s">
        <v>943</v>
      </c>
      <c r="D513" t="s">
        <v>943</v>
      </c>
      <c r="E513" t="s">
        <v>72</v>
      </c>
      <c r="F513" t="s">
        <v>944</v>
      </c>
      <c r="G513">
        <v>4</v>
      </c>
      <c r="H513" s="27" t="s">
        <v>946</v>
      </c>
      <c r="I513" s="27" t="s">
        <v>1186</v>
      </c>
      <c r="J513">
        <v>724.13</v>
      </c>
      <c r="K513">
        <v>565.82000000000005</v>
      </c>
      <c r="L513">
        <v>2896.52</v>
      </c>
      <c r="M513">
        <v>2263.2800000000002</v>
      </c>
      <c r="N513">
        <v>633.23999999999978</v>
      </c>
      <c r="O513" s="17">
        <f t="shared" si="7"/>
        <v>27.978862535788753</v>
      </c>
      <c r="P513" t="s">
        <v>45</v>
      </c>
    </row>
    <row r="514" spans="1:16">
      <c r="A514">
        <v>512</v>
      </c>
      <c r="B514" t="s">
        <v>13</v>
      </c>
      <c r="C514" t="s">
        <v>83</v>
      </c>
      <c r="D514" t="s">
        <v>246</v>
      </c>
      <c r="E514" t="s">
        <v>76</v>
      </c>
      <c r="F514" t="s">
        <v>84</v>
      </c>
      <c r="G514">
        <v>6</v>
      </c>
      <c r="H514" s="27" t="s">
        <v>1179</v>
      </c>
      <c r="I514" s="27" t="s">
        <v>1186</v>
      </c>
      <c r="J514">
        <v>1252.5</v>
      </c>
      <c r="K514">
        <v>1186.67</v>
      </c>
      <c r="L514">
        <v>7515</v>
      </c>
      <c r="M514">
        <v>7120.02</v>
      </c>
      <c r="N514">
        <v>394.97999999999956</v>
      </c>
      <c r="O514" s="17">
        <f t="shared" si="7"/>
        <v>5.5474563273698605</v>
      </c>
      <c r="P514" t="s">
        <v>45</v>
      </c>
    </row>
    <row r="515" spans="1:16">
      <c r="A515">
        <v>513</v>
      </c>
      <c r="B515" t="s">
        <v>743</v>
      </c>
      <c r="C515" t="s">
        <v>744</v>
      </c>
      <c r="D515" t="s">
        <v>744</v>
      </c>
      <c r="E515" t="s">
        <v>72</v>
      </c>
      <c r="F515" t="s">
        <v>745</v>
      </c>
      <c r="G515">
        <v>45</v>
      </c>
      <c r="H515" s="27" t="s">
        <v>1146</v>
      </c>
      <c r="I515" s="27" t="s">
        <v>1186</v>
      </c>
      <c r="J515">
        <v>316.17</v>
      </c>
      <c r="K515">
        <v>271.39</v>
      </c>
      <c r="L515">
        <v>14227.650000000001</v>
      </c>
      <c r="M515">
        <v>12212.55</v>
      </c>
      <c r="N515">
        <v>2015.1000000000013</v>
      </c>
      <c r="O515" s="17">
        <f t="shared" si="7"/>
        <v>16.500239507719531</v>
      </c>
      <c r="P515" t="s">
        <v>45</v>
      </c>
    </row>
    <row r="516" spans="1:16">
      <c r="A516">
        <v>514</v>
      </c>
      <c r="B516" t="s">
        <v>812</v>
      </c>
      <c r="C516" t="s">
        <v>813</v>
      </c>
      <c r="D516" t="s">
        <v>815</v>
      </c>
      <c r="E516" t="s">
        <v>72</v>
      </c>
      <c r="F516" t="s">
        <v>814</v>
      </c>
      <c r="G516">
        <v>12</v>
      </c>
      <c r="H516" s="27" t="s">
        <v>1063</v>
      </c>
      <c r="I516" s="27" t="s">
        <v>1187</v>
      </c>
      <c r="J516">
        <v>336.65</v>
      </c>
      <c r="K516">
        <v>303.66000000000003</v>
      </c>
      <c r="L516">
        <v>4039.7999999999997</v>
      </c>
      <c r="M516">
        <v>3643.92</v>
      </c>
      <c r="N516">
        <v>395.87999999999943</v>
      </c>
      <c r="O516" s="17">
        <f t="shared" ref="O516:O579" si="8">N516/M516%</f>
        <v>10.864124349601513</v>
      </c>
      <c r="P516" t="s">
        <v>45</v>
      </c>
    </row>
    <row r="517" spans="1:16">
      <c r="A517">
        <v>515</v>
      </c>
      <c r="B517" t="s">
        <v>645</v>
      </c>
      <c r="C517" t="s">
        <v>646</v>
      </c>
      <c r="D517" t="s">
        <v>646</v>
      </c>
      <c r="E517" t="s">
        <v>72</v>
      </c>
      <c r="F517" t="s">
        <v>647</v>
      </c>
      <c r="G517">
        <v>2</v>
      </c>
      <c r="H517" s="27" t="s">
        <v>1018</v>
      </c>
      <c r="I517" s="27" t="s">
        <v>1187</v>
      </c>
      <c r="J517">
        <v>2433.6999999999998</v>
      </c>
      <c r="K517">
        <v>2054.42</v>
      </c>
      <c r="L517">
        <v>4867.3999999999996</v>
      </c>
      <c r="M517">
        <v>4108.84</v>
      </c>
      <c r="N517">
        <v>758.55999999999949</v>
      </c>
      <c r="O517" s="17">
        <f t="shared" si="8"/>
        <v>18.461658278248837</v>
      </c>
      <c r="P517" t="s">
        <v>45</v>
      </c>
    </row>
    <row r="518" spans="1:16">
      <c r="A518">
        <v>516</v>
      </c>
      <c r="B518" t="s">
        <v>649</v>
      </c>
      <c r="C518" t="s">
        <v>648</v>
      </c>
      <c r="D518" t="s">
        <v>648</v>
      </c>
      <c r="E518" t="s">
        <v>72</v>
      </c>
      <c r="F518" t="s">
        <v>975</v>
      </c>
      <c r="G518">
        <v>100</v>
      </c>
      <c r="H518" s="27" t="s">
        <v>1151</v>
      </c>
      <c r="I518" s="27" t="s">
        <v>1187</v>
      </c>
      <c r="J518">
        <v>141.22999999999999</v>
      </c>
      <c r="K518">
        <v>129.07</v>
      </c>
      <c r="L518">
        <v>14122.999999999998</v>
      </c>
      <c r="M518">
        <v>12907</v>
      </c>
      <c r="N518">
        <v>1215.9999999999995</v>
      </c>
      <c r="O518" s="17">
        <f t="shared" si="8"/>
        <v>9.4212442860463277</v>
      </c>
      <c r="P518" t="s">
        <v>45</v>
      </c>
    </row>
    <row r="519" spans="1:16">
      <c r="A519">
        <v>517</v>
      </c>
      <c r="B519" t="s">
        <v>9</v>
      </c>
      <c r="C519" t="s">
        <v>75</v>
      </c>
      <c r="D519" t="s">
        <v>205</v>
      </c>
      <c r="E519" t="s">
        <v>76</v>
      </c>
      <c r="F519" t="s">
        <v>77</v>
      </c>
      <c r="G519">
        <v>5</v>
      </c>
      <c r="H519" s="27" t="s">
        <v>1089</v>
      </c>
      <c r="I519" s="27" t="s">
        <v>1187</v>
      </c>
      <c r="J519">
        <v>434.25</v>
      </c>
      <c r="K519">
        <v>309.10000000000002</v>
      </c>
      <c r="L519">
        <v>2171.25</v>
      </c>
      <c r="M519">
        <v>1545.5</v>
      </c>
      <c r="N519">
        <v>625.74999999999989</v>
      </c>
      <c r="O519" s="17">
        <f t="shared" si="8"/>
        <v>40.488515043675179</v>
      </c>
      <c r="P519" t="s">
        <v>45</v>
      </c>
    </row>
    <row r="520" spans="1:16">
      <c r="A520">
        <v>518</v>
      </c>
      <c r="B520" t="s">
        <v>9</v>
      </c>
      <c r="C520" t="s">
        <v>75</v>
      </c>
      <c r="D520" t="s">
        <v>205</v>
      </c>
      <c r="E520" t="s">
        <v>76</v>
      </c>
      <c r="F520" t="s">
        <v>77</v>
      </c>
      <c r="G520">
        <v>10</v>
      </c>
      <c r="H520" s="27" t="s">
        <v>1092</v>
      </c>
      <c r="I520" s="27" t="s">
        <v>1187</v>
      </c>
      <c r="J520">
        <v>434.25</v>
      </c>
      <c r="K520">
        <v>290.2</v>
      </c>
      <c r="L520">
        <v>4342.5</v>
      </c>
      <c r="M520">
        <v>2902</v>
      </c>
      <c r="N520">
        <v>1440.5</v>
      </c>
      <c r="O520" s="17">
        <f t="shared" si="8"/>
        <v>49.638180565127499</v>
      </c>
      <c r="P520" t="s">
        <v>45</v>
      </c>
    </row>
    <row r="521" spans="1:16">
      <c r="A521">
        <v>519</v>
      </c>
      <c r="B521" t="s">
        <v>20</v>
      </c>
      <c r="C521" t="s">
        <v>93</v>
      </c>
      <c r="D521" t="s">
        <v>210</v>
      </c>
      <c r="E521" t="s">
        <v>76</v>
      </c>
      <c r="F521" t="s">
        <v>95</v>
      </c>
      <c r="G521">
        <v>10</v>
      </c>
      <c r="H521" s="27" t="s">
        <v>1088</v>
      </c>
      <c r="I521" s="27" t="s">
        <v>1187</v>
      </c>
      <c r="J521">
        <v>195.1</v>
      </c>
      <c r="K521">
        <v>147.4</v>
      </c>
      <c r="L521">
        <v>1951</v>
      </c>
      <c r="M521">
        <v>1474</v>
      </c>
      <c r="N521">
        <v>476.99999999999989</v>
      </c>
      <c r="O521" s="17">
        <f t="shared" si="8"/>
        <v>32.360922659430116</v>
      </c>
      <c r="P521" t="s">
        <v>45</v>
      </c>
    </row>
    <row r="522" spans="1:16">
      <c r="A522">
        <v>520</v>
      </c>
      <c r="B522" t="s">
        <v>20</v>
      </c>
      <c r="C522" t="s">
        <v>93</v>
      </c>
      <c r="D522" t="s">
        <v>210</v>
      </c>
      <c r="E522" t="s">
        <v>76</v>
      </c>
      <c r="F522" t="s">
        <v>95</v>
      </c>
      <c r="G522">
        <v>10</v>
      </c>
      <c r="H522" s="27" t="s">
        <v>1093</v>
      </c>
      <c r="I522" s="27" t="s">
        <v>1187</v>
      </c>
      <c r="J522">
        <v>195.1</v>
      </c>
      <c r="K522">
        <v>150.80000000000001</v>
      </c>
      <c r="L522">
        <v>1951</v>
      </c>
      <c r="M522">
        <v>1508</v>
      </c>
      <c r="N522">
        <v>442.99999999999983</v>
      </c>
      <c r="O522" s="17">
        <f t="shared" si="8"/>
        <v>29.376657824933677</v>
      </c>
      <c r="P522" t="s">
        <v>45</v>
      </c>
    </row>
    <row r="523" spans="1:16">
      <c r="A523">
        <v>521</v>
      </c>
      <c r="B523" t="s">
        <v>463</v>
      </c>
      <c r="C523" t="s">
        <v>463</v>
      </c>
      <c r="D523" t="s">
        <v>463</v>
      </c>
      <c r="E523" t="s">
        <v>72</v>
      </c>
      <c r="F523" t="s">
        <v>466</v>
      </c>
      <c r="G523">
        <v>50</v>
      </c>
      <c r="H523" s="27" t="s">
        <v>1182</v>
      </c>
      <c r="I523" s="27" t="s">
        <v>1187</v>
      </c>
      <c r="J523">
        <v>147.65</v>
      </c>
      <c r="K523">
        <v>138.32</v>
      </c>
      <c r="L523">
        <v>7382.5</v>
      </c>
      <c r="M523">
        <v>6916</v>
      </c>
      <c r="N523">
        <v>466.50000000000063</v>
      </c>
      <c r="O523" s="17">
        <f t="shared" si="8"/>
        <v>6.7452284557547806</v>
      </c>
      <c r="P523" t="s">
        <v>45</v>
      </c>
    </row>
    <row r="524" spans="1:16">
      <c r="A524">
        <v>522</v>
      </c>
      <c r="B524" t="s">
        <v>26</v>
      </c>
      <c r="C524" t="s">
        <v>102</v>
      </c>
      <c r="D524" t="s">
        <v>102</v>
      </c>
      <c r="E524" t="s">
        <v>72</v>
      </c>
      <c r="F524" t="s">
        <v>103</v>
      </c>
      <c r="G524">
        <v>100</v>
      </c>
      <c r="H524" s="27" t="s">
        <v>947</v>
      </c>
      <c r="I524" s="27" t="s">
        <v>1187</v>
      </c>
      <c r="J524">
        <v>114.8</v>
      </c>
      <c r="K524">
        <v>111.53</v>
      </c>
      <c r="L524">
        <v>11480</v>
      </c>
      <c r="M524">
        <v>11153</v>
      </c>
      <c r="N524">
        <v>326.9999999999996</v>
      </c>
      <c r="O524" s="17">
        <f t="shared" si="8"/>
        <v>2.9319465614632798</v>
      </c>
      <c r="P524" t="s">
        <v>45</v>
      </c>
    </row>
    <row r="525" spans="1:16">
      <c r="A525">
        <v>523</v>
      </c>
      <c r="B525" t="s">
        <v>677</v>
      </c>
      <c r="C525" t="s">
        <v>678</v>
      </c>
      <c r="D525" t="s">
        <v>678</v>
      </c>
      <c r="E525" t="s">
        <v>72</v>
      </c>
      <c r="F525" t="s">
        <v>679</v>
      </c>
      <c r="G525">
        <v>15</v>
      </c>
      <c r="H525" s="27" t="s">
        <v>1091</v>
      </c>
      <c r="I525" s="27" t="s">
        <v>1187</v>
      </c>
      <c r="J525">
        <v>342.55</v>
      </c>
      <c r="K525">
        <v>348.88</v>
      </c>
      <c r="L525">
        <v>5138.25</v>
      </c>
      <c r="M525">
        <v>5233.2</v>
      </c>
      <c r="N525">
        <v>-94.949999999999761</v>
      </c>
      <c r="O525" s="17">
        <f t="shared" si="8"/>
        <v>-1.8143774363678009</v>
      </c>
      <c r="P525" t="s">
        <v>45</v>
      </c>
    </row>
    <row r="526" spans="1:16">
      <c r="A526">
        <v>524</v>
      </c>
      <c r="B526" t="s">
        <v>677</v>
      </c>
      <c r="C526" t="s">
        <v>678</v>
      </c>
      <c r="D526" t="s">
        <v>678</v>
      </c>
      <c r="E526" t="s">
        <v>72</v>
      </c>
      <c r="F526" t="s">
        <v>679</v>
      </c>
      <c r="G526">
        <v>5</v>
      </c>
      <c r="H526" s="27" t="s">
        <v>1072</v>
      </c>
      <c r="I526" s="27" t="s">
        <v>1187</v>
      </c>
      <c r="J526">
        <v>342.55</v>
      </c>
      <c r="K526">
        <v>353.47</v>
      </c>
      <c r="L526">
        <v>1712.75</v>
      </c>
      <c r="M526">
        <v>1767.3500000000001</v>
      </c>
      <c r="N526">
        <v>-54.60000000000008</v>
      </c>
      <c r="O526" s="17">
        <f t="shared" si="8"/>
        <v>-3.089371092313355</v>
      </c>
      <c r="P526" t="s">
        <v>45</v>
      </c>
    </row>
    <row r="527" spans="1:16">
      <c r="A527">
        <v>525</v>
      </c>
      <c r="B527" t="s">
        <v>27</v>
      </c>
      <c r="C527">
        <v>500288</v>
      </c>
      <c r="D527" t="s">
        <v>104</v>
      </c>
      <c r="E527" t="s">
        <v>72</v>
      </c>
      <c r="F527" t="s">
        <v>105</v>
      </c>
      <c r="G527">
        <v>100</v>
      </c>
      <c r="H527" s="27" t="s">
        <v>1091</v>
      </c>
      <c r="I527" s="27" t="s">
        <v>1187</v>
      </c>
      <c r="J527">
        <v>30.6</v>
      </c>
      <c r="K527">
        <v>23.98</v>
      </c>
      <c r="L527">
        <v>3060</v>
      </c>
      <c r="M527">
        <v>2398</v>
      </c>
      <c r="N527">
        <v>662.00000000000011</v>
      </c>
      <c r="O527" s="17">
        <f t="shared" si="8"/>
        <v>27.606338615512932</v>
      </c>
      <c r="P527" t="s">
        <v>45</v>
      </c>
    </row>
    <row r="528" spans="1:16">
      <c r="A528">
        <v>526</v>
      </c>
      <c r="B528" t="s">
        <v>823</v>
      </c>
      <c r="C528" t="s">
        <v>824</v>
      </c>
      <c r="D528" t="s">
        <v>824</v>
      </c>
      <c r="E528" t="s">
        <v>72</v>
      </c>
      <c r="F528" t="s">
        <v>825</v>
      </c>
      <c r="G528">
        <v>52</v>
      </c>
      <c r="H528" s="27" t="s">
        <v>928</v>
      </c>
      <c r="I528" s="27" t="s">
        <v>1187</v>
      </c>
      <c r="J528">
        <v>263.43</v>
      </c>
      <c r="K528">
        <v>230</v>
      </c>
      <c r="L528">
        <v>13698.36</v>
      </c>
      <c r="M528">
        <v>11960</v>
      </c>
      <c r="N528">
        <v>1738.3600000000004</v>
      </c>
      <c r="O528" s="17">
        <f t="shared" si="8"/>
        <v>14.534782608695656</v>
      </c>
      <c r="P528" t="s">
        <v>45</v>
      </c>
    </row>
    <row r="529" spans="1:16">
      <c r="A529">
        <v>527</v>
      </c>
      <c r="B529" t="s">
        <v>823</v>
      </c>
      <c r="C529" t="s">
        <v>824</v>
      </c>
      <c r="D529" t="s">
        <v>824</v>
      </c>
      <c r="E529" t="s">
        <v>72</v>
      </c>
      <c r="F529" t="s">
        <v>825</v>
      </c>
      <c r="G529">
        <v>15</v>
      </c>
      <c r="H529" s="27" t="s">
        <v>961</v>
      </c>
      <c r="I529" s="27" t="s">
        <v>1187</v>
      </c>
      <c r="J529">
        <v>263.43</v>
      </c>
      <c r="K529">
        <v>299.55</v>
      </c>
      <c r="L529">
        <v>3951.4500000000003</v>
      </c>
      <c r="M529">
        <v>4493.25</v>
      </c>
      <c r="N529">
        <v>-541.80000000000007</v>
      </c>
      <c r="O529" s="17">
        <f t="shared" si="8"/>
        <v>-12.058087130696046</v>
      </c>
      <c r="P529" t="s">
        <v>45</v>
      </c>
    </row>
    <row r="530" spans="1:16">
      <c r="A530">
        <v>528</v>
      </c>
      <c r="B530" t="s">
        <v>823</v>
      </c>
      <c r="C530" t="s">
        <v>824</v>
      </c>
      <c r="D530" t="s">
        <v>824</v>
      </c>
      <c r="E530" t="s">
        <v>72</v>
      </c>
      <c r="F530" t="s">
        <v>825</v>
      </c>
      <c r="G530">
        <v>65</v>
      </c>
      <c r="H530" s="27" t="s">
        <v>911</v>
      </c>
      <c r="I530" s="27" t="s">
        <v>1187</v>
      </c>
      <c r="J530">
        <v>263.43</v>
      </c>
      <c r="K530">
        <v>332.33</v>
      </c>
      <c r="L530">
        <v>17122.95</v>
      </c>
      <c r="M530">
        <v>21601.45</v>
      </c>
      <c r="N530">
        <v>-4478.4999999999982</v>
      </c>
      <c r="O530" s="17">
        <f t="shared" si="8"/>
        <v>-20.732404537658343</v>
      </c>
      <c r="P530" t="s">
        <v>45</v>
      </c>
    </row>
    <row r="531" spans="1:16">
      <c r="A531">
        <v>529</v>
      </c>
      <c r="B531" t="s">
        <v>823</v>
      </c>
      <c r="C531" t="s">
        <v>824</v>
      </c>
      <c r="D531" t="s">
        <v>824</v>
      </c>
      <c r="E531" t="s">
        <v>72</v>
      </c>
      <c r="F531" t="s">
        <v>825</v>
      </c>
      <c r="G531">
        <v>26</v>
      </c>
      <c r="H531" s="27" t="s">
        <v>848</v>
      </c>
      <c r="I531" s="27" t="s">
        <v>1187</v>
      </c>
      <c r="J531">
        <v>263.43</v>
      </c>
      <c r="K531">
        <v>297.73</v>
      </c>
      <c r="L531">
        <v>6849.18</v>
      </c>
      <c r="M531">
        <v>7740.9800000000005</v>
      </c>
      <c r="N531">
        <v>-891.8000000000003</v>
      </c>
      <c r="O531" s="17">
        <f t="shared" si="8"/>
        <v>-11.520505155677967</v>
      </c>
      <c r="P531" t="s">
        <v>45</v>
      </c>
    </row>
    <row r="532" spans="1:16">
      <c r="A532">
        <v>530</v>
      </c>
      <c r="B532" t="s">
        <v>823</v>
      </c>
      <c r="C532" t="s">
        <v>824</v>
      </c>
      <c r="D532" t="s">
        <v>824</v>
      </c>
      <c r="E532" t="s">
        <v>72</v>
      </c>
      <c r="F532" t="s">
        <v>825</v>
      </c>
      <c r="G532">
        <v>42</v>
      </c>
      <c r="H532" s="27" t="s">
        <v>831</v>
      </c>
      <c r="I532" s="27" t="s">
        <v>1187</v>
      </c>
      <c r="J532">
        <v>263.43</v>
      </c>
      <c r="K532">
        <v>294.64999999999998</v>
      </c>
      <c r="L532">
        <v>11064.06</v>
      </c>
      <c r="M532">
        <v>12375.3</v>
      </c>
      <c r="N532">
        <v>-1311.2399999999989</v>
      </c>
      <c r="O532" s="17">
        <f t="shared" si="8"/>
        <v>-10.595621924316978</v>
      </c>
      <c r="P532" t="s">
        <v>45</v>
      </c>
    </row>
    <row r="533" spans="1:16">
      <c r="A533">
        <v>531</v>
      </c>
      <c r="B533" t="s">
        <v>665</v>
      </c>
      <c r="C533" t="s">
        <v>666</v>
      </c>
      <c r="D533" t="s">
        <v>666</v>
      </c>
      <c r="E533" t="s">
        <v>72</v>
      </c>
      <c r="F533" t="s">
        <v>667</v>
      </c>
      <c r="G533">
        <v>3</v>
      </c>
      <c r="H533" s="27" t="s">
        <v>1047</v>
      </c>
      <c r="I533" s="27" t="s">
        <v>1187</v>
      </c>
      <c r="J533">
        <v>2440</v>
      </c>
      <c r="K533">
        <v>2513.25</v>
      </c>
      <c r="L533">
        <v>7320</v>
      </c>
      <c r="M533">
        <v>7539.75</v>
      </c>
      <c r="N533">
        <v>-219.75</v>
      </c>
      <c r="O533" s="17">
        <f t="shared" si="8"/>
        <v>-2.9145528697901129</v>
      </c>
      <c r="P533" t="s">
        <v>45</v>
      </c>
    </row>
    <row r="534" spans="1:16">
      <c r="A534">
        <v>532</v>
      </c>
      <c r="B534" t="s">
        <v>37</v>
      </c>
      <c r="C534" t="s">
        <v>119</v>
      </c>
      <c r="D534" t="s">
        <v>216</v>
      </c>
      <c r="E534" t="s">
        <v>76</v>
      </c>
      <c r="F534" t="s">
        <v>120</v>
      </c>
      <c r="G534">
        <v>40</v>
      </c>
      <c r="H534" s="27" t="s">
        <v>1182</v>
      </c>
      <c r="I534" s="27" t="s">
        <v>1187</v>
      </c>
      <c r="J534">
        <v>124.68</v>
      </c>
      <c r="K534">
        <v>127</v>
      </c>
      <c r="L534">
        <v>4987.2000000000007</v>
      </c>
      <c r="M534">
        <v>5080</v>
      </c>
      <c r="N534">
        <v>-92.799999999999727</v>
      </c>
      <c r="O534" s="17">
        <f t="shared" si="8"/>
        <v>-1.8267716535433018</v>
      </c>
      <c r="P534" t="s">
        <v>45</v>
      </c>
    </row>
    <row r="535" spans="1:16">
      <c r="A535">
        <v>533</v>
      </c>
      <c r="B535" t="s">
        <v>783</v>
      </c>
      <c r="C535" t="s">
        <v>784</v>
      </c>
      <c r="D535" t="s">
        <v>784</v>
      </c>
      <c r="E535" t="s">
        <v>72</v>
      </c>
      <c r="F535" t="s">
        <v>785</v>
      </c>
      <c r="G535">
        <v>15</v>
      </c>
      <c r="H535" s="27" t="s">
        <v>947</v>
      </c>
      <c r="I535" s="27" t="s">
        <v>1187</v>
      </c>
      <c r="J535">
        <v>485.7</v>
      </c>
      <c r="K535">
        <v>494.14</v>
      </c>
      <c r="L535">
        <v>7285.5</v>
      </c>
      <c r="M535">
        <v>7412.0999999999995</v>
      </c>
      <c r="N535">
        <v>-126.59999999999997</v>
      </c>
      <c r="O535" s="17">
        <f t="shared" si="8"/>
        <v>-1.7080179706156147</v>
      </c>
      <c r="P535" t="s">
        <v>45</v>
      </c>
    </row>
    <row r="536" spans="1:16">
      <c r="A536">
        <v>534</v>
      </c>
      <c r="B536" t="s">
        <v>651</v>
      </c>
      <c r="C536" t="s">
        <v>653</v>
      </c>
      <c r="D536" t="s">
        <v>653</v>
      </c>
      <c r="E536" t="s">
        <v>72</v>
      </c>
      <c r="F536" t="s">
        <v>654</v>
      </c>
      <c r="G536">
        <v>12</v>
      </c>
      <c r="H536" s="27" t="s">
        <v>1063</v>
      </c>
      <c r="I536" s="27" t="s">
        <v>1187</v>
      </c>
      <c r="J536">
        <v>595.25</v>
      </c>
      <c r="K536">
        <v>698.73</v>
      </c>
      <c r="L536">
        <v>7143</v>
      </c>
      <c r="M536">
        <v>8384.76</v>
      </c>
      <c r="N536">
        <v>-1241.7600000000002</v>
      </c>
      <c r="O536" s="17">
        <f t="shared" si="8"/>
        <v>-14.809726217566158</v>
      </c>
      <c r="P536" t="s">
        <v>45</v>
      </c>
    </row>
    <row r="537" spans="1:16">
      <c r="A537">
        <v>535</v>
      </c>
      <c r="B537" t="s">
        <v>749</v>
      </c>
      <c r="C537" t="s">
        <v>742</v>
      </c>
      <c r="D537" t="s">
        <v>742</v>
      </c>
      <c r="E537" t="s">
        <v>72</v>
      </c>
      <c r="F537" t="s">
        <v>750</v>
      </c>
      <c r="G537">
        <v>125</v>
      </c>
      <c r="H537" s="27" t="s">
        <v>1045</v>
      </c>
      <c r="I537" s="27" t="s">
        <v>1187</v>
      </c>
      <c r="J537">
        <v>73.17</v>
      </c>
      <c r="K537">
        <v>71.78</v>
      </c>
      <c r="L537">
        <v>9146.25</v>
      </c>
      <c r="M537">
        <v>8972.5</v>
      </c>
      <c r="N537">
        <v>173.75000000000006</v>
      </c>
      <c r="O537" s="17">
        <f t="shared" si="8"/>
        <v>1.9364725550292567</v>
      </c>
      <c r="P537" t="s">
        <v>45</v>
      </c>
    </row>
    <row r="538" spans="1:16">
      <c r="A538">
        <v>536</v>
      </c>
      <c r="B538" t="s">
        <v>18</v>
      </c>
      <c r="C538">
        <v>532281</v>
      </c>
      <c r="D538" t="s">
        <v>88</v>
      </c>
      <c r="E538" t="s">
        <v>72</v>
      </c>
      <c r="F538" t="s">
        <v>89</v>
      </c>
      <c r="G538">
        <v>3</v>
      </c>
      <c r="H538" s="27" t="s">
        <v>1108</v>
      </c>
      <c r="I538" s="27" t="s">
        <v>1188</v>
      </c>
      <c r="J538">
        <v>1124.3</v>
      </c>
      <c r="K538">
        <v>962.08</v>
      </c>
      <c r="L538">
        <v>3372.8999999999996</v>
      </c>
      <c r="M538">
        <v>2886.2400000000002</v>
      </c>
      <c r="N538">
        <v>486.65999999999974</v>
      </c>
      <c r="O538" s="17">
        <f t="shared" si="8"/>
        <v>16.861383668717767</v>
      </c>
      <c r="P538" t="s">
        <v>45</v>
      </c>
    </row>
    <row r="539" spans="1:16">
      <c r="A539">
        <v>537</v>
      </c>
      <c r="B539" t="s">
        <v>18</v>
      </c>
      <c r="C539">
        <v>532281</v>
      </c>
      <c r="D539" t="s">
        <v>88</v>
      </c>
      <c r="E539" t="s">
        <v>72</v>
      </c>
      <c r="F539" t="s">
        <v>89</v>
      </c>
      <c r="G539">
        <v>1</v>
      </c>
      <c r="H539" s="27" t="s">
        <v>1058</v>
      </c>
      <c r="I539" s="27" t="s">
        <v>1188</v>
      </c>
      <c r="J539">
        <v>1124.3</v>
      </c>
      <c r="K539">
        <v>1004.6</v>
      </c>
      <c r="L539">
        <v>1124.3</v>
      </c>
      <c r="M539">
        <v>1004.6</v>
      </c>
      <c r="N539">
        <v>119.69999999999993</v>
      </c>
      <c r="O539" s="17">
        <f t="shared" si="8"/>
        <v>11.915190125423049</v>
      </c>
      <c r="P539" t="s">
        <v>45</v>
      </c>
    </row>
    <row r="540" spans="1:16">
      <c r="A540">
        <v>538</v>
      </c>
      <c r="B540" t="s">
        <v>13</v>
      </c>
      <c r="C540" t="s">
        <v>83</v>
      </c>
      <c r="D540" t="s">
        <v>246</v>
      </c>
      <c r="E540" t="s">
        <v>76</v>
      </c>
      <c r="F540" t="s">
        <v>84</v>
      </c>
      <c r="G540">
        <v>3</v>
      </c>
      <c r="H540" s="27" t="s">
        <v>1179</v>
      </c>
      <c r="I540" s="27" t="s">
        <v>1188</v>
      </c>
      <c r="J540">
        <v>1223</v>
      </c>
      <c r="K540">
        <v>1186.67</v>
      </c>
      <c r="L540">
        <v>3669</v>
      </c>
      <c r="M540">
        <v>3560.01</v>
      </c>
      <c r="N540">
        <v>108.98999999999978</v>
      </c>
      <c r="O540" s="17">
        <f t="shared" si="8"/>
        <v>3.0615082541902905</v>
      </c>
      <c r="P540" t="s">
        <v>45</v>
      </c>
    </row>
    <row r="541" spans="1:16">
      <c r="A541">
        <v>539</v>
      </c>
      <c r="B541" t="s">
        <v>668</v>
      </c>
      <c r="C541" t="s">
        <v>669</v>
      </c>
      <c r="D541" t="s">
        <v>669</v>
      </c>
      <c r="E541" t="s">
        <v>72</v>
      </c>
      <c r="F541" t="s">
        <v>670</v>
      </c>
      <c r="G541">
        <v>1</v>
      </c>
      <c r="H541" s="27" t="s">
        <v>1155</v>
      </c>
      <c r="I541" s="27" t="s">
        <v>1188</v>
      </c>
      <c r="J541">
        <v>3367</v>
      </c>
      <c r="K541">
        <v>3292.5</v>
      </c>
      <c r="L541">
        <v>3367</v>
      </c>
      <c r="M541">
        <v>3292.5</v>
      </c>
      <c r="N541">
        <v>74.5</v>
      </c>
      <c r="O541" s="17">
        <f t="shared" si="8"/>
        <v>2.2627182991647685</v>
      </c>
      <c r="P541" t="s">
        <v>45</v>
      </c>
    </row>
    <row r="542" spans="1:16">
      <c r="A542">
        <v>540</v>
      </c>
      <c r="B542" t="s">
        <v>530</v>
      </c>
      <c r="C542" t="s">
        <v>531</v>
      </c>
      <c r="D542" t="s">
        <v>531</v>
      </c>
      <c r="E542" t="s">
        <v>72</v>
      </c>
      <c r="F542" t="s">
        <v>532</v>
      </c>
      <c r="G542">
        <v>9</v>
      </c>
      <c r="H542" s="27" t="s">
        <v>1153</v>
      </c>
      <c r="I542" s="27" t="s">
        <v>1189</v>
      </c>
      <c r="J542">
        <v>509.33</v>
      </c>
      <c r="K542">
        <v>493.58</v>
      </c>
      <c r="L542">
        <v>4583.97</v>
      </c>
      <c r="M542">
        <v>4442.22</v>
      </c>
      <c r="N542">
        <v>141.75</v>
      </c>
      <c r="O542" s="17">
        <f t="shared" si="8"/>
        <v>3.1909720815268039</v>
      </c>
      <c r="P542" t="s">
        <v>45</v>
      </c>
    </row>
    <row r="543" spans="1:16">
      <c r="A543">
        <v>541</v>
      </c>
      <c r="B543" t="s">
        <v>1084</v>
      </c>
      <c r="C543" t="s">
        <v>1084</v>
      </c>
      <c r="D543" t="s">
        <v>1084</v>
      </c>
      <c r="E543" t="s">
        <v>72</v>
      </c>
      <c r="F543" t="s">
        <v>1085</v>
      </c>
      <c r="G543">
        <v>2</v>
      </c>
      <c r="H543" s="27" t="s">
        <v>1180</v>
      </c>
      <c r="I543" s="27" t="s">
        <v>1189</v>
      </c>
      <c r="J543">
        <v>2317.5</v>
      </c>
      <c r="K543">
        <v>2256.4</v>
      </c>
      <c r="L543">
        <v>4635</v>
      </c>
      <c r="M543">
        <v>4512.8</v>
      </c>
      <c r="N543">
        <v>122.19999999999982</v>
      </c>
      <c r="O543" s="17">
        <f t="shared" si="8"/>
        <v>2.707853217514621</v>
      </c>
      <c r="P543" t="s">
        <v>45</v>
      </c>
    </row>
    <row r="544" spans="1:16">
      <c r="A544">
        <v>542</v>
      </c>
      <c r="B544" t="s">
        <v>743</v>
      </c>
      <c r="C544" t="s">
        <v>744</v>
      </c>
      <c r="D544" t="s">
        <v>744</v>
      </c>
      <c r="E544" t="s">
        <v>72</v>
      </c>
      <c r="F544" t="s">
        <v>745</v>
      </c>
      <c r="G544">
        <v>13</v>
      </c>
      <c r="H544" s="27" t="s">
        <v>1146</v>
      </c>
      <c r="I544" s="27" t="s">
        <v>1189</v>
      </c>
      <c r="J544">
        <v>298.85000000000002</v>
      </c>
      <c r="K544">
        <v>271.39</v>
      </c>
      <c r="L544">
        <v>3885.05</v>
      </c>
      <c r="M544">
        <v>3528.0699999999997</v>
      </c>
      <c r="N544">
        <v>356.98000000000047</v>
      </c>
      <c r="O544" s="17">
        <f t="shared" si="8"/>
        <v>10.118279966100461</v>
      </c>
      <c r="P544" t="s">
        <v>45</v>
      </c>
    </row>
    <row r="545" spans="1:16">
      <c r="A545">
        <v>543</v>
      </c>
      <c r="B545" t="s">
        <v>230</v>
      </c>
      <c r="C545" t="s">
        <v>117</v>
      </c>
      <c r="D545" t="s">
        <v>117</v>
      </c>
      <c r="E545" t="s">
        <v>72</v>
      </c>
      <c r="F545" t="s">
        <v>118</v>
      </c>
      <c r="G545">
        <v>17</v>
      </c>
      <c r="H545" s="27" t="s">
        <v>1154</v>
      </c>
      <c r="I545" s="27" t="s">
        <v>1189</v>
      </c>
      <c r="J545">
        <v>233.87</v>
      </c>
      <c r="K545">
        <v>223.62</v>
      </c>
      <c r="L545">
        <v>3975.79</v>
      </c>
      <c r="M545">
        <v>3801.54</v>
      </c>
      <c r="N545">
        <v>174.25</v>
      </c>
      <c r="O545" s="17">
        <f t="shared" si="8"/>
        <v>4.5836687237277527</v>
      </c>
      <c r="P545" t="s">
        <v>45</v>
      </c>
    </row>
    <row r="546" spans="1:16">
      <c r="A546">
        <v>544</v>
      </c>
      <c r="B546" t="s">
        <v>31</v>
      </c>
      <c r="C546" t="s">
        <v>111</v>
      </c>
      <c r="D546" t="s">
        <v>111</v>
      </c>
      <c r="E546" t="s">
        <v>72</v>
      </c>
      <c r="F546" t="s">
        <v>112</v>
      </c>
      <c r="G546">
        <v>30</v>
      </c>
      <c r="H546" s="27" t="s">
        <v>1188</v>
      </c>
      <c r="I546" s="27" t="s">
        <v>1189</v>
      </c>
      <c r="J546">
        <v>137.15</v>
      </c>
      <c r="K546">
        <v>133.75</v>
      </c>
      <c r="L546">
        <v>4114.5</v>
      </c>
      <c r="M546">
        <v>4012.5</v>
      </c>
      <c r="N546">
        <v>102.00000000000017</v>
      </c>
      <c r="O546" s="17">
        <f t="shared" si="8"/>
        <v>2.5420560747663594</v>
      </c>
      <c r="P546" t="s">
        <v>45</v>
      </c>
    </row>
    <row r="547" spans="1:16">
      <c r="A547">
        <v>545</v>
      </c>
      <c r="B547" t="s">
        <v>31</v>
      </c>
      <c r="C547" t="s">
        <v>111</v>
      </c>
      <c r="D547" t="s">
        <v>111</v>
      </c>
      <c r="E547" t="s">
        <v>72</v>
      </c>
      <c r="F547" t="s">
        <v>112</v>
      </c>
      <c r="G547">
        <v>35</v>
      </c>
      <c r="H547" s="27" t="s">
        <v>1043</v>
      </c>
      <c r="I547" s="27" t="s">
        <v>1189</v>
      </c>
      <c r="J547">
        <v>137.15</v>
      </c>
      <c r="K547">
        <v>114.15</v>
      </c>
      <c r="L547">
        <v>4800.25</v>
      </c>
      <c r="M547">
        <v>3995.25</v>
      </c>
      <c r="N547">
        <v>805</v>
      </c>
      <c r="O547" s="17">
        <f t="shared" si="8"/>
        <v>20.148926850635128</v>
      </c>
      <c r="P547" t="s">
        <v>45</v>
      </c>
    </row>
    <row r="548" spans="1:16">
      <c r="A548">
        <v>546</v>
      </c>
      <c r="B548" t="s">
        <v>31</v>
      </c>
      <c r="C548" t="s">
        <v>111</v>
      </c>
      <c r="D548" t="s">
        <v>111</v>
      </c>
      <c r="E548" t="s">
        <v>72</v>
      </c>
      <c r="F548" t="s">
        <v>112</v>
      </c>
      <c r="G548">
        <v>30</v>
      </c>
      <c r="H548" s="27" t="s">
        <v>1037</v>
      </c>
      <c r="I548" s="27" t="s">
        <v>1189</v>
      </c>
      <c r="J548">
        <v>137.15</v>
      </c>
      <c r="K548">
        <v>118.4</v>
      </c>
      <c r="L548">
        <v>4114.5</v>
      </c>
      <c r="M548">
        <v>3552</v>
      </c>
      <c r="N548">
        <v>562.5</v>
      </c>
      <c r="O548" s="17">
        <f t="shared" si="8"/>
        <v>15.836148648648647</v>
      </c>
      <c r="P548" t="s">
        <v>45</v>
      </c>
    </row>
    <row r="549" spans="1:16">
      <c r="A549">
        <v>547</v>
      </c>
      <c r="B549" t="s">
        <v>31</v>
      </c>
      <c r="C549" t="s">
        <v>111</v>
      </c>
      <c r="D549" t="s">
        <v>111</v>
      </c>
      <c r="E549" t="s">
        <v>72</v>
      </c>
      <c r="F549" t="s">
        <v>112</v>
      </c>
      <c r="G549">
        <v>5</v>
      </c>
      <c r="H549" s="27" t="s">
        <v>1039</v>
      </c>
      <c r="I549" s="27" t="s">
        <v>1189</v>
      </c>
      <c r="J549">
        <v>137.15</v>
      </c>
      <c r="K549">
        <v>117.18</v>
      </c>
      <c r="L549">
        <v>685.75</v>
      </c>
      <c r="M549">
        <v>585.90000000000009</v>
      </c>
      <c r="N549">
        <v>99.85</v>
      </c>
      <c r="O549" s="17">
        <f t="shared" si="8"/>
        <v>17.042157364738006</v>
      </c>
      <c r="P549" t="s">
        <v>45</v>
      </c>
    </row>
    <row r="550" spans="1:16">
      <c r="A550">
        <v>548</v>
      </c>
      <c r="B550" t="s">
        <v>566</v>
      </c>
      <c r="C550" t="s">
        <v>567</v>
      </c>
      <c r="D550" t="s">
        <v>567</v>
      </c>
      <c r="E550" t="s">
        <v>72</v>
      </c>
      <c r="F550" t="s">
        <v>585</v>
      </c>
      <c r="G550">
        <v>10</v>
      </c>
      <c r="H550" s="27" t="s">
        <v>1187</v>
      </c>
      <c r="I550" s="27" t="s">
        <v>1193</v>
      </c>
      <c r="J550">
        <v>505.5</v>
      </c>
      <c r="K550">
        <v>492.3</v>
      </c>
      <c r="L550">
        <v>5055</v>
      </c>
      <c r="M550">
        <v>4923</v>
      </c>
      <c r="N550">
        <v>131.99999999999989</v>
      </c>
      <c r="O550" s="17">
        <f t="shared" si="8"/>
        <v>2.68129189518586</v>
      </c>
      <c r="P550" t="s">
        <v>45</v>
      </c>
    </row>
    <row r="551" spans="1:16">
      <c r="A551">
        <v>549</v>
      </c>
      <c r="B551" t="s">
        <v>441</v>
      </c>
      <c r="C551" t="s">
        <v>445</v>
      </c>
      <c r="D551" t="s">
        <v>445</v>
      </c>
      <c r="E551" t="s">
        <v>72</v>
      </c>
      <c r="F551" t="s">
        <v>584</v>
      </c>
      <c r="G551">
        <v>4</v>
      </c>
      <c r="H551" s="27" t="s">
        <v>1018</v>
      </c>
      <c r="I551" s="27" t="s">
        <v>1193</v>
      </c>
      <c r="J551">
        <v>1629.25</v>
      </c>
      <c r="K551">
        <v>1493.79</v>
      </c>
      <c r="L551">
        <v>6517</v>
      </c>
      <c r="M551">
        <v>5975.16</v>
      </c>
      <c r="N551">
        <v>541.84000000000015</v>
      </c>
      <c r="O551" s="17">
        <f t="shared" si="8"/>
        <v>9.0682090521425405</v>
      </c>
      <c r="P551" t="s">
        <v>45</v>
      </c>
    </row>
    <row r="552" spans="1:16">
      <c r="A552">
        <v>550</v>
      </c>
      <c r="B552" t="s">
        <v>812</v>
      </c>
      <c r="C552" t="s">
        <v>813</v>
      </c>
      <c r="D552" t="s">
        <v>815</v>
      </c>
      <c r="E552" t="s">
        <v>72</v>
      </c>
      <c r="F552" t="s">
        <v>814</v>
      </c>
      <c r="G552">
        <v>24</v>
      </c>
      <c r="H552" s="27" t="s">
        <v>1063</v>
      </c>
      <c r="I552" s="27" t="s">
        <v>1194</v>
      </c>
      <c r="J552">
        <v>359.43</v>
      </c>
      <c r="K552">
        <v>303.66000000000003</v>
      </c>
      <c r="L552">
        <v>8626.32</v>
      </c>
      <c r="M552">
        <v>7287.84</v>
      </c>
      <c r="N552">
        <v>1338.4799999999996</v>
      </c>
      <c r="O552" s="17">
        <f t="shared" si="8"/>
        <v>18.365935585852593</v>
      </c>
      <c r="P552" t="s">
        <v>45</v>
      </c>
    </row>
    <row r="553" spans="1:16">
      <c r="A553">
        <v>551</v>
      </c>
      <c r="B553" t="s">
        <v>31</v>
      </c>
      <c r="C553" t="s">
        <v>111</v>
      </c>
      <c r="D553" t="s">
        <v>111</v>
      </c>
      <c r="E553" t="s">
        <v>72</v>
      </c>
      <c r="F553" t="s">
        <v>112</v>
      </c>
      <c r="G553">
        <v>90</v>
      </c>
      <c r="H553" s="27" t="s">
        <v>1039</v>
      </c>
      <c r="I553" s="27" t="s">
        <v>1194</v>
      </c>
      <c r="J553">
        <v>144.18</v>
      </c>
      <c r="K553">
        <v>117.18</v>
      </c>
      <c r="L553">
        <v>12976.2</v>
      </c>
      <c r="M553">
        <v>10546.2</v>
      </c>
      <c r="N553">
        <v>2430</v>
      </c>
      <c r="O553" s="17">
        <f t="shared" si="8"/>
        <v>23.041474654377879</v>
      </c>
      <c r="P553" t="s">
        <v>45</v>
      </c>
    </row>
    <row r="554" spans="1:16">
      <c r="A554">
        <v>552</v>
      </c>
      <c r="B554" t="s">
        <v>470</v>
      </c>
      <c r="C554" t="s">
        <v>471</v>
      </c>
      <c r="D554" t="s">
        <v>471</v>
      </c>
      <c r="E554" t="s">
        <v>72</v>
      </c>
      <c r="F554" t="s">
        <v>609</v>
      </c>
      <c r="G554">
        <v>2</v>
      </c>
      <c r="H554" s="27" t="s">
        <v>484</v>
      </c>
      <c r="I554" s="27" t="s">
        <v>1195</v>
      </c>
      <c r="J554">
        <v>2090.6</v>
      </c>
      <c r="K554">
        <v>1237.44</v>
      </c>
      <c r="L554">
        <v>4181.2</v>
      </c>
      <c r="M554">
        <v>2474.88</v>
      </c>
      <c r="N554">
        <v>1706.3199999999997</v>
      </c>
      <c r="O554" s="17">
        <f t="shared" si="8"/>
        <v>68.945565037496749</v>
      </c>
      <c r="P554" t="s">
        <v>45</v>
      </c>
    </row>
    <row r="555" spans="1:16">
      <c r="A555">
        <v>553</v>
      </c>
      <c r="B555" t="s">
        <v>19</v>
      </c>
      <c r="C555" t="s">
        <v>90</v>
      </c>
      <c r="D555" t="s">
        <v>90</v>
      </c>
      <c r="E555" t="s">
        <v>72</v>
      </c>
      <c r="F555" t="s">
        <v>91</v>
      </c>
      <c r="G555">
        <v>10</v>
      </c>
      <c r="H555" s="27" t="s">
        <v>1042</v>
      </c>
      <c r="I555" s="27" t="s">
        <v>1195</v>
      </c>
      <c r="J555">
        <v>312.2</v>
      </c>
      <c r="K555">
        <v>307.12</v>
      </c>
      <c r="L555">
        <v>3122</v>
      </c>
      <c r="M555">
        <v>3071.2</v>
      </c>
      <c r="N555">
        <v>50.799999999999841</v>
      </c>
      <c r="O555" s="17">
        <f t="shared" si="8"/>
        <v>1.6540765824433394</v>
      </c>
      <c r="P555" t="s">
        <v>45</v>
      </c>
    </row>
    <row r="556" spans="1:16">
      <c r="A556">
        <v>554</v>
      </c>
      <c r="B556" t="s">
        <v>512</v>
      </c>
      <c r="C556" t="s">
        <v>511</v>
      </c>
      <c r="D556" t="s">
        <v>511</v>
      </c>
      <c r="E556" t="s">
        <v>72</v>
      </c>
      <c r="F556" t="s">
        <v>513</v>
      </c>
      <c r="G556">
        <v>2</v>
      </c>
      <c r="H556" s="27" t="s">
        <v>1069</v>
      </c>
      <c r="I556" s="27" t="s">
        <v>1195</v>
      </c>
      <c r="J556">
        <v>3181.55</v>
      </c>
      <c r="K556">
        <v>2859.25</v>
      </c>
      <c r="L556">
        <v>6363.1</v>
      </c>
      <c r="M556">
        <v>5718.5</v>
      </c>
      <c r="N556">
        <v>644.60000000000036</v>
      </c>
      <c r="O556" s="17">
        <f t="shared" si="8"/>
        <v>11.272186762262837</v>
      </c>
      <c r="P556" t="s">
        <v>45</v>
      </c>
    </row>
    <row r="557" spans="1:16">
      <c r="A557">
        <v>555</v>
      </c>
      <c r="B557" t="s">
        <v>37</v>
      </c>
      <c r="C557" t="s">
        <v>119</v>
      </c>
      <c r="D557" t="s">
        <v>216</v>
      </c>
      <c r="E557" t="s">
        <v>76</v>
      </c>
      <c r="F557" t="s">
        <v>120</v>
      </c>
      <c r="G557">
        <v>40</v>
      </c>
      <c r="H557" s="27" t="s">
        <v>1182</v>
      </c>
      <c r="I557" s="27" t="s">
        <v>1195</v>
      </c>
      <c r="J557">
        <v>131.58000000000001</v>
      </c>
      <c r="K557">
        <v>127</v>
      </c>
      <c r="L557">
        <v>5263.2000000000007</v>
      </c>
      <c r="M557">
        <v>5080</v>
      </c>
      <c r="N557">
        <v>183.2000000000005</v>
      </c>
      <c r="O557" s="17">
        <f t="shared" si="8"/>
        <v>3.6062992125984352</v>
      </c>
      <c r="P557" t="s">
        <v>45</v>
      </c>
    </row>
    <row r="558" spans="1:16">
      <c r="A558">
        <v>556</v>
      </c>
      <c r="B558" t="s">
        <v>485</v>
      </c>
      <c r="C558" t="s">
        <v>486</v>
      </c>
      <c r="D558" t="s">
        <v>486</v>
      </c>
      <c r="E558" t="s">
        <v>72</v>
      </c>
      <c r="F558" t="s">
        <v>590</v>
      </c>
      <c r="G558">
        <v>2</v>
      </c>
      <c r="H558" s="27" t="s">
        <v>833</v>
      </c>
      <c r="I558" s="27" t="s">
        <v>1195</v>
      </c>
      <c r="J558">
        <v>2688.2</v>
      </c>
      <c r="K558">
        <v>2318.5</v>
      </c>
      <c r="L558">
        <v>5376.4</v>
      </c>
      <c r="M558">
        <v>4637</v>
      </c>
      <c r="N558">
        <v>739.39999999999964</v>
      </c>
      <c r="O558" s="17">
        <f t="shared" si="8"/>
        <v>15.945654518007325</v>
      </c>
      <c r="P558" t="s">
        <v>45</v>
      </c>
    </row>
    <row r="559" spans="1:16">
      <c r="A559">
        <v>557</v>
      </c>
      <c r="B559" t="s">
        <v>23</v>
      </c>
      <c r="C559" t="s">
        <v>96</v>
      </c>
      <c r="D559" t="s">
        <v>96</v>
      </c>
      <c r="E559" t="s">
        <v>72</v>
      </c>
      <c r="F559" t="s">
        <v>97</v>
      </c>
      <c r="G559">
        <v>10</v>
      </c>
      <c r="H559" s="27" t="s">
        <v>201</v>
      </c>
      <c r="I559" s="27" t="s">
        <v>1195</v>
      </c>
      <c r="J559">
        <v>198.75</v>
      </c>
      <c r="K559">
        <v>109.08</v>
      </c>
      <c r="L559">
        <v>1987.5</v>
      </c>
      <c r="M559">
        <v>1090.8</v>
      </c>
      <c r="N559">
        <v>896.7</v>
      </c>
      <c r="O559" s="17">
        <f t="shared" si="8"/>
        <v>82.205720572057217</v>
      </c>
      <c r="P559" t="s">
        <v>45</v>
      </c>
    </row>
    <row r="560" spans="1:16">
      <c r="A560">
        <v>558</v>
      </c>
      <c r="B560" t="s">
        <v>252</v>
      </c>
      <c r="C560" t="s">
        <v>252</v>
      </c>
      <c r="D560" t="s">
        <v>252</v>
      </c>
      <c r="E560" t="s">
        <v>72</v>
      </c>
      <c r="F560" t="s">
        <v>253</v>
      </c>
      <c r="G560">
        <v>4</v>
      </c>
      <c r="H560" s="27" t="s">
        <v>254</v>
      </c>
      <c r="I560" s="27" t="s">
        <v>1195</v>
      </c>
      <c r="J560">
        <v>1259.9000000000001</v>
      </c>
      <c r="K560">
        <v>537.25</v>
      </c>
      <c r="L560">
        <v>5039.6000000000004</v>
      </c>
      <c r="M560">
        <v>2149</v>
      </c>
      <c r="N560">
        <v>2890.6000000000004</v>
      </c>
      <c r="O560" s="17">
        <f t="shared" si="8"/>
        <v>134.50907398790139</v>
      </c>
      <c r="P560" t="s">
        <v>45</v>
      </c>
    </row>
    <row r="561" spans="1:16">
      <c r="A561">
        <v>559</v>
      </c>
      <c r="B561" t="s">
        <v>472</v>
      </c>
      <c r="C561" t="s">
        <v>468</v>
      </c>
      <c r="D561" t="s">
        <v>468</v>
      </c>
      <c r="E561" t="s">
        <v>72</v>
      </c>
      <c r="F561" t="s">
        <v>586</v>
      </c>
      <c r="G561">
        <v>2</v>
      </c>
      <c r="H561" s="27" t="s">
        <v>1193</v>
      </c>
      <c r="I561" s="27" t="s">
        <v>1195</v>
      </c>
      <c r="J561">
        <v>1563.05</v>
      </c>
      <c r="K561">
        <v>1552.5</v>
      </c>
      <c r="L561">
        <v>3126.1</v>
      </c>
      <c r="M561">
        <v>3105</v>
      </c>
      <c r="N561">
        <v>21.099999999999909</v>
      </c>
      <c r="O561" s="17">
        <f t="shared" si="8"/>
        <v>0.67954911433172005</v>
      </c>
      <c r="P561" t="s">
        <v>45</v>
      </c>
    </row>
    <row r="562" spans="1:16">
      <c r="A562">
        <v>560</v>
      </c>
      <c r="B562" t="s">
        <v>812</v>
      </c>
      <c r="C562" t="s">
        <v>813</v>
      </c>
      <c r="D562" t="s">
        <v>815</v>
      </c>
      <c r="E562" t="s">
        <v>72</v>
      </c>
      <c r="F562" t="s">
        <v>814</v>
      </c>
      <c r="G562">
        <v>12</v>
      </c>
      <c r="H562" s="27" t="s">
        <v>1063</v>
      </c>
      <c r="I562" s="27" t="s">
        <v>1196</v>
      </c>
      <c r="J562">
        <v>350.2</v>
      </c>
      <c r="K562">
        <v>303.66000000000003</v>
      </c>
      <c r="L562">
        <v>4202.3999999999996</v>
      </c>
      <c r="M562">
        <v>3643.92</v>
      </c>
      <c r="N562">
        <v>558.47999999999956</v>
      </c>
      <c r="O562" s="17">
        <f t="shared" si="8"/>
        <v>15.326351840874651</v>
      </c>
      <c r="P562" t="s">
        <v>45</v>
      </c>
    </row>
    <row r="563" spans="1:16">
      <c r="A563">
        <v>561</v>
      </c>
      <c r="B563" t="s">
        <v>29</v>
      </c>
      <c r="C563" t="s">
        <v>107</v>
      </c>
      <c r="D563" t="s">
        <v>107</v>
      </c>
      <c r="E563" t="s">
        <v>72</v>
      </c>
      <c r="F563" t="s">
        <v>108</v>
      </c>
      <c r="G563">
        <v>2</v>
      </c>
      <c r="H563" s="27" t="s">
        <v>1042</v>
      </c>
      <c r="I563" s="27" t="s">
        <v>1196</v>
      </c>
      <c r="J563">
        <v>2742.5</v>
      </c>
      <c r="K563">
        <v>2277.6</v>
      </c>
      <c r="L563">
        <v>5485</v>
      </c>
      <c r="M563">
        <v>4555.2</v>
      </c>
      <c r="N563">
        <v>929.80000000000018</v>
      </c>
      <c r="O563" s="17">
        <f t="shared" si="8"/>
        <v>20.411837021426066</v>
      </c>
      <c r="P563" t="s">
        <v>45</v>
      </c>
    </row>
    <row r="564" spans="1:16">
      <c r="A564">
        <v>562</v>
      </c>
      <c r="B564" t="s">
        <v>925</v>
      </c>
      <c r="C564" t="s">
        <v>926</v>
      </c>
      <c r="D564" t="s">
        <v>926</v>
      </c>
      <c r="E564" t="s">
        <v>72</v>
      </c>
      <c r="F564" t="s">
        <v>927</v>
      </c>
      <c r="G564">
        <v>5</v>
      </c>
      <c r="H564" s="27" t="s">
        <v>1156</v>
      </c>
      <c r="I564" s="27" t="s">
        <v>1196</v>
      </c>
      <c r="J564">
        <v>729.01</v>
      </c>
      <c r="K564">
        <v>712.1</v>
      </c>
      <c r="L564">
        <v>3645.05</v>
      </c>
      <c r="M564">
        <v>3560.5</v>
      </c>
      <c r="N564">
        <v>84.549999999999841</v>
      </c>
      <c r="O564" s="17">
        <f t="shared" si="8"/>
        <v>2.3746664794270425</v>
      </c>
      <c r="P564" t="s">
        <v>45</v>
      </c>
    </row>
    <row r="565" spans="1:16">
      <c r="A565">
        <v>563</v>
      </c>
      <c r="B565" t="s">
        <v>674</v>
      </c>
      <c r="C565" t="s">
        <v>675</v>
      </c>
      <c r="D565" t="s">
        <v>675</v>
      </c>
      <c r="E565" t="s">
        <v>72</v>
      </c>
      <c r="F565" t="s">
        <v>676</v>
      </c>
      <c r="G565">
        <v>40</v>
      </c>
      <c r="H565" s="27" t="s">
        <v>1196</v>
      </c>
      <c r="I565" s="27" t="s">
        <v>1196</v>
      </c>
      <c r="J565">
        <v>587.97</v>
      </c>
      <c r="K565">
        <v>588.53</v>
      </c>
      <c r="L565">
        <v>23518.800000000003</v>
      </c>
      <c r="M565">
        <v>23541.199999999997</v>
      </c>
      <c r="N565">
        <v>-22.399999999997817</v>
      </c>
      <c r="O565" s="17">
        <f t="shared" si="8"/>
        <v>-9.5152328683320395E-2</v>
      </c>
      <c r="P565" t="s">
        <v>45</v>
      </c>
    </row>
    <row r="566" spans="1:16">
      <c r="A566">
        <v>564</v>
      </c>
      <c r="B566" t="s">
        <v>674</v>
      </c>
      <c r="C566" t="s">
        <v>675</v>
      </c>
      <c r="D566" t="s">
        <v>675</v>
      </c>
      <c r="E566" t="s">
        <v>72</v>
      </c>
      <c r="F566" t="s">
        <v>676</v>
      </c>
      <c r="G566">
        <v>6</v>
      </c>
      <c r="H566" s="27" t="s">
        <v>1108</v>
      </c>
      <c r="I566" s="27" t="s">
        <v>1196</v>
      </c>
      <c r="J566">
        <v>587.97</v>
      </c>
      <c r="K566">
        <v>541.66999999999996</v>
      </c>
      <c r="L566">
        <v>3527.82</v>
      </c>
      <c r="M566">
        <v>3250.0199999999995</v>
      </c>
      <c r="N566">
        <v>277.80000000000041</v>
      </c>
      <c r="O566" s="17">
        <f t="shared" si="8"/>
        <v>8.5476397068325873</v>
      </c>
      <c r="P566" t="s">
        <v>45</v>
      </c>
    </row>
    <row r="567" spans="1:16">
      <c r="A567">
        <v>565</v>
      </c>
      <c r="B567" t="s">
        <v>530</v>
      </c>
      <c r="C567" t="s">
        <v>531</v>
      </c>
      <c r="D567" t="s">
        <v>531</v>
      </c>
      <c r="E567" t="s">
        <v>72</v>
      </c>
      <c r="F567" t="s">
        <v>532</v>
      </c>
      <c r="G567">
        <v>9</v>
      </c>
      <c r="H567" s="27" t="s">
        <v>1153</v>
      </c>
      <c r="I567" s="27" t="s">
        <v>1196</v>
      </c>
      <c r="J567">
        <v>513.78</v>
      </c>
      <c r="K567">
        <v>493.58</v>
      </c>
      <c r="L567">
        <v>4624.0199999999995</v>
      </c>
      <c r="M567">
        <v>4442.22</v>
      </c>
      <c r="N567">
        <v>181.7999999999999</v>
      </c>
      <c r="O567" s="17">
        <f t="shared" si="8"/>
        <v>4.0925483204343749</v>
      </c>
      <c r="P567" t="s">
        <v>45</v>
      </c>
    </row>
    <row r="568" spans="1:16">
      <c r="A568">
        <v>566</v>
      </c>
      <c r="B568" t="s">
        <v>414</v>
      </c>
      <c r="C568" t="s">
        <v>414</v>
      </c>
      <c r="D568" t="s">
        <v>414</v>
      </c>
      <c r="E568" t="s">
        <v>72</v>
      </c>
      <c r="F568" t="s">
        <v>415</v>
      </c>
      <c r="G568">
        <v>5</v>
      </c>
      <c r="H568" s="27" t="s">
        <v>1045</v>
      </c>
      <c r="I568" s="27" t="s">
        <v>1196</v>
      </c>
      <c r="J568">
        <v>717.3</v>
      </c>
      <c r="K568">
        <v>669.85</v>
      </c>
      <c r="L568">
        <v>3586.5</v>
      </c>
      <c r="M568">
        <v>3349.25</v>
      </c>
      <c r="N568">
        <v>237.24999999999966</v>
      </c>
      <c r="O568" s="17">
        <f t="shared" si="8"/>
        <v>7.0836754497275409</v>
      </c>
      <c r="P568" t="s">
        <v>45</v>
      </c>
    </row>
    <row r="569" spans="1:16">
      <c r="A569">
        <v>567</v>
      </c>
      <c r="B569" t="s">
        <v>689</v>
      </c>
      <c r="C569" t="s">
        <v>690</v>
      </c>
      <c r="D569" t="s">
        <v>690</v>
      </c>
      <c r="E569" t="s">
        <v>72</v>
      </c>
      <c r="F569" t="s">
        <v>691</v>
      </c>
      <c r="G569">
        <v>2</v>
      </c>
      <c r="H569" s="27" t="s">
        <v>1188</v>
      </c>
      <c r="I569" s="27" t="s">
        <v>1196</v>
      </c>
      <c r="J569">
        <v>2780.75</v>
      </c>
      <c r="K569">
        <v>2769.36</v>
      </c>
      <c r="L569">
        <v>5561.5</v>
      </c>
      <c r="M569">
        <v>5538.72</v>
      </c>
      <c r="N569">
        <v>22.779999999999745</v>
      </c>
      <c r="O569" s="17">
        <f t="shared" si="8"/>
        <v>0.411286362191982</v>
      </c>
      <c r="P569" t="s">
        <v>45</v>
      </c>
    </row>
    <row r="570" spans="1:16">
      <c r="A570">
        <v>568</v>
      </c>
      <c r="B570" t="s">
        <v>25</v>
      </c>
      <c r="C570" t="s">
        <v>100</v>
      </c>
      <c r="D570" t="s">
        <v>100</v>
      </c>
      <c r="E570" t="s">
        <v>72</v>
      </c>
      <c r="F570" t="s">
        <v>101</v>
      </c>
      <c r="G570">
        <v>30</v>
      </c>
      <c r="H570" s="27" t="s">
        <v>1189</v>
      </c>
      <c r="I570" s="27" t="s">
        <v>1196</v>
      </c>
      <c r="J570">
        <v>403.8</v>
      </c>
      <c r="K570">
        <v>386.64</v>
      </c>
      <c r="L570">
        <v>12114</v>
      </c>
      <c r="M570">
        <v>11599.199999999999</v>
      </c>
      <c r="N570">
        <v>514.80000000000075</v>
      </c>
      <c r="O570" s="17">
        <f t="shared" si="8"/>
        <v>4.4382371198013724</v>
      </c>
      <c r="P570" t="s">
        <v>45</v>
      </c>
    </row>
    <row r="571" spans="1:16">
      <c r="A571">
        <v>569</v>
      </c>
      <c r="B571" t="s">
        <v>39</v>
      </c>
      <c r="C571" t="s">
        <v>123</v>
      </c>
      <c r="D571" t="s">
        <v>123</v>
      </c>
      <c r="E571" t="s">
        <v>72</v>
      </c>
      <c r="F571" t="s">
        <v>124</v>
      </c>
      <c r="G571">
        <v>5</v>
      </c>
      <c r="H571" s="27" t="s">
        <v>136</v>
      </c>
      <c r="I571" s="27" t="s">
        <v>1196</v>
      </c>
      <c r="J571">
        <v>428.5</v>
      </c>
      <c r="K571">
        <v>204.89</v>
      </c>
      <c r="L571">
        <v>2142.5</v>
      </c>
      <c r="M571">
        <v>1024.4499999999998</v>
      </c>
      <c r="N571">
        <v>1118.0500000000002</v>
      </c>
      <c r="O571" s="17">
        <f t="shared" si="8"/>
        <v>109.13660988823274</v>
      </c>
      <c r="P571" t="s">
        <v>45</v>
      </c>
    </row>
    <row r="572" spans="1:16">
      <c r="A572">
        <v>570</v>
      </c>
      <c r="B572" t="s">
        <v>842</v>
      </c>
      <c r="C572" t="s">
        <v>843</v>
      </c>
      <c r="D572" t="s">
        <v>843</v>
      </c>
      <c r="E572" t="s">
        <v>72</v>
      </c>
      <c r="F572" t="s">
        <v>844</v>
      </c>
      <c r="G572">
        <v>2</v>
      </c>
      <c r="H572" s="27" t="s">
        <v>847</v>
      </c>
      <c r="I572" s="27" t="s">
        <v>1196</v>
      </c>
      <c r="J572">
        <v>1256.5</v>
      </c>
      <c r="K572">
        <v>972.8</v>
      </c>
      <c r="L572">
        <v>2513</v>
      </c>
      <c r="M572">
        <v>1945.6</v>
      </c>
      <c r="N572">
        <v>567.40000000000009</v>
      </c>
      <c r="O572" s="17">
        <f t="shared" si="8"/>
        <v>29.163240131578952</v>
      </c>
      <c r="P572" t="s">
        <v>45</v>
      </c>
    </row>
    <row r="573" spans="1:16">
      <c r="A573">
        <v>571</v>
      </c>
      <c r="B573" t="s">
        <v>723</v>
      </c>
      <c r="C573" t="s">
        <v>840</v>
      </c>
      <c r="D573" t="s">
        <v>724</v>
      </c>
      <c r="E573" t="s">
        <v>72</v>
      </c>
      <c r="F573" t="s">
        <v>726</v>
      </c>
      <c r="G573">
        <v>10</v>
      </c>
      <c r="H573" s="27" t="s">
        <v>1193</v>
      </c>
      <c r="I573" s="27" t="s">
        <v>1197</v>
      </c>
      <c r="J573">
        <v>379.54</v>
      </c>
      <c r="K573">
        <v>356.85</v>
      </c>
      <c r="L573">
        <v>3795.4</v>
      </c>
      <c r="M573">
        <v>3568.5</v>
      </c>
      <c r="N573">
        <v>226.89999999999998</v>
      </c>
      <c r="O573" s="17">
        <f t="shared" si="8"/>
        <v>6.3584138993975046</v>
      </c>
      <c r="P573" t="s">
        <v>45</v>
      </c>
    </row>
    <row r="574" spans="1:16">
      <c r="A574">
        <v>572</v>
      </c>
      <c r="B574" t="s">
        <v>26</v>
      </c>
      <c r="C574" t="s">
        <v>102</v>
      </c>
      <c r="D574" t="s">
        <v>102</v>
      </c>
      <c r="E574" t="s">
        <v>72</v>
      </c>
      <c r="F574" t="s">
        <v>103</v>
      </c>
      <c r="G574">
        <v>49</v>
      </c>
      <c r="H574" s="27" t="s">
        <v>947</v>
      </c>
      <c r="I574" s="27" t="s">
        <v>1197</v>
      </c>
      <c r="J574">
        <v>123.1</v>
      </c>
      <c r="K574">
        <v>111.53</v>
      </c>
      <c r="L574">
        <v>6031.9</v>
      </c>
      <c r="M574">
        <v>5464.97</v>
      </c>
      <c r="N574">
        <v>566.92999999999961</v>
      </c>
      <c r="O574" s="17">
        <f t="shared" si="8"/>
        <v>10.373890433067329</v>
      </c>
      <c r="P574" t="s">
        <v>45</v>
      </c>
    </row>
    <row r="575" spans="1:16">
      <c r="A575">
        <v>573</v>
      </c>
      <c r="B575" t="s">
        <v>26</v>
      </c>
      <c r="C575" t="s">
        <v>102</v>
      </c>
      <c r="D575" t="s">
        <v>102</v>
      </c>
      <c r="E575" t="s">
        <v>72</v>
      </c>
      <c r="F575" t="s">
        <v>103</v>
      </c>
      <c r="G575">
        <v>51</v>
      </c>
      <c r="H575" s="27" t="s">
        <v>961</v>
      </c>
      <c r="I575" s="27" t="s">
        <v>1197</v>
      </c>
      <c r="J575">
        <v>123.1</v>
      </c>
      <c r="K575">
        <v>157.44</v>
      </c>
      <c r="L575">
        <v>6278.0999999999995</v>
      </c>
      <c r="M575">
        <v>8029.44</v>
      </c>
      <c r="N575">
        <v>-1751.3400000000001</v>
      </c>
      <c r="O575" s="17">
        <f t="shared" si="8"/>
        <v>-21.811483739837403</v>
      </c>
      <c r="P575" t="s">
        <v>45</v>
      </c>
    </row>
    <row r="576" spans="1:16">
      <c r="A576">
        <v>574</v>
      </c>
      <c r="B576" t="s">
        <v>893</v>
      </c>
      <c r="C576" t="s">
        <v>904</v>
      </c>
      <c r="D576" t="s">
        <v>904</v>
      </c>
      <c r="E576" t="s">
        <v>72</v>
      </c>
      <c r="F576" t="s">
        <v>905</v>
      </c>
      <c r="G576">
        <v>15</v>
      </c>
      <c r="H576" s="27" t="s">
        <v>1046</v>
      </c>
      <c r="I576" s="27" t="s">
        <v>1197</v>
      </c>
      <c r="J576">
        <v>707.6</v>
      </c>
      <c r="K576">
        <v>835.33</v>
      </c>
      <c r="L576">
        <v>10614</v>
      </c>
      <c r="M576">
        <v>12529.95</v>
      </c>
      <c r="N576">
        <v>-1915.9500000000003</v>
      </c>
      <c r="O576" s="17">
        <f t="shared" si="8"/>
        <v>-15.290962853004203</v>
      </c>
      <c r="P576" t="s">
        <v>45</v>
      </c>
    </row>
    <row r="577" spans="1:16">
      <c r="A577">
        <v>575</v>
      </c>
      <c r="B577" t="s">
        <v>230</v>
      </c>
      <c r="C577" t="s">
        <v>117</v>
      </c>
      <c r="D577" t="s">
        <v>117</v>
      </c>
      <c r="E577" t="s">
        <v>72</v>
      </c>
      <c r="F577" t="s">
        <v>118</v>
      </c>
      <c r="G577">
        <v>33</v>
      </c>
      <c r="H577" s="27" t="s">
        <v>1199</v>
      </c>
      <c r="I577" s="27" t="s">
        <v>1200</v>
      </c>
      <c r="J577">
        <v>208.25</v>
      </c>
      <c r="K577">
        <v>197.41</v>
      </c>
      <c r="L577">
        <v>6872.25</v>
      </c>
      <c r="M577">
        <v>6514.53</v>
      </c>
      <c r="N577">
        <v>357.72000000000014</v>
      </c>
      <c r="O577" s="17">
        <f t="shared" si="8"/>
        <v>5.4911098728534551</v>
      </c>
      <c r="P577" t="s">
        <v>45</v>
      </c>
    </row>
    <row r="578" spans="1:16">
      <c r="A578">
        <v>576</v>
      </c>
      <c r="B578" t="s">
        <v>635</v>
      </c>
      <c r="C578" t="s">
        <v>633</v>
      </c>
      <c r="D578" t="s">
        <v>633</v>
      </c>
      <c r="E578" t="s">
        <v>72</v>
      </c>
      <c r="F578" t="s">
        <v>634</v>
      </c>
      <c r="G578">
        <v>2</v>
      </c>
      <c r="H578" s="27" t="s">
        <v>1199</v>
      </c>
      <c r="I578" s="27" t="s">
        <v>1200</v>
      </c>
      <c r="J578">
        <v>5749.7</v>
      </c>
      <c r="K578">
        <v>5483.35</v>
      </c>
      <c r="L578">
        <v>11499.4</v>
      </c>
      <c r="M578">
        <v>10966.7</v>
      </c>
      <c r="N578">
        <v>532.69999999999891</v>
      </c>
      <c r="O578" s="17">
        <f t="shared" si="8"/>
        <v>4.8574320442794905</v>
      </c>
      <c r="P578" t="s">
        <v>45</v>
      </c>
    </row>
    <row r="579" spans="1:16">
      <c r="A579">
        <v>577</v>
      </c>
      <c r="B579" t="s">
        <v>1028</v>
      </c>
      <c r="C579" t="s">
        <v>1029</v>
      </c>
      <c r="D579" t="s">
        <v>1029</v>
      </c>
      <c r="E579" t="s">
        <v>72</v>
      </c>
      <c r="F579" t="s">
        <v>1030</v>
      </c>
      <c r="G579">
        <v>20</v>
      </c>
      <c r="H579" s="27" t="s">
        <v>1199</v>
      </c>
      <c r="I579" s="27" t="s">
        <v>1200</v>
      </c>
      <c r="J579">
        <v>473.55</v>
      </c>
      <c r="K579">
        <v>446.75</v>
      </c>
      <c r="L579">
        <v>9471</v>
      </c>
      <c r="M579">
        <v>8935</v>
      </c>
      <c r="N579">
        <v>536.00000000000023</v>
      </c>
      <c r="O579" s="17">
        <f t="shared" si="8"/>
        <v>5.9988808058198124</v>
      </c>
      <c r="P579" t="s">
        <v>45</v>
      </c>
    </row>
    <row r="580" spans="1:16">
      <c r="A580">
        <v>578</v>
      </c>
      <c r="B580" t="s">
        <v>527</v>
      </c>
      <c r="C580" t="s">
        <v>528</v>
      </c>
      <c r="D580" t="s">
        <v>528</v>
      </c>
      <c r="E580" t="s">
        <v>72</v>
      </c>
      <c r="F580" t="s">
        <v>529</v>
      </c>
      <c r="G580">
        <v>15</v>
      </c>
      <c r="H580" s="27" t="s">
        <v>1201</v>
      </c>
      <c r="I580" s="27" t="s">
        <v>1200</v>
      </c>
      <c r="J580">
        <v>503.95</v>
      </c>
      <c r="K580">
        <v>486.16</v>
      </c>
      <c r="L580">
        <v>7559.25</v>
      </c>
      <c r="M580">
        <v>7292.4000000000005</v>
      </c>
      <c r="N580">
        <v>266.84999999999945</v>
      </c>
      <c r="O580" s="17">
        <f t="shared" ref="O580:O643" si="9">N580/M580%</f>
        <v>3.6592891229224866</v>
      </c>
      <c r="P580" t="s">
        <v>45</v>
      </c>
    </row>
    <row r="581" spans="1:16">
      <c r="A581">
        <v>579</v>
      </c>
      <c r="B581" t="s">
        <v>931</v>
      </c>
      <c r="C581" t="s">
        <v>931</v>
      </c>
      <c r="D581" t="s">
        <v>931</v>
      </c>
      <c r="E581" t="s">
        <v>72</v>
      </c>
      <c r="F581" t="s">
        <v>932</v>
      </c>
      <c r="G581">
        <v>100</v>
      </c>
      <c r="H581" s="27" t="s">
        <v>1199</v>
      </c>
      <c r="I581" s="27" t="s">
        <v>1200</v>
      </c>
      <c r="J581">
        <v>121.4</v>
      </c>
      <c r="K581">
        <v>114.51</v>
      </c>
      <c r="L581">
        <v>12140</v>
      </c>
      <c r="M581">
        <v>11451</v>
      </c>
      <c r="N581">
        <v>689</v>
      </c>
      <c r="O581" s="17">
        <f t="shared" si="9"/>
        <v>6.0169417518120687</v>
      </c>
      <c r="P581" t="s">
        <v>45</v>
      </c>
    </row>
    <row r="582" spans="1:16">
      <c r="A582">
        <v>580</v>
      </c>
      <c r="B582" t="s">
        <v>650</v>
      </c>
      <c r="C582" t="s">
        <v>655</v>
      </c>
      <c r="D582" t="s">
        <v>655</v>
      </c>
      <c r="E582" t="s">
        <v>72</v>
      </c>
      <c r="F582" t="s">
        <v>656</v>
      </c>
      <c r="G582">
        <v>1</v>
      </c>
      <c r="H582" s="27" t="s">
        <v>1049</v>
      </c>
      <c r="I582" s="27" t="s">
        <v>1200</v>
      </c>
      <c r="J582">
        <v>4310.8</v>
      </c>
      <c r="K582">
        <v>4580.49</v>
      </c>
      <c r="L582">
        <v>4310.8</v>
      </c>
      <c r="M582">
        <v>4580.49</v>
      </c>
      <c r="N582">
        <v>-269.6899999999996</v>
      </c>
      <c r="O582" s="17">
        <f t="shared" si="9"/>
        <v>-5.8877980303417239</v>
      </c>
      <c r="P582" t="s">
        <v>45</v>
      </c>
    </row>
    <row r="583" spans="1:16">
      <c r="A583">
        <v>581</v>
      </c>
      <c r="B583" t="s">
        <v>740</v>
      </c>
      <c r="C583" t="s">
        <v>740</v>
      </c>
      <c r="D583" t="s">
        <v>740</v>
      </c>
      <c r="E583" t="s">
        <v>72</v>
      </c>
      <c r="F583" t="s">
        <v>741</v>
      </c>
      <c r="G583">
        <v>16</v>
      </c>
      <c r="H583" s="27" t="s">
        <v>1188</v>
      </c>
      <c r="I583" s="27" t="s">
        <v>1200</v>
      </c>
      <c r="J583">
        <v>270.19</v>
      </c>
      <c r="K583">
        <v>288.10000000000002</v>
      </c>
      <c r="L583">
        <v>4323.04</v>
      </c>
      <c r="M583">
        <v>4609.6000000000004</v>
      </c>
      <c r="N583">
        <v>-286.5600000000004</v>
      </c>
      <c r="O583" s="17">
        <f t="shared" si="9"/>
        <v>-6.2165914612981688</v>
      </c>
      <c r="P583" t="s">
        <v>45</v>
      </c>
    </row>
    <row r="584" spans="1:16">
      <c r="A584">
        <v>582</v>
      </c>
      <c r="B584" t="s">
        <v>533</v>
      </c>
      <c r="C584" t="s">
        <v>534</v>
      </c>
      <c r="D584" t="s">
        <v>534</v>
      </c>
      <c r="E584" t="s">
        <v>72</v>
      </c>
      <c r="F584" t="s">
        <v>535</v>
      </c>
      <c r="G584">
        <v>2</v>
      </c>
      <c r="H584" s="27" t="s">
        <v>1202</v>
      </c>
      <c r="I584" s="27" t="s">
        <v>1200</v>
      </c>
      <c r="J584">
        <v>2652.5</v>
      </c>
      <c r="K584">
        <v>2745.88</v>
      </c>
      <c r="L584">
        <v>5305</v>
      </c>
      <c r="M584">
        <v>5491.76</v>
      </c>
      <c r="N584">
        <v>-186.76000000000022</v>
      </c>
      <c r="O584" s="17">
        <f t="shared" si="9"/>
        <v>-3.4007312774046974</v>
      </c>
      <c r="P584" t="s">
        <v>45</v>
      </c>
    </row>
    <row r="585" spans="1:16">
      <c r="A585">
        <v>583</v>
      </c>
      <c r="B585" t="s">
        <v>689</v>
      </c>
      <c r="C585" t="s">
        <v>690</v>
      </c>
      <c r="D585" t="s">
        <v>690</v>
      </c>
      <c r="E585" t="s">
        <v>72</v>
      </c>
      <c r="F585" t="s">
        <v>691</v>
      </c>
      <c r="G585">
        <v>2</v>
      </c>
      <c r="H585" s="27" t="s">
        <v>1201</v>
      </c>
      <c r="I585" s="27" t="s">
        <v>1200</v>
      </c>
      <c r="J585">
        <v>2454.6999999999998</v>
      </c>
      <c r="K585">
        <v>2482.67</v>
      </c>
      <c r="L585">
        <v>4909.3999999999996</v>
      </c>
      <c r="M585">
        <v>4965.34</v>
      </c>
      <c r="N585">
        <v>-55.940000000000509</v>
      </c>
      <c r="O585" s="17">
        <f t="shared" si="9"/>
        <v>-1.126609658150308</v>
      </c>
      <c r="P585" t="s">
        <v>45</v>
      </c>
    </row>
    <row r="586" spans="1:16">
      <c r="A586">
        <v>584</v>
      </c>
      <c r="B586" t="s">
        <v>712</v>
      </c>
      <c r="C586" t="s">
        <v>713</v>
      </c>
      <c r="D586" t="s">
        <v>716</v>
      </c>
      <c r="E586" t="s">
        <v>72</v>
      </c>
      <c r="F586" t="s">
        <v>971</v>
      </c>
      <c r="G586">
        <v>4</v>
      </c>
      <c r="H586" s="27" t="s">
        <v>1203</v>
      </c>
      <c r="I586" s="27" t="s">
        <v>1200</v>
      </c>
      <c r="J586">
        <v>1082.5</v>
      </c>
      <c r="K586">
        <v>1103.19</v>
      </c>
      <c r="L586">
        <v>4330</v>
      </c>
      <c r="M586">
        <v>4412.76</v>
      </c>
      <c r="N586">
        <v>-82.760000000000218</v>
      </c>
      <c r="O586" s="17">
        <f t="shared" si="9"/>
        <v>-1.8754702272500705</v>
      </c>
      <c r="P586" t="s">
        <v>45</v>
      </c>
    </row>
    <row r="587" spans="1:16">
      <c r="A587">
        <v>585</v>
      </c>
      <c r="B587" t="s">
        <v>823</v>
      </c>
      <c r="C587" t="s">
        <v>824</v>
      </c>
      <c r="D587" t="s">
        <v>824</v>
      </c>
      <c r="E587" t="s">
        <v>72</v>
      </c>
      <c r="F587" t="s">
        <v>825</v>
      </c>
      <c r="G587">
        <v>18</v>
      </c>
      <c r="H587" s="27" t="s">
        <v>831</v>
      </c>
      <c r="I587" s="27" t="s">
        <v>1201</v>
      </c>
      <c r="J587">
        <v>238.8</v>
      </c>
      <c r="K587">
        <v>294.64999999999998</v>
      </c>
      <c r="L587">
        <v>4298.4000000000005</v>
      </c>
      <c r="M587">
        <v>5303.7</v>
      </c>
      <c r="N587">
        <v>-1005.2999999999994</v>
      </c>
      <c r="O587" s="17">
        <f t="shared" si="9"/>
        <v>-18.954692007466473</v>
      </c>
      <c r="P587" t="s">
        <v>45</v>
      </c>
    </row>
    <row r="588" spans="1:16">
      <c r="A588">
        <v>586</v>
      </c>
      <c r="B588" t="s">
        <v>823</v>
      </c>
      <c r="C588" t="s">
        <v>824</v>
      </c>
      <c r="D588" t="s">
        <v>824</v>
      </c>
      <c r="E588" t="s">
        <v>72</v>
      </c>
      <c r="F588" t="s">
        <v>825</v>
      </c>
      <c r="G588">
        <v>2</v>
      </c>
      <c r="H588" s="27" t="s">
        <v>832</v>
      </c>
      <c r="I588" s="27" t="s">
        <v>1201</v>
      </c>
      <c r="J588">
        <v>238.8</v>
      </c>
      <c r="K588">
        <v>305.60000000000002</v>
      </c>
      <c r="L588">
        <v>477.6</v>
      </c>
      <c r="M588">
        <v>611.20000000000005</v>
      </c>
      <c r="N588">
        <v>-133.60000000000002</v>
      </c>
      <c r="O588" s="17">
        <f t="shared" si="9"/>
        <v>-21.858638743455501</v>
      </c>
      <c r="P588" t="s">
        <v>45</v>
      </c>
    </row>
    <row r="589" spans="1:16">
      <c r="A589">
        <v>587</v>
      </c>
      <c r="B589" t="s">
        <v>1028</v>
      </c>
      <c r="C589" t="s">
        <v>1029</v>
      </c>
      <c r="D589" t="s">
        <v>1029</v>
      </c>
      <c r="E589" t="s">
        <v>72</v>
      </c>
      <c r="F589" t="s">
        <v>1030</v>
      </c>
      <c r="G589">
        <v>12</v>
      </c>
      <c r="H589" s="27" t="s">
        <v>1199</v>
      </c>
      <c r="I589" s="27" t="s">
        <v>1201</v>
      </c>
      <c r="J589">
        <v>463.4</v>
      </c>
      <c r="K589">
        <v>446.75</v>
      </c>
      <c r="L589">
        <v>5560.7999999999993</v>
      </c>
      <c r="M589">
        <v>5361</v>
      </c>
      <c r="N589">
        <v>199.79999999999973</v>
      </c>
      <c r="O589" s="17">
        <f t="shared" si="9"/>
        <v>3.7269166200335708</v>
      </c>
      <c r="P589" t="s">
        <v>45</v>
      </c>
    </row>
    <row r="590" spans="1:16">
      <c r="A590">
        <v>588</v>
      </c>
      <c r="B590" t="s">
        <v>649</v>
      </c>
      <c r="C590" t="s">
        <v>648</v>
      </c>
      <c r="D590" t="s">
        <v>648</v>
      </c>
      <c r="E590" t="s">
        <v>72</v>
      </c>
      <c r="F590" t="s">
        <v>975</v>
      </c>
      <c r="G590">
        <v>150</v>
      </c>
      <c r="H590" s="27" t="s">
        <v>1199</v>
      </c>
      <c r="I590" s="27" t="s">
        <v>1201</v>
      </c>
      <c r="J590">
        <v>135.18</v>
      </c>
      <c r="K590">
        <v>123.48</v>
      </c>
      <c r="L590">
        <v>20277</v>
      </c>
      <c r="M590">
        <v>18522</v>
      </c>
      <c r="N590">
        <v>1755.0000000000005</v>
      </c>
      <c r="O590" s="17">
        <f t="shared" si="9"/>
        <v>9.4752186588921301</v>
      </c>
      <c r="P590" t="s">
        <v>45</v>
      </c>
    </row>
    <row r="591" spans="1:16">
      <c r="A591">
        <v>589</v>
      </c>
      <c r="B591" t="s">
        <v>15</v>
      </c>
      <c r="C591">
        <v>500670</v>
      </c>
      <c r="D591" t="s">
        <v>15</v>
      </c>
      <c r="E591" t="s">
        <v>72</v>
      </c>
      <c r="F591" t="s">
        <v>87</v>
      </c>
      <c r="G591">
        <v>7</v>
      </c>
      <c r="H591" s="27" t="s">
        <v>1199</v>
      </c>
      <c r="I591" s="27" t="s">
        <v>1201</v>
      </c>
      <c r="J591">
        <v>550.36</v>
      </c>
      <c r="K591">
        <v>537.88</v>
      </c>
      <c r="L591">
        <v>3852.52</v>
      </c>
      <c r="M591">
        <v>3765.16</v>
      </c>
      <c r="N591">
        <v>87.360000000000127</v>
      </c>
      <c r="O591" s="17">
        <f t="shared" si="9"/>
        <v>2.3202201234476125</v>
      </c>
      <c r="P591" t="s">
        <v>45</v>
      </c>
    </row>
    <row r="592" spans="1:16">
      <c r="A592">
        <v>590</v>
      </c>
      <c r="B592" t="s">
        <v>230</v>
      </c>
      <c r="C592" t="s">
        <v>117</v>
      </c>
      <c r="D592" t="s">
        <v>117</v>
      </c>
      <c r="E592" t="s">
        <v>72</v>
      </c>
      <c r="F592" t="s">
        <v>118</v>
      </c>
      <c r="G592">
        <v>17</v>
      </c>
      <c r="H592" s="27" t="s">
        <v>1199</v>
      </c>
      <c r="I592" s="27" t="s">
        <v>1201</v>
      </c>
      <c r="J592">
        <v>203.82</v>
      </c>
      <c r="K592">
        <v>197.41</v>
      </c>
      <c r="L592">
        <v>3464.94</v>
      </c>
      <c r="M592">
        <v>3355.97</v>
      </c>
      <c r="N592">
        <v>108.96999999999994</v>
      </c>
      <c r="O592" s="17">
        <f t="shared" si="9"/>
        <v>3.2470492882832667</v>
      </c>
      <c r="P592" t="s">
        <v>45</v>
      </c>
    </row>
    <row r="593" spans="1:16">
      <c r="A593">
        <v>591</v>
      </c>
      <c r="B593" t="s">
        <v>545</v>
      </c>
      <c r="C593" t="s">
        <v>546</v>
      </c>
      <c r="D593" t="s">
        <v>546</v>
      </c>
      <c r="E593" t="s">
        <v>72</v>
      </c>
      <c r="F593" t="s">
        <v>547</v>
      </c>
      <c r="G593">
        <v>3</v>
      </c>
      <c r="H593" s="27" t="s">
        <v>1199</v>
      </c>
      <c r="I593" s="27" t="s">
        <v>1201</v>
      </c>
      <c r="J593">
        <v>1584.8</v>
      </c>
      <c r="K593">
        <v>1547.03</v>
      </c>
      <c r="L593">
        <v>4754.3999999999996</v>
      </c>
      <c r="M593">
        <v>4641.09</v>
      </c>
      <c r="N593">
        <v>113.30999999999995</v>
      </c>
      <c r="O593" s="17">
        <f t="shared" si="9"/>
        <v>2.4414523312411514</v>
      </c>
      <c r="P593" t="s">
        <v>45</v>
      </c>
    </row>
    <row r="594" spans="1:16">
      <c r="A594">
        <v>592</v>
      </c>
      <c r="B594" t="s">
        <v>414</v>
      </c>
      <c r="C594" t="s">
        <v>414</v>
      </c>
      <c r="D594" t="s">
        <v>414</v>
      </c>
      <c r="E594" t="s">
        <v>72</v>
      </c>
      <c r="F594" t="s">
        <v>415</v>
      </c>
      <c r="G594">
        <v>5</v>
      </c>
      <c r="H594" s="27" t="s">
        <v>1203</v>
      </c>
      <c r="I594" s="27" t="s">
        <v>1201</v>
      </c>
      <c r="J594">
        <v>629</v>
      </c>
      <c r="K594">
        <v>674.33</v>
      </c>
      <c r="L594">
        <v>3145</v>
      </c>
      <c r="M594">
        <v>3371.65</v>
      </c>
      <c r="N594">
        <v>-226.6500000000002</v>
      </c>
      <c r="O594" s="17">
        <f t="shared" si="9"/>
        <v>-6.7222279892634225</v>
      </c>
      <c r="P594" t="s">
        <v>45</v>
      </c>
    </row>
    <row r="595" spans="1:16">
      <c r="A595">
        <v>593</v>
      </c>
      <c r="B595" t="s">
        <v>627</v>
      </c>
      <c r="C595" t="s">
        <v>683</v>
      </c>
      <c r="D595" t="s">
        <v>628</v>
      </c>
      <c r="E595" t="s">
        <v>72</v>
      </c>
      <c r="F595" t="s">
        <v>629</v>
      </c>
      <c r="G595">
        <v>12</v>
      </c>
      <c r="H595" s="27" t="s">
        <v>1199</v>
      </c>
      <c r="I595" s="27" t="s">
        <v>1201</v>
      </c>
      <c r="J595">
        <v>354.75</v>
      </c>
      <c r="K595">
        <v>345.64</v>
      </c>
      <c r="L595">
        <v>4257</v>
      </c>
      <c r="M595">
        <v>4147.68</v>
      </c>
      <c r="N595">
        <v>109.32000000000016</v>
      </c>
      <c r="O595" s="17">
        <f t="shared" si="9"/>
        <v>2.6356903136211125</v>
      </c>
      <c r="P595" t="s">
        <v>45</v>
      </c>
    </row>
    <row r="596" spans="1:16">
      <c r="A596">
        <v>594</v>
      </c>
      <c r="B596" t="s">
        <v>665</v>
      </c>
      <c r="C596" t="s">
        <v>666</v>
      </c>
      <c r="D596" t="s">
        <v>666</v>
      </c>
      <c r="E596" t="s">
        <v>72</v>
      </c>
      <c r="F596" t="s">
        <v>667</v>
      </c>
      <c r="G596">
        <v>3</v>
      </c>
      <c r="H596" s="27" t="s">
        <v>1047</v>
      </c>
      <c r="I596" s="27" t="s">
        <v>1201</v>
      </c>
      <c r="J596">
        <v>2266</v>
      </c>
      <c r="K596">
        <v>2513.25</v>
      </c>
      <c r="L596">
        <v>6798</v>
      </c>
      <c r="M596">
        <v>7539.75</v>
      </c>
      <c r="N596">
        <v>-741.75</v>
      </c>
      <c r="O596" s="17">
        <f t="shared" si="9"/>
        <v>-9.8378593454690151</v>
      </c>
      <c r="P596" t="s">
        <v>45</v>
      </c>
    </row>
    <row r="597" spans="1:16">
      <c r="A597">
        <v>595</v>
      </c>
      <c r="B597" t="s">
        <v>483</v>
      </c>
      <c r="C597" t="s">
        <v>474</v>
      </c>
      <c r="D597" t="s">
        <v>473</v>
      </c>
      <c r="E597" t="s">
        <v>72</v>
      </c>
      <c r="F597" t="s">
        <v>587</v>
      </c>
      <c r="G597">
        <v>6</v>
      </c>
      <c r="H597" s="27" t="s">
        <v>1196</v>
      </c>
      <c r="I597" s="27" t="s">
        <v>1201</v>
      </c>
      <c r="J597">
        <v>997.55</v>
      </c>
      <c r="K597">
        <v>1078.1500000000001</v>
      </c>
      <c r="L597">
        <v>5985.2999999999993</v>
      </c>
      <c r="M597">
        <v>6468.9000000000005</v>
      </c>
      <c r="N597">
        <v>-483.60000000000082</v>
      </c>
      <c r="O597" s="17">
        <f t="shared" si="9"/>
        <v>-7.4757686778277721</v>
      </c>
      <c r="P597" t="s">
        <v>45</v>
      </c>
    </row>
    <row r="598" spans="1:16">
      <c r="A598">
        <v>596</v>
      </c>
      <c r="B598" t="s">
        <v>566</v>
      </c>
      <c r="C598" t="s">
        <v>567</v>
      </c>
      <c r="D598" t="s">
        <v>567</v>
      </c>
      <c r="E598" t="s">
        <v>72</v>
      </c>
      <c r="F598" t="s">
        <v>585</v>
      </c>
      <c r="G598">
        <v>10</v>
      </c>
      <c r="H598" s="27" t="s">
        <v>1187</v>
      </c>
      <c r="I598" s="27" t="s">
        <v>1201</v>
      </c>
      <c r="J598">
        <v>483.75</v>
      </c>
      <c r="K598">
        <v>492.3</v>
      </c>
      <c r="L598">
        <v>4837.5</v>
      </c>
      <c r="M598">
        <v>4923</v>
      </c>
      <c r="N598">
        <v>-85.500000000000114</v>
      </c>
      <c r="O598" s="17">
        <f t="shared" si="9"/>
        <v>-1.7367458866544814</v>
      </c>
      <c r="P598" t="s">
        <v>45</v>
      </c>
    </row>
    <row r="599" spans="1:16">
      <c r="A599">
        <v>597</v>
      </c>
      <c r="B599" t="s">
        <v>651</v>
      </c>
      <c r="C599" t="s">
        <v>653</v>
      </c>
      <c r="D599" t="s">
        <v>653</v>
      </c>
      <c r="E599" t="s">
        <v>72</v>
      </c>
      <c r="F599" t="s">
        <v>654</v>
      </c>
      <c r="G599">
        <v>15</v>
      </c>
      <c r="H599" s="27" t="s">
        <v>1063</v>
      </c>
      <c r="I599" s="27" t="s">
        <v>1201</v>
      </c>
      <c r="J599">
        <v>590.35</v>
      </c>
      <c r="K599">
        <v>698.73</v>
      </c>
      <c r="L599">
        <v>8855.25</v>
      </c>
      <c r="M599">
        <v>10480.950000000001</v>
      </c>
      <c r="N599">
        <v>-1625.6999999999998</v>
      </c>
      <c r="O599" s="17">
        <f t="shared" si="9"/>
        <v>-15.51099852589698</v>
      </c>
      <c r="P599" t="s">
        <v>45</v>
      </c>
    </row>
    <row r="600" spans="1:16">
      <c r="A600">
        <v>598</v>
      </c>
      <c r="B600" t="s">
        <v>677</v>
      </c>
      <c r="C600" t="s">
        <v>678</v>
      </c>
      <c r="D600" t="s">
        <v>678</v>
      </c>
      <c r="E600" t="s">
        <v>72</v>
      </c>
      <c r="F600" t="s">
        <v>679</v>
      </c>
      <c r="G600">
        <v>20</v>
      </c>
      <c r="H600" s="27" t="s">
        <v>1072</v>
      </c>
      <c r="I600" s="27" t="s">
        <v>1202</v>
      </c>
      <c r="J600">
        <v>384.55</v>
      </c>
      <c r="K600">
        <v>353.47</v>
      </c>
      <c r="L600">
        <v>7691</v>
      </c>
      <c r="M600">
        <v>7069.4000000000005</v>
      </c>
      <c r="N600">
        <v>621.59999999999968</v>
      </c>
      <c r="O600" s="17">
        <f t="shared" si="9"/>
        <v>8.7928254165841473</v>
      </c>
      <c r="P600" t="s">
        <v>45</v>
      </c>
    </row>
    <row r="601" spans="1:16">
      <c r="A601">
        <v>599</v>
      </c>
      <c r="B601" t="s">
        <v>746</v>
      </c>
      <c r="C601" t="s">
        <v>747</v>
      </c>
      <c r="D601" t="s">
        <v>747</v>
      </c>
      <c r="E601" t="s">
        <v>72</v>
      </c>
      <c r="F601" t="s">
        <v>748</v>
      </c>
      <c r="G601">
        <v>27</v>
      </c>
      <c r="H601" s="27" t="s">
        <v>1204</v>
      </c>
      <c r="I601" s="27" t="s">
        <v>1202</v>
      </c>
      <c r="J601">
        <v>396.33</v>
      </c>
      <c r="K601">
        <v>377.18</v>
      </c>
      <c r="L601">
        <v>10700.91</v>
      </c>
      <c r="M601">
        <v>10183.86</v>
      </c>
      <c r="N601">
        <v>517.04999999999939</v>
      </c>
      <c r="O601" s="17">
        <f t="shared" si="9"/>
        <v>5.0771514926560206</v>
      </c>
      <c r="P601" t="s">
        <v>45</v>
      </c>
    </row>
    <row r="602" spans="1:16">
      <c r="A602">
        <v>600</v>
      </c>
      <c r="B602" t="s">
        <v>668</v>
      </c>
      <c r="C602" t="s">
        <v>669</v>
      </c>
      <c r="D602" t="s">
        <v>669</v>
      </c>
      <c r="E602" t="s">
        <v>72</v>
      </c>
      <c r="F602" t="s">
        <v>670</v>
      </c>
      <c r="G602">
        <v>3</v>
      </c>
      <c r="H602" s="27" t="s">
        <v>1155</v>
      </c>
      <c r="I602" s="27" t="s">
        <v>1202</v>
      </c>
      <c r="J602">
        <v>3450.7</v>
      </c>
      <c r="K602">
        <v>3292.5</v>
      </c>
      <c r="L602">
        <v>10352.099999999999</v>
      </c>
      <c r="M602">
        <v>9877.5</v>
      </c>
      <c r="N602">
        <v>474.59999999999945</v>
      </c>
      <c r="O602" s="17">
        <f t="shared" si="9"/>
        <v>4.8048595292330996</v>
      </c>
      <c r="P602" t="s">
        <v>45</v>
      </c>
    </row>
    <row r="603" spans="1:16">
      <c r="A603">
        <v>601</v>
      </c>
      <c r="B603" t="s">
        <v>25</v>
      </c>
      <c r="C603" t="s">
        <v>100</v>
      </c>
      <c r="D603" t="s">
        <v>100</v>
      </c>
      <c r="E603" t="s">
        <v>72</v>
      </c>
      <c r="F603" t="s">
        <v>101</v>
      </c>
      <c r="G603">
        <v>11</v>
      </c>
      <c r="H603" s="27" t="s">
        <v>1189</v>
      </c>
      <c r="I603" s="27" t="s">
        <v>1202</v>
      </c>
      <c r="J603">
        <v>417.19</v>
      </c>
      <c r="K603">
        <v>386.64</v>
      </c>
      <c r="L603">
        <v>4589.09</v>
      </c>
      <c r="M603">
        <v>4253.04</v>
      </c>
      <c r="N603">
        <v>336.05000000000013</v>
      </c>
      <c r="O603" s="17">
        <f t="shared" si="9"/>
        <v>7.9014069935857671</v>
      </c>
      <c r="P603" t="s">
        <v>45</v>
      </c>
    </row>
    <row r="604" spans="1:16">
      <c r="A604">
        <v>602</v>
      </c>
      <c r="B604" t="s">
        <v>697</v>
      </c>
      <c r="C604" t="s">
        <v>698</v>
      </c>
      <c r="D604" t="s">
        <v>698</v>
      </c>
      <c r="E604" t="s">
        <v>72</v>
      </c>
      <c r="F604" t="s">
        <v>699</v>
      </c>
      <c r="G604">
        <v>10</v>
      </c>
      <c r="H604" s="27" t="s">
        <v>1187</v>
      </c>
      <c r="I604" s="27" t="s">
        <v>1204</v>
      </c>
      <c r="J604">
        <v>455.66</v>
      </c>
      <c r="K604">
        <v>454.35</v>
      </c>
      <c r="L604">
        <v>4556.6000000000004</v>
      </c>
      <c r="M604">
        <v>4543.5</v>
      </c>
      <c r="N604">
        <v>13.100000000000023</v>
      </c>
      <c r="O604" s="17">
        <f t="shared" si="9"/>
        <v>0.28832397931110426</v>
      </c>
      <c r="P604" t="s">
        <v>45</v>
      </c>
    </row>
    <row r="605" spans="1:16">
      <c r="A605">
        <v>603</v>
      </c>
      <c r="B605" t="s">
        <v>881</v>
      </c>
      <c r="C605" t="s">
        <v>880</v>
      </c>
      <c r="D605" t="s">
        <v>880</v>
      </c>
      <c r="E605" t="s">
        <v>72</v>
      </c>
      <c r="F605" t="s">
        <v>882</v>
      </c>
      <c r="G605">
        <v>30</v>
      </c>
      <c r="H605" s="27" t="s">
        <v>1196</v>
      </c>
      <c r="I605" s="27" t="s">
        <v>1204</v>
      </c>
      <c r="J605">
        <v>474.06</v>
      </c>
      <c r="K605">
        <v>471.81</v>
      </c>
      <c r="L605">
        <v>14221.8</v>
      </c>
      <c r="M605">
        <v>14154.3</v>
      </c>
      <c r="N605">
        <v>67.5</v>
      </c>
      <c r="O605" s="17">
        <f t="shared" si="9"/>
        <v>0.47688688243148725</v>
      </c>
      <c r="P605" t="s">
        <v>45</v>
      </c>
    </row>
    <row r="606" spans="1:16">
      <c r="A606">
        <v>604</v>
      </c>
      <c r="B606" t="s">
        <v>727</v>
      </c>
      <c r="C606" t="s">
        <v>728</v>
      </c>
      <c r="D606" t="s">
        <v>728</v>
      </c>
      <c r="E606" t="s">
        <v>72</v>
      </c>
      <c r="F606" t="s">
        <v>729</v>
      </c>
      <c r="G606">
        <v>7</v>
      </c>
      <c r="H606" s="27" t="s">
        <v>1201</v>
      </c>
      <c r="I606" s="27" t="s">
        <v>1204</v>
      </c>
      <c r="J606">
        <v>1663.1</v>
      </c>
      <c r="K606">
        <v>1542.89</v>
      </c>
      <c r="L606">
        <v>11641.699999999999</v>
      </c>
      <c r="M606">
        <v>10800.230000000001</v>
      </c>
      <c r="N606">
        <v>841.46999999999866</v>
      </c>
      <c r="O606" s="17">
        <f t="shared" si="9"/>
        <v>7.7912229646961082</v>
      </c>
      <c r="P606" t="s">
        <v>45</v>
      </c>
    </row>
    <row r="607" spans="1:16">
      <c r="A607">
        <v>605</v>
      </c>
      <c r="B607" t="s">
        <v>727</v>
      </c>
      <c r="C607" t="s">
        <v>728</v>
      </c>
      <c r="D607" t="s">
        <v>728</v>
      </c>
      <c r="E607" t="s">
        <v>72</v>
      </c>
      <c r="F607" t="s">
        <v>729</v>
      </c>
      <c r="G607">
        <v>2</v>
      </c>
      <c r="H607" s="27" t="s">
        <v>1042</v>
      </c>
      <c r="I607" s="27" t="s">
        <v>1204</v>
      </c>
      <c r="J607">
        <v>1663.1</v>
      </c>
      <c r="K607">
        <v>1282.6500000000001</v>
      </c>
      <c r="L607">
        <v>3326.2</v>
      </c>
      <c r="M607">
        <v>2565.3000000000002</v>
      </c>
      <c r="N607">
        <v>760.89999999999964</v>
      </c>
      <c r="O607" s="17">
        <f t="shared" si="9"/>
        <v>29.66124819709194</v>
      </c>
      <c r="P607" t="s">
        <v>45</v>
      </c>
    </row>
    <row r="608" spans="1:16">
      <c r="A608">
        <v>606</v>
      </c>
      <c r="B608" t="s">
        <v>727</v>
      </c>
      <c r="C608" t="s">
        <v>728</v>
      </c>
      <c r="D608" t="s">
        <v>728</v>
      </c>
      <c r="E608" t="s">
        <v>72</v>
      </c>
      <c r="F608" t="s">
        <v>729</v>
      </c>
      <c r="G608">
        <v>1</v>
      </c>
      <c r="H608" s="27" t="s">
        <v>1049</v>
      </c>
      <c r="I608" s="27" t="s">
        <v>1204</v>
      </c>
      <c r="J608">
        <v>1663.1</v>
      </c>
      <c r="K608">
        <v>1316</v>
      </c>
      <c r="L608">
        <v>1663.1</v>
      </c>
      <c r="M608">
        <v>1316</v>
      </c>
      <c r="N608">
        <v>347.09999999999991</v>
      </c>
      <c r="O608" s="17">
        <f t="shared" si="9"/>
        <v>26.375379939209719</v>
      </c>
      <c r="P608" t="s">
        <v>45</v>
      </c>
    </row>
    <row r="609" spans="1:16">
      <c r="A609">
        <v>607</v>
      </c>
      <c r="B609" t="s">
        <v>37</v>
      </c>
      <c r="C609" t="s">
        <v>119</v>
      </c>
      <c r="D609" t="s">
        <v>216</v>
      </c>
      <c r="E609" t="s">
        <v>76</v>
      </c>
      <c r="F609" t="s">
        <v>120</v>
      </c>
      <c r="G609">
        <v>40</v>
      </c>
      <c r="H609" s="27" t="s">
        <v>1182</v>
      </c>
      <c r="I609" s="27" t="s">
        <v>1204</v>
      </c>
      <c r="J609">
        <v>128.33000000000001</v>
      </c>
      <c r="K609">
        <v>127</v>
      </c>
      <c r="L609">
        <v>5133.2000000000007</v>
      </c>
      <c r="M609">
        <v>5080</v>
      </c>
      <c r="N609">
        <v>53.2000000000005</v>
      </c>
      <c r="O609" s="17">
        <f t="shared" si="9"/>
        <v>1.0472440944881989</v>
      </c>
      <c r="P609" t="s">
        <v>45</v>
      </c>
    </row>
    <row r="610" spans="1:16">
      <c r="A610">
        <v>608</v>
      </c>
      <c r="B610" t="s">
        <v>723</v>
      </c>
      <c r="C610" t="s">
        <v>840</v>
      </c>
      <c r="D610" t="s">
        <v>724</v>
      </c>
      <c r="E610" t="s">
        <v>72</v>
      </c>
      <c r="F610" t="s">
        <v>726</v>
      </c>
      <c r="G610">
        <v>10</v>
      </c>
      <c r="H610" s="27" t="s">
        <v>1193</v>
      </c>
      <c r="I610" s="27" t="s">
        <v>1205</v>
      </c>
      <c r="J610">
        <v>368.95</v>
      </c>
      <c r="K610">
        <v>356.85</v>
      </c>
      <c r="L610">
        <v>3689.5</v>
      </c>
      <c r="M610">
        <v>3568.5</v>
      </c>
      <c r="N610">
        <v>120.99999999999966</v>
      </c>
      <c r="O610" s="17">
        <f t="shared" si="9"/>
        <v>3.390780439960758</v>
      </c>
      <c r="P610" t="s">
        <v>45</v>
      </c>
    </row>
    <row r="611" spans="1:16">
      <c r="A611">
        <v>609</v>
      </c>
      <c r="B611" t="s">
        <v>723</v>
      </c>
      <c r="C611" t="s">
        <v>840</v>
      </c>
      <c r="D611" t="s">
        <v>724</v>
      </c>
      <c r="E611" t="s">
        <v>72</v>
      </c>
      <c r="F611" t="s">
        <v>726</v>
      </c>
      <c r="G611">
        <v>10</v>
      </c>
      <c r="H611" s="27" t="s">
        <v>1094</v>
      </c>
      <c r="I611" s="27" t="s">
        <v>1205</v>
      </c>
      <c r="J611">
        <v>368.95</v>
      </c>
      <c r="K611">
        <v>365.46</v>
      </c>
      <c r="L611">
        <v>3689.5</v>
      </c>
      <c r="M611">
        <v>3654.6</v>
      </c>
      <c r="N611">
        <v>34.900000000000091</v>
      </c>
      <c r="O611" s="17">
        <f t="shared" si="9"/>
        <v>0.95496087123078011</v>
      </c>
      <c r="P611" t="s">
        <v>45</v>
      </c>
    </row>
    <row r="612" spans="1:16">
      <c r="A612">
        <v>610</v>
      </c>
      <c r="B612" t="s">
        <v>218</v>
      </c>
      <c r="C612">
        <v>500408</v>
      </c>
      <c r="D612" t="s">
        <v>219</v>
      </c>
      <c r="E612" t="s">
        <v>72</v>
      </c>
      <c r="F612" t="s">
        <v>220</v>
      </c>
      <c r="G612">
        <v>1</v>
      </c>
      <c r="H612" s="27" t="s">
        <v>915</v>
      </c>
      <c r="I612" s="27" t="s">
        <v>1203</v>
      </c>
      <c r="J612">
        <v>6490</v>
      </c>
      <c r="K612">
        <v>5658.25</v>
      </c>
      <c r="L612">
        <v>6490</v>
      </c>
      <c r="M612">
        <v>5658.25</v>
      </c>
      <c r="N612">
        <v>831.75</v>
      </c>
      <c r="O612" s="17">
        <f t="shared" si="9"/>
        <v>14.699774665311713</v>
      </c>
      <c r="P612" t="s">
        <v>45</v>
      </c>
    </row>
    <row r="613" spans="1:16">
      <c r="A613">
        <v>611</v>
      </c>
      <c r="B613" t="s">
        <v>527</v>
      </c>
      <c r="C613" t="s">
        <v>528</v>
      </c>
      <c r="D613" t="s">
        <v>528</v>
      </c>
      <c r="E613" t="s">
        <v>72</v>
      </c>
      <c r="F613" t="s">
        <v>529</v>
      </c>
      <c r="G613">
        <v>20</v>
      </c>
      <c r="H613" s="27" t="s">
        <v>1201</v>
      </c>
      <c r="I613" s="27" t="s">
        <v>1203</v>
      </c>
      <c r="J613">
        <v>520.54</v>
      </c>
      <c r="K613">
        <v>486.16</v>
      </c>
      <c r="L613">
        <v>10410.799999999999</v>
      </c>
      <c r="M613">
        <v>9723.2000000000007</v>
      </c>
      <c r="N613">
        <v>687.59999999999877</v>
      </c>
      <c r="O613" s="17">
        <f t="shared" si="9"/>
        <v>7.07174592726673</v>
      </c>
      <c r="P613" t="s">
        <v>45</v>
      </c>
    </row>
    <row r="614" spans="1:16">
      <c r="A614">
        <v>612</v>
      </c>
      <c r="B614" t="s">
        <v>671</v>
      </c>
      <c r="C614" t="s">
        <v>672</v>
      </c>
      <c r="D614" t="s">
        <v>672</v>
      </c>
      <c r="E614" t="s">
        <v>72</v>
      </c>
      <c r="F614" t="s">
        <v>673</v>
      </c>
      <c r="G614">
        <v>1</v>
      </c>
      <c r="H614" s="27" t="s">
        <v>1180</v>
      </c>
      <c r="I614" s="27" t="s">
        <v>1203</v>
      </c>
      <c r="J614">
        <v>6599</v>
      </c>
      <c r="K614">
        <v>6705.28</v>
      </c>
      <c r="L614">
        <v>6599</v>
      </c>
      <c r="M614">
        <v>6705.28</v>
      </c>
      <c r="N614">
        <v>-106.27999999999975</v>
      </c>
      <c r="O614" s="17">
        <f t="shared" si="9"/>
        <v>-1.5850195666698446</v>
      </c>
      <c r="P614" t="s">
        <v>45</v>
      </c>
    </row>
    <row r="615" spans="1:16">
      <c r="A615">
        <v>613</v>
      </c>
      <c r="B615" t="s">
        <v>610</v>
      </c>
      <c r="C615" t="s">
        <v>611</v>
      </c>
      <c r="D615" t="s">
        <v>695</v>
      </c>
      <c r="E615" t="s">
        <v>72</v>
      </c>
      <c r="F615" t="s">
        <v>1053</v>
      </c>
      <c r="G615">
        <v>15</v>
      </c>
      <c r="H615" s="27" t="s">
        <v>1194</v>
      </c>
      <c r="I615" s="27" t="s">
        <v>1203</v>
      </c>
      <c r="J615">
        <v>380.5</v>
      </c>
      <c r="K615">
        <v>376</v>
      </c>
      <c r="L615">
        <v>5707.5</v>
      </c>
      <c r="M615">
        <v>5640</v>
      </c>
      <c r="N615">
        <v>67.5</v>
      </c>
      <c r="O615" s="17">
        <f t="shared" si="9"/>
        <v>1.196808510638298</v>
      </c>
      <c r="P615" t="s">
        <v>45</v>
      </c>
    </row>
    <row r="616" spans="1:16">
      <c r="A616">
        <v>614</v>
      </c>
      <c r="B616" t="s">
        <v>19</v>
      </c>
      <c r="C616" t="s">
        <v>90</v>
      </c>
      <c r="D616" t="s">
        <v>90</v>
      </c>
      <c r="E616" t="s">
        <v>72</v>
      </c>
      <c r="F616" t="s">
        <v>91</v>
      </c>
      <c r="G616">
        <v>11</v>
      </c>
      <c r="H616" s="27" t="s">
        <v>947</v>
      </c>
      <c r="I616" s="27" t="s">
        <v>1203</v>
      </c>
      <c r="J616">
        <v>321.14</v>
      </c>
      <c r="K616">
        <v>298.08</v>
      </c>
      <c r="L616">
        <v>3532.54</v>
      </c>
      <c r="M616">
        <v>3278.8799999999997</v>
      </c>
      <c r="N616">
        <v>253.66000000000003</v>
      </c>
      <c r="O616" s="17">
        <f t="shared" si="9"/>
        <v>7.7361782071927019</v>
      </c>
      <c r="P616" t="s">
        <v>45</v>
      </c>
    </row>
    <row r="617" spans="1:16">
      <c r="A617">
        <v>615</v>
      </c>
      <c r="B617" t="s">
        <v>536</v>
      </c>
      <c r="C617" t="s">
        <v>537</v>
      </c>
      <c r="D617" t="s">
        <v>550</v>
      </c>
      <c r="E617" t="s">
        <v>72</v>
      </c>
      <c r="F617" t="s">
        <v>538</v>
      </c>
      <c r="G617">
        <v>6</v>
      </c>
      <c r="H617" s="27" t="s">
        <v>1044</v>
      </c>
      <c r="I617" s="27" t="s">
        <v>1203</v>
      </c>
      <c r="J617">
        <v>1655.4</v>
      </c>
      <c r="K617">
        <v>1513.9</v>
      </c>
      <c r="L617">
        <v>9932.4000000000015</v>
      </c>
      <c r="M617">
        <v>9083.4000000000015</v>
      </c>
      <c r="N617">
        <v>849</v>
      </c>
      <c r="O617" s="17">
        <f t="shared" si="9"/>
        <v>9.3467203910430001</v>
      </c>
      <c r="P617" t="s">
        <v>45</v>
      </c>
    </row>
    <row r="618" spans="1:16">
      <c r="A618">
        <v>616</v>
      </c>
      <c r="B618" t="s">
        <v>536</v>
      </c>
      <c r="C618" t="s">
        <v>537</v>
      </c>
      <c r="D618" t="s">
        <v>550</v>
      </c>
      <c r="E618" t="s">
        <v>72</v>
      </c>
      <c r="F618" t="s">
        <v>538</v>
      </c>
      <c r="G618">
        <v>15</v>
      </c>
      <c r="H618" s="27" t="s">
        <v>948</v>
      </c>
      <c r="I618" s="27" t="s">
        <v>1203</v>
      </c>
      <c r="J618">
        <v>1655.4</v>
      </c>
      <c r="K618">
        <v>1395.9</v>
      </c>
      <c r="L618">
        <v>24831</v>
      </c>
      <c r="M618">
        <v>20938.5</v>
      </c>
      <c r="N618">
        <v>3892.5</v>
      </c>
      <c r="O618" s="17">
        <f t="shared" si="9"/>
        <v>18.590156888029231</v>
      </c>
      <c r="P618" t="s">
        <v>45</v>
      </c>
    </row>
    <row r="619" spans="1:16">
      <c r="A619">
        <v>617</v>
      </c>
      <c r="B619" t="s">
        <v>536</v>
      </c>
      <c r="C619" t="s">
        <v>537</v>
      </c>
      <c r="D619" t="s">
        <v>550</v>
      </c>
      <c r="E619" t="s">
        <v>72</v>
      </c>
      <c r="F619" t="s">
        <v>538</v>
      </c>
      <c r="G619">
        <v>3</v>
      </c>
      <c r="H619" s="27" t="s">
        <v>549</v>
      </c>
      <c r="I619" s="27" t="s">
        <v>1203</v>
      </c>
      <c r="J619">
        <v>1655.4</v>
      </c>
      <c r="K619">
        <v>1395.9</v>
      </c>
      <c r="L619">
        <v>4966.2000000000007</v>
      </c>
      <c r="M619">
        <v>4187.7000000000007</v>
      </c>
      <c r="N619">
        <v>778.5</v>
      </c>
      <c r="O619" s="17">
        <f t="shared" si="9"/>
        <v>18.590156888029224</v>
      </c>
      <c r="P619" t="s">
        <v>45</v>
      </c>
    </row>
    <row r="620" spans="1:16">
      <c r="A620">
        <v>618</v>
      </c>
      <c r="B620" t="s">
        <v>536</v>
      </c>
      <c r="C620" t="s">
        <v>537</v>
      </c>
      <c r="D620" t="s">
        <v>537</v>
      </c>
      <c r="E620" t="s">
        <v>72</v>
      </c>
      <c r="F620" t="s">
        <v>538</v>
      </c>
      <c r="G620">
        <v>1</v>
      </c>
      <c r="H620" s="27" t="s">
        <v>526</v>
      </c>
      <c r="I620" s="27" t="s">
        <v>1203</v>
      </c>
      <c r="J620">
        <v>1655.4</v>
      </c>
      <c r="K620">
        <v>1395.9</v>
      </c>
      <c r="L620">
        <v>1655.4</v>
      </c>
      <c r="M620">
        <v>1395.9</v>
      </c>
      <c r="N620">
        <v>259.5</v>
      </c>
      <c r="O620" s="17">
        <f t="shared" si="9"/>
        <v>18.590156888029227</v>
      </c>
      <c r="P620" t="s">
        <v>45</v>
      </c>
    </row>
    <row r="621" spans="1:16">
      <c r="A621">
        <v>619</v>
      </c>
      <c r="B621" t="s">
        <v>645</v>
      </c>
      <c r="C621" t="s">
        <v>646</v>
      </c>
      <c r="D621" t="s">
        <v>646</v>
      </c>
      <c r="E621" t="s">
        <v>72</v>
      </c>
      <c r="F621" t="s">
        <v>647</v>
      </c>
      <c r="G621">
        <v>2</v>
      </c>
      <c r="H621" s="27" t="s">
        <v>858</v>
      </c>
      <c r="I621" s="27" t="s">
        <v>1206</v>
      </c>
      <c r="J621">
        <v>2562.5</v>
      </c>
      <c r="K621">
        <v>2485.3000000000002</v>
      </c>
      <c r="L621">
        <v>5125</v>
      </c>
      <c r="M621">
        <v>4970.6000000000004</v>
      </c>
      <c r="N621">
        <v>154.39999999999964</v>
      </c>
      <c r="O621" s="17">
        <f t="shared" si="9"/>
        <v>3.1062648372429811</v>
      </c>
      <c r="P621" t="s">
        <v>45</v>
      </c>
    </row>
    <row r="622" spans="1:16">
      <c r="A622">
        <v>620</v>
      </c>
      <c r="B622" t="s">
        <v>931</v>
      </c>
      <c r="C622" t="s">
        <v>931</v>
      </c>
      <c r="D622" t="s">
        <v>931</v>
      </c>
      <c r="E622" t="s">
        <v>72</v>
      </c>
      <c r="F622" t="s">
        <v>932</v>
      </c>
      <c r="G622">
        <v>100</v>
      </c>
      <c r="H622" s="27" t="s">
        <v>1199</v>
      </c>
      <c r="I622" s="27" t="s">
        <v>1206</v>
      </c>
      <c r="J622">
        <v>125.65</v>
      </c>
      <c r="K622">
        <v>114.51</v>
      </c>
      <c r="L622">
        <v>12565</v>
      </c>
      <c r="M622">
        <v>11451</v>
      </c>
      <c r="N622">
        <v>1114</v>
      </c>
      <c r="O622" s="17">
        <f t="shared" si="9"/>
        <v>9.7284079993013712</v>
      </c>
      <c r="P622" t="s">
        <v>45</v>
      </c>
    </row>
    <row r="623" spans="1:16">
      <c r="A623">
        <v>621</v>
      </c>
      <c r="B623" t="s">
        <v>539</v>
      </c>
      <c r="C623" t="s">
        <v>540</v>
      </c>
      <c r="D623" t="s">
        <v>540</v>
      </c>
      <c r="E623" t="s">
        <v>72</v>
      </c>
      <c r="F623" t="s">
        <v>541</v>
      </c>
      <c r="G623">
        <v>10</v>
      </c>
      <c r="H623" s="27" t="s">
        <v>1142</v>
      </c>
      <c r="I623" s="27" t="s">
        <v>1206</v>
      </c>
      <c r="J623">
        <v>940.95</v>
      </c>
      <c r="K623">
        <v>930.44</v>
      </c>
      <c r="L623">
        <v>9409.5</v>
      </c>
      <c r="M623">
        <v>9304.4000000000015</v>
      </c>
      <c r="N623">
        <v>105.09999999999991</v>
      </c>
      <c r="O623" s="17">
        <f t="shared" si="9"/>
        <v>1.1295731051975397</v>
      </c>
      <c r="P623" t="s">
        <v>45</v>
      </c>
    </row>
    <row r="624" spans="1:16">
      <c r="A624">
        <v>622</v>
      </c>
      <c r="B624" t="s">
        <v>894</v>
      </c>
      <c r="C624" t="s">
        <v>898</v>
      </c>
      <c r="D624" t="s">
        <v>898</v>
      </c>
      <c r="E624" t="s">
        <v>72</v>
      </c>
      <c r="F624" t="s">
        <v>899</v>
      </c>
      <c r="G624">
        <v>1</v>
      </c>
      <c r="H624" s="27" t="s">
        <v>1201</v>
      </c>
      <c r="I624" s="27" t="s">
        <v>1206</v>
      </c>
      <c r="J624">
        <v>4026.65</v>
      </c>
      <c r="K624">
        <v>3674.8</v>
      </c>
      <c r="L624">
        <v>4026.65</v>
      </c>
      <c r="M624">
        <v>3674.8</v>
      </c>
      <c r="N624">
        <v>351.84999999999991</v>
      </c>
      <c r="O624" s="17">
        <f t="shared" si="9"/>
        <v>9.5746707303798804</v>
      </c>
      <c r="P624" t="s">
        <v>45</v>
      </c>
    </row>
    <row r="625" spans="1:16">
      <c r="A625">
        <v>623</v>
      </c>
      <c r="B625" t="s">
        <v>441</v>
      </c>
      <c r="C625" t="s">
        <v>445</v>
      </c>
      <c r="D625" t="s">
        <v>445</v>
      </c>
      <c r="E625" t="s">
        <v>72</v>
      </c>
      <c r="F625" t="s">
        <v>584</v>
      </c>
      <c r="G625">
        <v>4</v>
      </c>
      <c r="H625" s="27" t="s">
        <v>1018</v>
      </c>
      <c r="I625" s="27" t="s">
        <v>1207</v>
      </c>
      <c r="J625">
        <v>1658.5</v>
      </c>
      <c r="K625">
        <v>1493.79</v>
      </c>
      <c r="L625">
        <v>6634</v>
      </c>
      <c r="M625">
        <v>5975.16</v>
      </c>
      <c r="N625">
        <v>658.84000000000015</v>
      </c>
      <c r="O625" s="17">
        <f t="shared" si="9"/>
        <v>11.026315613305755</v>
      </c>
      <c r="P625" t="s">
        <v>45</v>
      </c>
    </row>
    <row r="626" spans="1:16">
      <c r="A626">
        <v>624</v>
      </c>
      <c r="B626" t="s">
        <v>27</v>
      </c>
      <c r="C626">
        <v>500288</v>
      </c>
      <c r="D626" t="s">
        <v>104</v>
      </c>
      <c r="E626" t="s">
        <v>72</v>
      </c>
      <c r="F626" t="s">
        <v>105</v>
      </c>
      <c r="G626">
        <v>100</v>
      </c>
      <c r="H626" s="27" t="s">
        <v>1091</v>
      </c>
      <c r="I626" s="27" t="s">
        <v>1207</v>
      </c>
      <c r="J626">
        <v>32.65</v>
      </c>
      <c r="K626">
        <v>23.98</v>
      </c>
      <c r="L626">
        <v>3265</v>
      </c>
      <c r="M626">
        <v>2398</v>
      </c>
      <c r="N626">
        <v>866.99999999999977</v>
      </c>
      <c r="O626" s="17">
        <f t="shared" si="9"/>
        <v>36.155129274395321</v>
      </c>
      <c r="P626" t="s">
        <v>45</v>
      </c>
    </row>
    <row r="627" spans="1:16">
      <c r="A627">
        <v>625</v>
      </c>
      <c r="B627" t="s">
        <v>783</v>
      </c>
      <c r="C627" t="s">
        <v>784</v>
      </c>
      <c r="D627" t="s">
        <v>784</v>
      </c>
      <c r="E627" t="s">
        <v>72</v>
      </c>
      <c r="F627" t="s">
        <v>785</v>
      </c>
      <c r="G627">
        <v>15</v>
      </c>
      <c r="H627" s="27" t="s">
        <v>947</v>
      </c>
      <c r="I627" s="27" t="s">
        <v>1207</v>
      </c>
      <c r="J627">
        <v>509</v>
      </c>
      <c r="K627">
        <v>494.14</v>
      </c>
      <c r="L627">
        <v>7635</v>
      </c>
      <c r="M627">
        <v>7412.0999999999995</v>
      </c>
      <c r="N627">
        <v>222.9000000000002</v>
      </c>
      <c r="O627" s="17">
        <f t="shared" si="9"/>
        <v>3.0072449103492969</v>
      </c>
      <c r="P627" t="s">
        <v>45</v>
      </c>
    </row>
    <row r="628" spans="1:16">
      <c r="A628">
        <v>626</v>
      </c>
      <c r="B628" t="s">
        <v>727</v>
      </c>
      <c r="C628" t="s">
        <v>728</v>
      </c>
      <c r="D628" t="s">
        <v>728</v>
      </c>
      <c r="E628" t="s">
        <v>72</v>
      </c>
      <c r="F628" t="s">
        <v>729</v>
      </c>
      <c r="G628">
        <v>2</v>
      </c>
      <c r="H628" s="27" t="s">
        <v>1049</v>
      </c>
      <c r="I628" s="27" t="s">
        <v>1208</v>
      </c>
      <c r="J628">
        <v>1634.75</v>
      </c>
      <c r="K628">
        <v>1316</v>
      </c>
      <c r="L628">
        <v>3269.5</v>
      </c>
      <c r="M628">
        <v>2632</v>
      </c>
      <c r="N628">
        <v>637.5</v>
      </c>
      <c r="O628" s="17">
        <f t="shared" si="9"/>
        <v>24.221124620060792</v>
      </c>
      <c r="P628" t="s">
        <v>45</v>
      </c>
    </row>
    <row r="629" spans="1:16">
      <c r="A629">
        <v>627</v>
      </c>
      <c r="B629" t="s">
        <v>727</v>
      </c>
      <c r="C629" t="s">
        <v>728</v>
      </c>
      <c r="D629" t="s">
        <v>728</v>
      </c>
      <c r="E629" t="s">
        <v>72</v>
      </c>
      <c r="F629" t="s">
        <v>729</v>
      </c>
      <c r="G629">
        <v>2</v>
      </c>
      <c r="H629" s="27" t="s">
        <v>1037</v>
      </c>
      <c r="I629" s="27" t="s">
        <v>1208</v>
      </c>
      <c r="J629">
        <v>1634.75</v>
      </c>
      <c r="K629">
        <v>1354.98</v>
      </c>
      <c r="L629">
        <v>3269.5</v>
      </c>
      <c r="M629">
        <v>2709.96</v>
      </c>
      <c r="N629">
        <v>559.54</v>
      </c>
      <c r="O629" s="17">
        <f t="shared" si="9"/>
        <v>20.64753723302189</v>
      </c>
      <c r="P629" t="s">
        <v>45</v>
      </c>
    </row>
    <row r="630" spans="1:16">
      <c r="A630">
        <v>628</v>
      </c>
      <c r="B630" t="s">
        <v>740</v>
      </c>
      <c r="C630" t="s">
        <v>740</v>
      </c>
      <c r="D630" t="s">
        <v>740</v>
      </c>
      <c r="E630" t="s">
        <v>72</v>
      </c>
      <c r="F630" t="s">
        <v>741</v>
      </c>
      <c r="G630">
        <v>9</v>
      </c>
      <c r="H630" s="27" t="s">
        <v>1207</v>
      </c>
      <c r="I630" s="27" t="s">
        <v>1207</v>
      </c>
      <c r="J630">
        <v>282.63</v>
      </c>
      <c r="K630">
        <v>284.67</v>
      </c>
      <c r="L630">
        <v>2543.67</v>
      </c>
      <c r="M630">
        <v>2562.0300000000002</v>
      </c>
      <c r="N630">
        <v>-18.360000000000184</v>
      </c>
      <c r="O630" s="17">
        <f t="shared" si="9"/>
        <v>-0.71661924333439442</v>
      </c>
      <c r="P630" t="s">
        <v>45</v>
      </c>
    </row>
    <row r="631" spans="1:16">
      <c r="A631">
        <v>629</v>
      </c>
      <c r="B631" t="s">
        <v>740</v>
      </c>
      <c r="C631" t="s">
        <v>740</v>
      </c>
      <c r="D631" t="s">
        <v>740</v>
      </c>
      <c r="E631" t="s">
        <v>72</v>
      </c>
      <c r="F631" t="s">
        <v>741</v>
      </c>
      <c r="G631">
        <v>32</v>
      </c>
      <c r="H631" s="27" t="s">
        <v>1188</v>
      </c>
      <c r="I631" s="27" t="s">
        <v>1207</v>
      </c>
      <c r="J631">
        <v>282.63</v>
      </c>
      <c r="K631">
        <v>288.10000000000002</v>
      </c>
      <c r="L631">
        <v>9044.16</v>
      </c>
      <c r="M631">
        <v>9219.2000000000007</v>
      </c>
      <c r="N631">
        <v>-175.04000000000087</v>
      </c>
      <c r="O631" s="17">
        <f t="shared" si="9"/>
        <v>-1.8986463033668959</v>
      </c>
      <c r="P631" t="s">
        <v>45</v>
      </c>
    </row>
    <row r="632" spans="1:16">
      <c r="A632">
        <v>630</v>
      </c>
      <c r="B632" t="s">
        <v>635</v>
      </c>
      <c r="C632" t="s">
        <v>633</v>
      </c>
      <c r="D632" t="s">
        <v>633</v>
      </c>
      <c r="E632" t="s">
        <v>72</v>
      </c>
      <c r="F632" t="s">
        <v>634</v>
      </c>
      <c r="G632">
        <v>2</v>
      </c>
      <c r="H632" s="27" t="s">
        <v>1199</v>
      </c>
      <c r="I632" s="27" t="s">
        <v>1207</v>
      </c>
      <c r="J632">
        <v>5772.5</v>
      </c>
      <c r="K632">
        <v>5483.35</v>
      </c>
      <c r="L632">
        <v>11545</v>
      </c>
      <c r="M632">
        <v>10966.7</v>
      </c>
      <c r="N632">
        <v>578.29999999999927</v>
      </c>
      <c r="O632" s="17">
        <f t="shared" si="9"/>
        <v>5.2732362515615385</v>
      </c>
      <c r="P632" t="s">
        <v>45</v>
      </c>
    </row>
    <row r="633" spans="1:16">
      <c r="A633">
        <v>631</v>
      </c>
      <c r="B633" t="s">
        <v>68</v>
      </c>
      <c r="C633">
        <v>500235</v>
      </c>
      <c r="D633" t="s">
        <v>98</v>
      </c>
      <c r="E633" t="s">
        <v>72</v>
      </c>
      <c r="F633" t="s">
        <v>99</v>
      </c>
      <c r="G633">
        <v>10</v>
      </c>
      <c r="H633" s="27" t="s">
        <v>790</v>
      </c>
      <c r="I633" s="27" t="s">
        <v>1208</v>
      </c>
      <c r="J633">
        <v>360.5</v>
      </c>
      <c r="K633">
        <v>384.26</v>
      </c>
      <c r="L633">
        <v>3605</v>
      </c>
      <c r="M633">
        <v>3842.6</v>
      </c>
      <c r="N633">
        <v>-237.59999999999991</v>
      </c>
      <c r="O633" s="17">
        <f t="shared" si="9"/>
        <v>-6.1833133815645631</v>
      </c>
      <c r="P633" t="s">
        <v>45</v>
      </c>
    </row>
    <row r="634" spans="1:16">
      <c r="A634">
        <v>632</v>
      </c>
      <c r="B634" t="s">
        <v>25</v>
      </c>
      <c r="C634" t="s">
        <v>100</v>
      </c>
      <c r="D634" t="s">
        <v>100</v>
      </c>
      <c r="E634" t="s">
        <v>72</v>
      </c>
      <c r="F634" t="s">
        <v>101</v>
      </c>
      <c r="G634">
        <v>40</v>
      </c>
      <c r="H634" s="27" t="s">
        <v>1189</v>
      </c>
      <c r="I634" s="27" t="s">
        <v>1232</v>
      </c>
      <c r="J634">
        <v>421.93</v>
      </c>
      <c r="K634">
        <v>386.64</v>
      </c>
      <c r="L634">
        <v>16877.2</v>
      </c>
      <c r="M634">
        <v>15465.599999999999</v>
      </c>
      <c r="N634">
        <v>1411.6000000000008</v>
      </c>
      <c r="O634" s="17">
        <f t="shared" si="9"/>
        <v>9.1273536105938415</v>
      </c>
      <c r="P634" t="s">
        <v>45</v>
      </c>
    </row>
    <row r="635" spans="1:16">
      <c r="A635">
        <v>633</v>
      </c>
      <c r="B635" t="s">
        <v>25</v>
      </c>
      <c r="C635" t="s">
        <v>100</v>
      </c>
      <c r="D635" t="s">
        <v>100</v>
      </c>
      <c r="E635" t="s">
        <v>72</v>
      </c>
      <c r="F635" t="s">
        <v>101</v>
      </c>
      <c r="G635">
        <v>22</v>
      </c>
      <c r="H635" s="27" t="s">
        <v>756</v>
      </c>
      <c r="I635" s="27" t="s">
        <v>1232</v>
      </c>
      <c r="J635">
        <v>421.93</v>
      </c>
      <c r="K635">
        <v>419.18</v>
      </c>
      <c r="L635">
        <v>9282.4600000000009</v>
      </c>
      <c r="M635">
        <v>9221.9600000000009</v>
      </c>
      <c r="N635">
        <v>60.5</v>
      </c>
      <c r="O635" s="17">
        <f t="shared" si="9"/>
        <v>0.6560427501312085</v>
      </c>
      <c r="P635" t="s">
        <v>45</v>
      </c>
    </row>
    <row r="636" spans="1:16">
      <c r="A636">
        <v>634</v>
      </c>
      <c r="B636" t="s">
        <v>25</v>
      </c>
      <c r="C636" t="s">
        <v>100</v>
      </c>
      <c r="D636" t="s">
        <v>100</v>
      </c>
      <c r="E636" t="s">
        <v>72</v>
      </c>
      <c r="F636" t="s">
        <v>101</v>
      </c>
      <c r="G636">
        <v>8</v>
      </c>
      <c r="H636" s="27" t="s">
        <v>692</v>
      </c>
      <c r="I636" s="27" t="s">
        <v>1232</v>
      </c>
      <c r="J636">
        <v>421.93</v>
      </c>
      <c r="K636">
        <v>467.83</v>
      </c>
      <c r="L636">
        <v>3375.44</v>
      </c>
      <c r="M636">
        <v>3742.64</v>
      </c>
      <c r="N636">
        <v>-367.19999999999982</v>
      </c>
      <c r="O636" s="17">
        <f t="shared" si="9"/>
        <v>-9.811256225552011</v>
      </c>
      <c r="P636" t="s">
        <v>45</v>
      </c>
    </row>
    <row r="637" spans="1:16">
      <c r="A637">
        <v>635</v>
      </c>
      <c r="B637" t="s">
        <v>25</v>
      </c>
      <c r="C637" t="s">
        <v>100</v>
      </c>
      <c r="D637" t="s">
        <v>100</v>
      </c>
      <c r="E637" t="s">
        <v>72</v>
      </c>
      <c r="F637" t="s">
        <v>101</v>
      </c>
      <c r="G637">
        <v>13</v>
      </c>
      <c r="H637" s="27" t="s">
        <v>274</v>
      </c>
      <c r="I637" s="27" t="s">
        <v>1232</v>
      </c>
      <c r="J637">
        <v>421.93</v>
      </c>
      <c r="K637">
        <v>290.05</v>
      </c>
      <c r="L637">
        <v>5485.09</v>
      </c>
      <c r="M637">
        <v>3770.65</v>
      </c>
      <c r="N637">
        <v>1714.44</v>
      </c>
      <c r="O637" s="17">
        <f t="shared" si="9"/>
        <v>45.468022754697472</v>
      </c>
      <c r="P637" t="s">
        <v>45</v>
      </c>
    </row>
    <row r="638" spans="1:16">
      <c r="A638">
        <v>636</v>
      </c>
      <c r="B638" t="s">
        <v>25</v>
      </c>
      <c r="C638" t="s">
        <v>100</v>
      </c>
      <c r="D638" t="s">
        <v>100</v>
      </c>
      <c r="E638" t="s">
        <v>72</v>
      </c>
      <c r="F638" t="s">
        <v>101</v>
      </c>
      <c r="G638">
        <v>45</v>
      </c>
      <c r="H638" s="27" t="s">
        <v>267</v>
      </c>
      <c r="I638" s="27" t="s">
        <v>1232</v>
      </c>
      <c r="J638">
        <v>421.93</v>
      </c>
      <c r="K638">
        <v>335.98</v>
      </c>
      <c r="L638">
        <v>18986.849999999999</v>
      </c>
      <c r="M638">
        <v>15119.1</v>
      </c>
      <c r="N638">
        <v>3867.7499999999995</v>
      </c>
      <c r="O638" s="17">
        <f t="shared" si="9"/>
        <v>25.581879873802009</v>
      </c>
      <c r="P638" t="s">
        <v>45</v>
      </c>
    </row>
    <row r="639" spans="1:16">
      <c r="A639">
        <v>637</v>
      </c>
      <c r="B639" t="s">
        <v>25</v>
      </c>
      <c r="C639" t="s">
        <v>100</v>
      </c>
      <c r="D639" t="s">
        <v>100</v>
      </c>
      <c r="E639" t="s">
        <v>72</v>
      </c>
      <c r="F639" t="s">
        <v>101</v>
      </c>
      <c r="G639">
        <v>40</v>
      </c>
      <c r="H639" s="27" t="s">
        <v>266</v>
      </c>
      <c r="I639" s="27" t="s">
        <v>1232</v>
      </c>
      <c r="J639">
        <v>421.93</v>
      </c>
      <c r="K639">
        <v>376.22</v>
      </c>
      <c r="L639">
        <v>16877.2</v>
      </c>
      <c r="M639">
        <v>15048.800000000001</v>
      </c>
      <c r="N639">
        <v>1828.3999999999992</v>
      </c>
      <c r="O639" s="17">
        <f t="shared" si="9"/>
        <v>12.149805964595178</v>
      </c>
      <c r="P639" t="s">
        <v>45</v>
      </c>
    </row>
    <row r="640" spans="1:16">
      <c r="A640">
        <v>638</v>
      </c>
      <c r="B640" t="s">
        <v>25</v>
      </c>
      <c r="C640" t="s">
        <v>100</v>
      </c>
      <c r="D640" t="s">
        <v>100</v>
      </c>
      <c r="E640" t="s">
        <v>72</v>
      </c>
      <c r="F640" t="s">
        <v>101</v>
      </c>
      <c r="G640">
        <v>17</v>
      </c>
      <c r="H640" s="27" t="s">
        <v>262</v>
      </c>
      <c r="I640" s="27" t="s">
        <v>1232</v>
      </c>
      <c r="J640">
        <v>421.93</v>
      </c>
      <c r="K640">
        <v>388.68</v>
      </c>
      <c r="L640">
        <v>7172.81</v>
      </c>
      <c r="M640">
        <v>6607.56</v>
      </c>
      <c r="N640">
        <v>565.25</v>
      </c>
      <c r="O640" s="17">
        <f t="shared" si="9"/>
        <v>8.5545950396212813</v>
      </c>
      <c r="P640" t="s">
        <v>45</v>
      </c>
    </row>
    <row r="641" spans="1:16">
      <c r="A641">
        <v>639</v>
      </c>
      <c r="B641" t="s">
        <v>25</v>
      </c>
      <c r="C641" t="s">
        <v>100</v>
      </c>
      <c r="D641" t="s">
        <v>100</v>
      </c>
      <c r="E641" t="s">
        <v>72</v>
      </c>
      <c r="F641" t="s">
        <v>101</v>
      </c>
      <c r="G641">
        <v>12</v>
      </c>
      <c r="H641" s="27" t="s">
        <v>260</v>
      </c>
      <c r="I641" s="27" t="s">
        <v>1232</v>
      </c>
      <c r="J641">
        <v>421.93</v>
      </c>
      <c r="K641">
        <v>422</v>
      </c>
      <c r="L641">
        <v>5063.16</v>
      </c>
      <c r="M641">
        <v>5064</v>
      </c>
      <c r="N641">
        <v>-0.83999999999991815</v>
      </c>
      <c r="O641" s="17">
        <f t="shared" si="9"/>
        <v>-1.6587677725116868E-2</v>
      </c>
      <c r="P641" t="s">
        <v>45</v>
      </c>
    </row>
    <row r="642" spans="1:16">
      <c r="A642">
        <v>640</v>
      </c>
      <c r="B642" t="s">
        <v>25</v>
      </c>
      <c r="C642" t="s">
        <v>100</v>
      </c>
      <c r="D642" t="s">
        <v>100</v>
      </c>
      <c r="E642" t="s">
        <v>72</v>
      </c>
      <c r="F642" t="s">
        <v>101</v>
      </c>
      <c r="G642">
        <v>23</v>
      </c>
      <c r="H642" s="27" t="s">
        <v>261</v>
      </c>
      <c r="I642" s="27" t="s">
        <v>1232</v>
      </c>
      <c r="J642">
        <v>421.93</v>
      </c>
      <c r="K642">
        <v>433.72</v>
      </c>
      <c r="L642">
        <v>9704.39</v>
      </c>
      <c r="M642">
        <v>9975.5600000000013</v>
      </c>
      <c r="N642">
        <v>-271.17000000000047</v>
      </c>
      <c r="O642" s="17">
        <f t="shared" si="9"/>
        <v>-2.7183436318362122</v>
      </c>
      <c r="P642" t="s">
        <v>45</v>
      </c>
    </row>
    <row r="643" spans="1:16">
      <c r="A643">
        <v>641</v>
      </c>
      <c r="B643" t="s">
        <v>68</v>
      </c>
      <c r="C643">
        <v>500235</v>
      </c>
      <c r="D643" t="s">
        <v>98</v>
      </c>
      <c r="E643" t="s">
        <v>72</v>
      </c>
      <c r="F643" t="s">
        <v>99</v>
      </c>
      <c r="G643">
        <v>10</v>
      </c>
      <c r="H643" s="27" t="s">
        <v>790</v>
      </c>
      <c r="I643" s="27" t="s">
        <v>1233</v>
      </c>
      <c r="J643">
        <v>364.5</v>
      </c>
      <c r="K643">
        <v>384.26</v>
      </c>
      <c r="L643">
        <v>3645</v>
      </c>
      <c r="M643">
        <v>3842.6</v>
      </c>
      <c r="N643">
        <v>-197.59999999999991</v>
      </c>
      <c r="O643" s="17">
        <f t="shared" si="9"/>
        <v>-5.1423515328163196</v>
      </c>
      <c r="P643" t="s">
        <v>45</v>
      </c>
    </row>
    <row r="644" spans="1:16">
      <c r="A644">
        <v>642</v>
      </c>
      <c r="B644" t="s">
        <v>674</v>
      </c>
      <c r="C644" t="s">
        <v>675</v>
      </c>
      <c r="D644" t="s">
        <v>675</v>
      </c>
      <c r="E644" t="s">
        <v>72</v>
      </c>
      <c r="F644" t="s">
        <v>676</v>
      </c>
      <c r="G644">
        <v>6</v>
      </c>
      <c r="H644" s="27" t="s">
        <v>1108</v>
      </c>
      <c r="I644" s="27" t="s">
        <v>1228</v>
      </c>
      <c r="J644">
        <v>616.4</v>
      </c>
      <c r="K644">
        <v>541.66999999999996</v>
      </c>
      <c r="L644">
        <v>3698.3999999999996</v>
      </c>
      <c r="M644">
        <v>3250.0199999999995</v>
      </c>
      <c r="N644">
        <v>448.38000000000011</v>
      </c>
      <c r="O644" s="17">
        <f t="shared" ref="O644:O699" si="10">N644/M644%</f>
        <v>13.796222792475129</v>
      </c>
      <c r="P644" t="s">
        <v>45</v>
      </c>
    </row>
    <row r="645" spans="1:16">
      <c r="A645">
        <v>643</v>
      </c>
      <c r="B645" t="s">
        <v>19</v>
      </c>
      <c r="C645" t="s">
        <v>90</v>
      </c>
      <c r="D645" t="s">
        <v>90</v>
      </c>
      <c r="E645" t="s">
        <v>72</v>
      </c>
      <c r="F645" t="s">
        <v>91</v>
      </c>
      <c r="G645">
        <v>5</v>
      </c>
      <c r="H645" s="27" t="s">
        <v>947</v>
      </c>
      <c r="I645" s="27" t="s">
        <v>1228</v>
      </c>
      <c r="J645">
        <v>333</v>
      </c>
      <c r="K645">
        <v>298.08</v>
      </c>
      <c r="L645">
        <v>1665</v>
      </c>
      <c r="M645">
        <v>1490.3999999999999</v>
      </c>
      <c r="N645">
        <v>174.60000000000008</v>
      </c>
      <c r="O645" s="17">
        <f t="shared" si="10"/>
        <v>11.714975845410635</v>
      </c>
      <c r="P645" t="s">
        <v>45</v>
      </c>
    </row>
    <row r="646" spans="1:16">
      <c r="A646">
        <v>644</v>
      </c>
      <c r="B646" t="s">
        <v>19</v>
      </c>
      <c r="C646" t="s">
        <v>90</v>
      </c>
      <c r="D646" t="s">
        <v>90</v>
      </c>
      <c r="E646" t="s">
        <v>72</v>
      </c>
      <c r="F646" t="s">
        <v>91</v>
      </c>
      <c r="G646">
        <v>5</v>
      </c>
      <c r="H646" s="27" t="s">
        <v>913</v>
      </c>
      <c r="I646" s="27" t="s">
        <v>1228</v>
      </c>
      <c r="J646">
        <v>333</v>
      </c>
      <c r="K646">
        <v>343.78</v>
      </c>
      <c r="L646">
        <v>1665</v>
      </c>
      <c r="M646">
        <v>1718.8999999999999</v>
      </c>
      <c r="N646">
        <v>-53.899999999999864</v>
      </c>
      <c r="O646" s="17">
        <f t="shared" si="10"/>
        <v>-3.135726336610615</v>
      </c>
      <c r="P646" t="s">
        <v>45</v>
      </c>
    </row>
    <row r="647" spans="1:16">
      <c r="A647">
        <v>645</v>
      </c>
      <c r="B647" t="s">
        <v>533</v>
      </c>
      <c r="C647" t="s">
        <v>534</v>
      </c>
      <c r="D647" t="s">
        <v>534</v>
      </c>
      <c r="E647" t="s">
        <v>72</v>
      </c>
      <c r="F647" t="s">
        <v>535</v>
      </c>
      <c r="G647">
        <v>2</v>
      </c>
      <c r="H647" s="27" t="s">
        <v>1202</v>
      </c>
      <c r="I647" s="27" t="s">
        <v>1229</v>
      </c>
      <c r="J647">
        <v>2707.5</v>
      </c>
      <c r="K647">
        <v>2745.88</v>
      </c>
      <c r="L647">
        <v>5415</v>
      </c>
      <c r="M647">
        <v>5491.76</v>
      </c>
      <c r="N647">
        <v>-76.760000000000218</v>
      </c>
      <c r="O647" s="17">
        <f t="shared" si="10"/>
        <v>-1.3977304179352379</v>
      </c>
      <c r="P647" t="s">
        <v>45</v>
      </c>
    </row>
    <row r="648" spans="1:16">
      <c r="A648">
        <v>646</v>
      </c>
      <c r="B648" t="s">
        <v>12</v>
      </c>
      <c r="C648" t="s">
        <v>410</v>
      </c>
      <c r="D648" t="s">
        <v>81</v>
      </c>
      <c r="E648" t="s">
        <v>72</v>
      </c>
      <c r="F648" t="s">
        <v>82</v>
      </c>
      <c r="G648">
        <v>14</v>
      </c>
      <c r="H648" s="27" t="s">
        <v>1208</v>
      </c>
      <c r="I648" s="27" t="s">
        <v>1229</v>
      </c>
      <c r="J648">
        <v>736.93</v>
      </c>
      <c r="K648">
        <v>721.02</v>
      </c>
      <c r="L648">
        <v>10317.019999999999</v>
      </c>
      <c r="M648">
        <v>10094.279999999999</v>
      </c>
      <c r="N648">
        <v>222.73999999999955</v>
      </c>
      <c r="O648" s="17">
        <f t="shared" si="10"/>
        <v>2.2065962109234096</v>
      </c>
      <c r="P648" t="s">
        <v>45</v>
      </c>
    </row>
    <row r="649" spans="1:16">
      <c r="A649">
        <v>647</v>
      </c>
      <c r="B649" t="s">
        <v>414</v>
      </c>
      <c r="C649" t="s">
        <v>414</v>
      </c>
      <c r="D649" t="s">
        <v>414</v>
      </c>
      <c r="E649" t="s">
        <v>72</v>
      </c>
      <c r="F649" t="s">
        <v>415</v>
      </c>
      <c r="G649">
        <v>5</v>
      </c>
      <c r="H649" s="27" t="s">
        <v>1203</v>
      </c>
      <c r="I649" s="27" t="s">
        <v>1229</v>
      </c>
      <c r="J649">
        <v>633.20000000000005</v>
      </c>
      <c r="K649">
        <v>674.33</v>
      </c>
      <c r="L649">
        <v>3166</v>
      </c>
      <c r="M649">
        <v>3371.65</v>
      </c>
      <c r="N649">
        <v>-205.64999999999998</v>
      </c>
      <c r="O649" s="17">
        <f t="shared" si="10"/>
        <v>-6.099387540225111</v>
      </c>
      <c r="P649" t="s">
        <v>45</v>
      </c>
    </row>
    <row r="650" spans="1:16">
      <c r="A650">
        <v>648</v>
      </c>
      <c r="B650" t="s">
        <v>749</v>
      </c>
      <c r="C650" t="s">
        <v>742</v>
      </c>
      <c r="D650" t="s">
        <v>742</v>
      </c>
      <c r="E650" t="s">
        <v>72</v>
      </c>
      <c r="F650" t="s">
        <v>750</v>
      </c>
      <c r="G650">
        <v>255</v>
      </c>
      <c r="H650" s="27" t="s">
        <v>1045</v>
      </c>
      <c r="I650" s="27" t="s">
        <v>1229</v>
      </c>
      <c r="J650">
        <v>66.569999999999993</v>
      </c>
      <c r="K650">
        <v>71.78</v>
      </c>
      <c r="L650">
        <v>16975.349999999999</v>
      </c>
      <c r="M650">
        <v>18303.900000000001</v>
      </c>
      <c r="N650">
        <v>-1328.550000000002</v>
      </c>
      <c r="O650" s="17">
        <f t="shared" si="10"/>
        <v>-7.2582892170521136</v>
      </c>
      <c r="P650" t="s">
        <v>45</v>
      </c>
    </row>
    <row r="651" spans="1:16">
      <c r="A651">
        <v>649</v>
      </c>
      <c r="B651" t="s">
        <v>749</v>
      </c>
      <c r="C651" t="s">
        <v>742</v>
      </c>
      <c r="D651" t="s">
        <v>742</v>
      </c>
      <c r="E651" t="s">
        <v>72</v>
      </c>
      <c r="F651" t="s">
        <v>750</v>
      </c>
      <c r="G651">
        <v>53</v>
      </c>
      <c r="H651" s="27" t="s">
        <v>1045</v>
      </c>
      <c r="I651" s="27" t="s">
        <v>1229</v>
      </c>
      <c r="J651">
        <v>66.569999999999993</v>
      </c>
      <c r="K651">
        <v>82.34</v>
      </c>
      <c r="L651">
        <v>3528.2099999999996</v>
      </c>
      <c r="M651">
        <v>4364.0200000000004</v>
      </c>
      <c r="N651">
        <v>-835.81000000000051</v>
      </c>
      <c r="O651" s="17">
        <f t="shared" si="10"/>
        <v>-19.152295360699547</v>
      </c>
      <c r="P651" t="s">
        <v>45</v>
      </c>
    </row>
    <row r="652" spans="1:16">
      <c r="A652">
        <v>650</v>
      </c>
      <c r="B652" t="s">
        <v>463</v>
      </c>
      <c r="C652" t="s">
        <v>463</v>
      </c>
      <c r="D652" t="s">
        <v>463</v>
      </c>
      <c r="E652" t="s">
        <v>72</v>
      </c>
      <c r="F652" t="s">
        <v>466</v>
      </c>
      <c r="G652">
        <v>50</v>
      </c>
      <c r="H652" s="27" t="s">
        <v>1182</v>
      </c>
      <c r="I652" s="27" t="s">
        <v>1229</v>
      </c>
      <c r="J652">
        <v>140.15</v>
      </c>
      <c r="K652">
        <v>138.32</v>
      </c>
      <c r="L652">
        <v>7007.5</v>
      </c>
      <c r="M652">
        <v>6916</v>
      </c>
      <c r="N652">
        <v>91.500000000000625</v>
      </c>
      <c r="O652" s="17">
        <f t="shared" si="10"/>
        <v>1.3230190861769899</v>
      </c>
      <c r="P652" t="s">
        <v>45</v>
      </c>
    </row>
    <row r="653" spans="1:16">
      <c r="A653">
        <v>651</v>
      </c>
      <c r="B653" t="s">
        <v>712</v>
      </c>
      <c r="C653" t="s">
        <v>713</v>
      </c>
      <c r="D653" t="s">
        <v>716</v>
      </c>
      <c r="E653" t="s">
        <v>72</v>
      </c>
      <c r="F653" t="s">
        <v>971</v>
      </c>
      <c r="G653">
        <v>4</v>
      </c>
      <c r="H653" s="27" t="s">
        <v>1203</v>
      </c>
      <c r="I653" s="27" t="s">
        <v>1229</v>
      </c>
      <c r="J653">
        <v>1039.7</v>
      </c>
      <c r="K653">
        <v>1103.19</v>
      </c>
      <c r="L653">
        <v>4158.8</v>
      </c>
      <c r="M653">
        <v>4412.76</v>
      </c>
      <c r="N653">
        <v>-253.96000000000004</v>
      </c>
      <c r="O653" s="17">
        <f t="shared" si="10"/>
        <v>-5.7551283097199946</v>
      </c>
      <c r="P653" t="s">
        <v>45</v>
      </c>
    </row>
    <row r="654" spans="1:16">
      <c r="A654">
        <v>652</v>
      </c>
      <c r="B654" t="s">
        <v>823</v>
      </c>
      <c r="C654" t="s">
        <v>824</v>
      </c>
      <c r="D654" t="s">
        <v>824</v>
      </c>
      <c r="E654" t="s">
        <v>72</v>
      </c>
      <c r="F654" t="s">
        <v>825</v>
      </c>
      <c r="G654">
        <v>20</v>
      </c>
      <c r="H654" s="27" t="s">
        <v>832</v>
      </c>
      <c r="I654" s="27" t="s">
        <v>1229</v>
      </c>
      <c r="J654">
        <v>236.35</v>
      </c>
      <c r="K654">
        <v>305.60000000000002</v>
      </c>
      <c r="L654">
        <v>4727</v>
      </c>
      <c r="M654">
        <v>6112</v>
      </c>
      <c r="N654">
        <v>-1385.0000000000005</v>
      </c>
      <c r="O654" s="17">
        <f t="shared" si="10"/>
        <v>-22.660340314136135</v>
      </c>
      <c r="P654" t="s">
        <v>45</v>
      </c>
    </row>
    <row r="655" spans="1:16">
      <c r="A655">
        <v>653</v>
      </c>
      <c r="B655" t="s">
        <v>539</v>
      </c>
      <c r="C655" t="s">
        <v>540</v>
      </c>
      <c r="D655" t="s">
        <v>540</v>
      </c>
      <c r="E655" t="s">
        <v>72</v>
      </c>
      <c r="F655" t="s">
        <v>541</v>
      </c>
      <c r="G655">
        <v>5</v>
      </c>
      <c r="H655" s="27" t="s">
        <v>1142</v>
      </c>
      <c r="I655" s="27" t="s">
        <v>1229</v>
      </c>
      <c r="J655">
        <v>875.1</v>
      </c>
      <c r="K655">
        <v>930.44</v>
      </c>
      <c r="L655">
        <v>4375.5</v>
      </c>
      <c r="M655">
        <v>4652.2000000000007</v>
      </c>
      <c r="N655">
        <v>-276.70000000000016</v>
      </c>
      <c r="O655" s="17">
        <f t="shared" si="10"/>
        <v>-5.9477236576243522</v>
      </c>
      <c r="P655" t="s">
        <v>45</v>
      </c>
    </row>
    <row r="656" spans="1:16">
      <c r="A656">
        <v>654</v>
      </c>
      <c r="B656" t="s">
        <v>665</v>
      </c>
      <c r="C656" t="s">
        <v>666</v>
      </c>
      <c r="D656" t="s">
        <v>666</v>
      </c>
      <c r="E656" t="s">
        <v>72</v>
      </c>
      <c r="F656" t="s">
        <v>667</v>
      </c>
      <c r="G656">
        <v>2</v>
      </c>
      <c r="H656" s="27" t="s">
        <v>1047</v>
      </c>
      <c r="I656" s="27" t="s">
        <v>1230</v>
      </c>
      <c r="J656">
        <v>2224.6799999999998</v>
      </c>
      <c r="K656">
        <v>2513.25</v>
      </c>
      <c r="L656">
        <v>4449.3599999999997</v>
      </c>
      <c r="M656">
        <v>5026.5</v>
      </c>
      <c r="N656">
        <v>-577.14000000000033</v>
      </c>
      <c r="O656" s="17">
        <f t="shared" si="10"/>
        <v>-11.481945687854378</v>
      </c>
      <c r="P656" t="s">
        <v>45</v>
      </c>
    </row>
    <row r="657" spans="1:16">
      <c r="A657">
        <v>655</v>
      </c>
      <c r="B657" t="s">
        <v>665</v>
      </c>
      <c r="C657" t="s">
        <v>666</v>
      </c>
      <c r="D657" t="s">
        <v>666</v>
      </c>
      <c r="E657" t="s">
        <v>72</v>
      </c>
      <c r="F657" t="s">
        <v>667</v>
      </c>
      <c r="G657">
        <v>1</v>
      </c>
      <c r="H657" s="27" t="s">
        <v>1018</v>
      </c>
      <c r="I657" s="27" t="s">
        <v>1230</v>
      </c>
      <c r="J657">
        <v>2224.6799999999998</v>
      </c>
      <c r="K657">
        <v>2648.5</v>
      </c>
      <c r="L657">
        <v>2224.6799999999998</v>
      </c>
      <c r="M657">
        <v>2648.5</v>
      </c>
      <c r="N657">
        <v>-423.82000000000016</v>
      </c>
      <c r="O657" s="17">
        <f t="shared" si="10"/>
        <v>-16.002265433264117</v>
      </c>
      <c r="P657" t="s">
        <v>45</v>
      </c>
    </row>
    <row r="658" spans="1:16">
      <c r="A658">
        <v>656</v>
      </c>
      <c r="B658" t="s">
        <v>674</v>
      </c>
      <c r="C658" t="s">
        <v>675</v>
      </c>
      <c r="D658" t="s">
        <v>675</v>
      </c>
      <c r="E658" t="s">
        <v>72</v>
      </c>
      <c r="F658" t="s">
        <v>676</v>
      </c>
      <c r="G658">
        <v>6</v>
      </c>
      <c r="H658" s="27" t="s">
        <v>1108</v>
      </c>
      <c r="I658" s="27" t="s">
        <v>1230</v>
      </c>
      <c r="J658">
        <v>597.5</v>
      </c>
      <c r="K658">
        <v>541.66999999999996</v>
      </c>
      <c r="L658">
        <v>3585</v>
      </c>
      <c r="M658">
        <v>3250.0199999999995</v>
      </c>
      <c r="N658">
        <v>334.98000000000025</v>
      </c>
      <c r="O658" s="17">
        <f t="shared" si="10"/>
        <v>10.307013495301577</v>
      </c>
      <c r="P658" t="s">
        <v>45</v>
      </c>
    </row>
    <row r="659" spans="1:16">
      <c r="A659">
        <v>657</v>
      </c>
      <c r="B659" t="s">
        <v>15</v>
      </c>
      <c r="C659">
        <v>500670</v>
      </c>
      <c r="D659" t="s">
        <v>15</v>
      </c>
      <c r="E659" t="s">
        <v>72</v>
      </c>
      <c r="F659" t="s">
        <v>87</v>
      </c>
      <c r="G659">
        <v>18</v>
      </c>
      <c r="H659" s="27" t="s">
        <v>1199</v>
      </c>
      <c r="I659" s="27" t="s">
        <v>1230</v>
      </c>
      <c r="J659">
        <v>571.16999999999996</v>
      </c>
      <c r="K659">
        <v>537.88</v>
      </c>
      <c r="L659">
        <v>10281.06</v>
      </c>
      <c r="M659">
        <v>9681.84</v>
      </c>
      <c r="N659">
        <v>599.21999999999935</v>
      </c>
      <c r="O659" s="17">
        <f t="shared" si="10"/>
        <v>6.1891128132668936</v>
      </c>
      <c r="P659" t="s">
        <v>45</v>
      </c>
    </row>
    <row r="660" spans="1:16">
      <c r="A660">
        <v>658</v>
      </c>
      <c r="B660" t="s">
        <v>26</v>
      </c>
      <c r="C660" t="s">
        <v>102</v>
      </c>
      <c r="D660" t="s">
        <v>102</v>
      </c>
      <c r="E660" t="s">
        <v>72</v>
      </c>
      <c r="F660" t="s">
        <v>103</v>
      </c>
      <c r="G660">
        <v>100</v>
      </c>
      <c r="H660" s="27" t="s">
        <v>961</v>
      </c>
      <c r="I660" s="27" t="s">
        <v>1230</v>
      </c>
      <c r="J660">
        <v>122.85</v>
      </c>
      <c r="K660">
        <v>157.44</v>
      </c>
      <c r="L660">
        <v>12285</v>
      </c>
      <c r="M660">
        <v>15744</v>
      </c>
      <c r="N660">
        <v>-3459.0000000000005</v>
      </c>
      <c r="O660" s="17">
        <f t="shared" si="10"/>
        <v>-21.970274390243905</v>
      </c>
      <c r="P660" t="s">
        <v>45</v>
      </c>
    </row>
    <row r="661" spans="1:16">
      <c r="A661">
        <v>659</v>
      </c>
      <c r="B661" t="s">
        <v>651</v>
      </c>
      <c r="C661" t="s">
        <v>653</v>
      </c>
      <c r="D661" t="s">
        <v>653</v>
      </c>
      <c r="E661" t="s">
        <v>72</v>
      </c>
      <c r="F661" t="s">
        <v>654</v>
      </c>
      <c r="G661">
        <v>12</v>
      </c>
      <c r="H661" s="27" t="s">
        <v>1063</v>
      </c>
      <c r="I661" s="27" t="s">
        <v>1230</v>
      </c>
      <c r="J661">
        <v>599.75</v>
      </c>
      <c r="K661">
        <v>698.73</v>
      </c>
      <c r="L661">
        <v>7197</v>
      </c>
      <c r="M661">
        <v>8384.76</v>
      </c>
      <c r="N661">
        <v>-1187.7600000000002</v>
      </c>
      <c r="O661" s="17">
        <f t="shared" si="10"/>
        <v>-14.165700628282744</v>
      </c>
      <c r="P661" t="s">
        <v>45</v>
      </c>
    </row>
    <row r="662" spans="1:16">
      <c r="A662">
        <v>660</v>
      </c>
      <c r="B662" t="s">
        <v>749</v>
      </c>
      <c r="C662" t="s">
        <v>742</v>
      </c>
      <c r="D662" t="s">
        <v>742</v>
      </c>
      <c r="E662" t="s">
        <v>72</v>
      </c>
      <c r="F662" t="s">
        <v>750</v>
      </c>
      <c r="G662">
        <v>125</v>
      </c>
      <c r="H662" s="27" t="s">
        <v>1045</v>
      </c>
      <c r="I662" s="27" t="s">
        <v>1230</v>
      </c>
      <c r="J662">
        <v>68.39</v>
      </c>
      <c r="K662">
        <v>82.34</v>
      </c>
      <c r="L662">
        <v>8548.75</v>
      </c>
      <c r="M662">
        <v>10292.5</v>
      </c>
      <c r="N662">
        <v>-1743.7500000000005</v>
      </c>
      <c r="O662" s="17">
        <f t="shared" si="10"/>
        <v>-16.94194802040321</v>
      </c>
      <c r="P662" t="s">
        <v>45</v>
      </c>
    </row>
    <row r="663" spans="1:16">
      <c r="A663">
        <v>661</v>
      </c>
      <c r="B663" t="s">
        <v>218</v>
      </c>
      <c r="C663">
        <v>500408</v>
      </c>
      <c r="D663" t="s">
        <v>219</v>
      </c>
      <c r="E663" t="s">
        <v>72</v>
      </c>
      <c r="F663" t="s">
        <v>220</v>
      </c>
      <c r="G663">
        <v>1</v>
      </c>
      <c r="H663" s="27" t="s">
        <v>858</v>
      </c>
      <c r="I663" s="27" t="s">
        <v>1230</v>
      </c>
      <c r="J663">
        <v>6424.95</v>
      </c>
      <c r="K663">
        <v>6143.65</v>
      </c>
      <c r="L663">
        <v>6424.95</v>
      </c>
      <c r="M663">
        <v>6143.65</v>
      </c>
      <c r="N663">
        <v>281.30000000000018</v>
      </c>
      <c r="O663" s="17">
        <f t="shared" si="10"/>
        <v>4.5787113523719647</v>
      </c>
      <c r="P663" t="s">
        <v>45</v>
      </c>
    </row>
    <row r="664" spans="1:16">
      <c r="A664">
        <v>662</v>
      </c>
      <c r="B664" t="s">
        <v>627</v>
      </c>
      <c r="C664" t="s">
        <v>683</v>
      </c>
      <c r="D664" t="s">
        <v>628</v>
      </c>
      <c r="E664" t="s">
        <v>72</v>
      </c>
      <c r="F664" t="s">
        <v>629</v>
      </c>
      <c r="G664">
        <v>40</v>
      </c>
      <c r="H664" s="27" t="s">
        <v>1199</v>
      </c>
      <c r="I664" s="27" t="s">
        <v>1231</v>
      </c>
      <c r="J664">
        <v>365.63</v>
      </c>
      <c r="K664">
        <v>345.64</v>
      </c>
      <c r="L664">
        <v>14625.2</v>
      </c>
      <c r="M664">
        <v>13825.599999999999</v>
      </c>
      <c r="N664">
        <v>799.60000000000036</v>
      </c>
      <c r="O664" s="17">
        <f t="shared" si="10"/>
        <v>5.78347413493809</v>
      </c>
      <c r="P664" t="s">
        <v>45</v>
      </c>
    </row>
    <row r="665" spans="1:16">
      <c r="A665">
        <v>663</v>
      </c>
      <c r="B665" t="s">
        <v>1183</v>
      </c>
      <c r="C665" t="s">
        <v>1184</v>
      </c>
      <c r="D665" t="s">
        <v>1184</v>
      </c>
      <c r="E665" t="s">
        <v>72</v>
      </c>
      <c r="F665" t="s">
        <v>1185</v>
      </c>
      <c r="G665">
        <v>30</v>
      </c>
      <c r="H665" s="27" t="s">
        <v>1203</v>
      </c>
      <c r="I665" s="27" t="s">
        <v>1231</v>
      </c>
      <c r="J665">
        <v>120.6</v>
      </c>
      <c r="K665">
        <v>112.4</v>
      </c>
      <c r="L665">
        <v>3618</v>
      </c>
      <c r="M665">
        <v>3372</v>
      </c>
      <c r="N665">
        <v>245.99999999999966</v>
      </c>
      <c r="O665" s="17">
        <f t="shared" si="10"/>
        <v>7.2953736654804171</v>
      </c>
      <c r="P665" t="s">
        <v>45</v>
      </c>
    </row>
    <row r="666" spans="1:16">
      <c r="A666">
        <v>664</v>
      </c>
      <c r="B666" t="s">
        <v>1183</v>
      </c>
      <c r="C666" t="s">
        <v>1184</v>
      </c>
      <c r="D666" t="s">
        <v>1184</v>
      </c>
      <c r="E666" t="s">
        <v>72</v>
      </c>
      <c r="F666" t="s">
        <v>1185</v>
      </c>
      <c r="G666">
        <v>70</v>
      </c>
      <c r="H666" s="27" t="s">
        <v>1194</v>
      </c>
      <c r="I666" s="27" t="s">
        <v>1231</v>
      </c>
      <c r="J666">
        <v>120.6</v>
      </c>
      <c r="K666">
        <v>114.5</v>
      </c>
      <c r="L666">
        <v>8442</v>
      </c>
      <c r="M666">
        <v>8015</v>
      </c>
      <c r="N666">
        <v>426.9999999999996</v>
      </c>
      <c r="O666" s="17">
        <f t="shared" si="10"/>
        <v>5.3275109170305628</v>
      </c>
      <c r="P666" t="s">
        <v>45</v>
      </c>
    </row>
    <row r="667" spans="1:16">
      <c r="A667">
        <v>665</v>
      </c>
      <c r="B667" t="s">
        <v>27</v>
      </c>
      <c r="C667">
        <v>500288</v>
      </c>
      <c r="D667" t="s">
        <v>104</v>
      </c>
      <c r="E667" t="s">
        <v>72</v>
      </c>
      <c r="F667" t="s">
        <v>105</v>
      </c>
      <c r="G667">
        <v>100</v>
      </c>
      <c r="H667" s="27" t="s">
        <v>1091</v>
      </c>
      <c r="I667" s="27" t="s">
        <v>1234</v>
      </c>
      <c r="J667">
        <v>35.85</v>
      </c>
      <c r="K667">
        <v>23.98</v>
      </c>
      <c r="L667">
        <v>3585</v>
      </c>
      <c r="M667">
        <v>2398</v>
      </c>
      <c r="N667">
        <v>1187</v>
      </c>
      <c r="O667" s="17">
        <f t="shared" si="10"/>
        <v>49.499582985821519</v>
      </c>
      <c r="P667" t="s">
        <v>45</v>
      </c>
    </row>
    <row r="668" spans="1:16">
      <c r="A668">
        <v>666</v>
      </c>
      <c r="B668" t="s">
        <v>545</v>
      </c>
      <c r="C668" t="s">
        <v>546</v>
      </c>
      <c r="D668" t="s">
        <v>546</v>
      </c>
      <c r="E668" t="s">
        <v>72</v>
      </c>
      <c r="F668" t="s">
        <v>547</v>
      </c>
      <c r="G668">
        <v>8</v>
      </c>
      <c r="H668" s="27" t="s">
        <v>1199</v>
      </c>
      <c r="I668" s="27" t="s">
        <v>1234</v>
      </c>
      <c r="J668">
        <v>1636.88</v>
      </c>
      <c r="K668">
        <v>1547.03</v>
      </c>
      <c r="L668">
        <v>13095.04</v>
      </c>
      <c r="M668">
        <v>12376.24</v>
      </c>
      <c r="N668">
        <v>718.80000000000109</v>
      </c>
      <c r="O668" s="17">
        <f t="shared" si="10"/>
        <v>5.8079028848826546</v>
      </c>
      <c r="P668" t="s">
        <v>45</v>
      </c>
    </row>
    <row r="669" spans="1:16">
      <c r="A669">
        <v>667</v>
      </c>
      <c r="B669" t="s">
        <v>771</v>
      </c>
      <c r="C669" t="s">
        <v>895</v>
      </c>
      <c r="D669" t="s">
        <v>772</v>
      </c>
      <c r="E669" t="s">
        <v>72</v>
      </c>
      <c r="F669" t="s">
        <v>773</v>
      </c>
      <c r="G669">
        <v>7</v>
      </c>
      <c r="H669" s="27" t="s">
        <v>1045</v>
      </c>
      <c r="I669" s="27" t="s">
        <v>1237</v>
      </c>
      <c r="J669">
        <v>842.13</v>
      </c>
      <c r="K669">
        <v>665.6</v>
      </c>
      <c r="L669">
        <v>5894.91</v>
      </c>
      <c r="M669">
        <v>4659.2</v>
      </c>
      <c r="N669">
        <v>1235.7099999999998</v>
      </c>
      <c r="O669" s="17">
        <f t="shared" si="10"/>
        <v>26.521935096153843</v>
      </c>
      <c r="P669" t="s">
        <v>45</v>
      </c>
    </row>
    <row r="670" spans="1:16">
      <c r="A670">
        <v>668</v>
      </c>
      <c r="B670" t="s">
        <v>771</v>
      </c>
      <c r="C670" t="s">
        <v>772</v>
      </c>
      <c r="D670" t="s">
        <v>772</v>
      </c>
      <c r="E670" t="s">
        <v>72</v>
      </c>
      <c r="F670" t="s">
        <v>773</v>
      </c>
      <c r="G670">
        <v>1</v>
      </c>
      <c r="H670" s="27" t="s">
        <v>841</v>
      </c>
      <c r="I670" s="27" t="s">
        <v>1237</v>
      </c>
      <c r="J670">
        <v>842.13</v>
      </c>
      <c r="K670">
        <v>336.55</v>
      </c>
      <c r="L670">
        <v>842.13</v>
      </c>
      <c r="M670">
        <v>336.55</v>
      </c>
      <c r="N670">
        <v>505.58</v>
      </c>
      <c r="O670" s="17">
        <f t="shared" si="10"/>
        <v>150.22433516565147</v>
      </c>
      <c r="P670" t="s">
        <v>45</v>
      </c>
    </row>
    <row r="671" spans="1:16">
      <c r="A671">
        <v>669</v>
      </c>
      <c r="B671" t="s">
        <v>697</v>
      </c>
      <c r="C671" t="s">
        <v>698</v>
      </c>
      <c r="D671" t="s">
        <v>698</v>
      </c>
      <c r="E671" t="s">
        <v>72</v>
      </c>
      <c r="F671" t="s">
        <v>699</v>
      </c>
      <c r="G671">
        <v>10</v>
      </c>
      <c r="H671" s="27" t="s">
        <v>1230</v>
      </c>
      <c r="I671" s="27" t="s">
        <v>1238</v>
      </c>
      <c r="J671">
        <v>450.5</v>
      </c>
      <c r="K671">
        <v>414.8</v>
      </c>
      <c r="L671">
        <v>4505</v>
      </c>
      <c r="M671">
        <v>4148</v>
      </c>
      <c r="N671">
        <v>356.99999999999989</v>
      </c>
      <c r="O671" s="17">
        <f t="shared" si="10"/>
        <v>8.6065573770491781</v>
      </c>
      <c r="P671" t="s">
        <v>45</v>
      </c>
    </row>
    <row r="672" spans="1:16">
      <c r="A672">
        <v>670</v>
      </c>
      <c r="B672" t="s">
        <v>522</v>
      </c>
      <c r="C672" t="s">
        <v>523</v>
      </c>
      <c r="D672" t="s">
        <v>523</v>
      </c>
      <c r="E672" t="s">
        <v>72</v>
      </c>
      <c r="F672" t="s">
        <v>524</v>
      </c>
      <c r="G672">
        <v>100</v>
      </c>
      <c r="H672" s="27" t="s">
        <v>563</v>
      </c>
      <c r="I672" s="27" t="s">
        <v>1239</v>
      </c>
      <c r="J672">
        <v>122.7</v>
      </c>
      <c r="K672">
        <v>127.03</v>
      </c>
      <c r="L672">
        <v>12270</v>
      </c>
      <c r="M672">
        <v>12703</v>
      </c>
      <c r="N672">
        <v>-432.99999999999983</v>
      </c>
      <c r="O672" s="17">
        <f t="shared" si="10"/>
        <v>-3.408643627489568</v>
      </c>
      <c r="P672" t="s">
        <v>45</v>
      </c>
    </row>
    <row r="673" spans="1:16">
      <c r="A673">
        <v>671</v>
      </c>
      <c r="B673" t="s">
        <v>623</v>
      </c>
      <c r="C673" t="s">
        <v>624</v>
      </c>
      <c r="D673" t="s">
        <v>624</v>
      </c>
      <c r="E673" t="s">
        <v>72</v>
      </c>
      <c r="F673" t="s">
        <v>625</v>
      </c>
      <c r="G673">
        <v>10</v>
      </c>
      <c r="H673" s="27" t="s">
        <v>626</v>
      </c>
      <c r="I673" s="27" t="s">
        <v>1240</v>
      </c>
      <c r="J673">
        <v>1600.5</v>
      </c>
      <c r="K673">
        <v>1552.97</v>
      </c>
      <c r="L673">
        <v>16005</v>
      </c>
      <c r="M673">
        <v>15529.7</v>
      </c>
      <c r="N673">
        <v>475.29999999999973</v>
      </c>
      <c r="O673" s="17">
        <f t="shared" si="10"/>
        <v>3.0605871330418473</v>
      </c>
      <c r="P673" t="s">
        <v>45</v>
      </c>
    </row>
    <row r="674" spans="1:16">
      <c r="A674">
        <v>672</v>
      </c>
      <c r="B674" t="s">
        <v>727</v>
      </c>
      <c r="C674" t="s">
        <v>728</v>
      </c>
      <c r="D674" t="s">
        <v>728</v>
      </c>
      <c r="E674" t="s">
        <v>72</v>
      </c>
      <c r="F674" t="s">
        <v>729</v>
      </c>
      <c r="G674">
        <v>3</v>
      </c>
      <c r="H674" s="27" t="s">
        <v>1225</v>
      </c>
      <c r="I674" s="27" t="s">
        <v>1241</v>
      </c>
      <c r="J674">
        <v>1505</v>
      </c>
      <c r="K674">
        <v>1464.07</v>
      </c>
      <c r="L674">
        <v>4515</v>
      </c>
      <c r="M674">
        <v>4392.21</v>
      </c>
      <c r="N674">
        <v>122.79000000000019</v>
      </c>
      <c r="O674" s="17">
        <f t="shared" si="10"/>
        <v>2.7956313564242192</v>
      </c>
      <c r="P674" t="s">
        <v>45</v>
      </c>
    </row>
    <row r="675" spans="1:16">
      <c r="A675">
        <v>673</v>
      </c>
      <c r="B675" t="s">
        <v>723</v>
      </c>
      <c r="C675" t="s">
        <v>840</v>
      </c>
      <c r="D675" t="s">
        <v>724</v>
      </c>
      <c r="E675" t="s">
        <v>72</v>
      </c>
      <c r="F675" t="s">
        <v>726</v>
      </c>
      <c r="G675">
        <v>10</v>
      </c>
      <c r="H675" s="27" t="s">
        <v>1094</v>
      </c>
      <c r="I675" s="27" t="s">
        <v>1241</v>
      </c>
      <c r="J675">
        <v>361.8</v>
      </c>
      <c r="K675">
        <v>365.46</v>
      </c>
      <c r="L675">
        <v>3618</v>
      </c>
      <c r="M675">
        <v>3654.6</v>
      </c>
      <c r="N675">
        <v>-36.599999999999682</v>
      </c>
      <c r="O675" s="17">
        <f t="shared" si="10"/>
        <v>-1.0014775898867094</v>
      </c>
      <c r="P675" t="s">
        <v>45</v>
      </c>
    </row>
    <row r="676" spans="1:16">
      <c r="A676">
        <v>674</v>
      </c>
      <c r="B676" t="s">
        <v>649</v>
      </c>
      <c r="C676" t="s">
        <v>648</v>
      </c>
      <c r="D676" t="s">
        <v>648</v>
      </c>
      <c r="E676" t="s">
        <v>72</v>
      </c>
      <c r="F676" t="s">
        <v>975</v>
      </c>
      <c r="G676">
        <v>50</v>
      </c>
      <c r="H676" s="27" t="s">
        <v>1199</v>
      </c>
      <c r="I676" s="27" t="s">
        <v>1241</v>
      </c>
      <c r="J676">
        <v>156.99</v>
      </c>
      <c r="K676">
        <v>123.48</v>
      </c>
      <c r="L676">
        <v>7849.5</v>
      </c>
      <c r="M676">
        <v>6174</v>
      </c>
      <c r="N676">
        <v>1675.5000000000002</v>
      </c>
      <c r="O676" s="17">
        <f t="shared" si="10"/>
        <v>27.137998056365404</v>
      </c>
      <c r="P676" t="s">
        <v>45</v>
      </c>
    </row>
    <row r="677" spans="1:16">
      <c r="A677">
        <v>675</v>
      </c>
      <c r="B677" t="s">
        <v>649</v>
      </c>
      <c r="C677" t="s">
        <v>648</v>
      </c>
      <c r="D677" t="s">
        <v>648</v>
      </c>
      <c r="E677" t="s">
        <v>72</v>
      </c>
      <c r="F677" t="s">
        <v>975</v>
      </c>
      <c r="G677">
        <v>100</v>
      </c>
      <c r="H677" s="27" t="s">
        <v>1151</v>
      </c>
      <c r="I677" s="27" t="s">
        <v>1241</v>
      </c>
      <c r="J677">
        <v>156.99</v>
      </c>
      <c r="K677">
        <v>129.07</v>
      </c>
      <c r="L677">
        <v>15699</v>
      </c>
      <c r="M677">
        <v>12907</v>
      </c>
      <c r="N677">
        <v>2792.0000000000018</v>
      </c>
      <c r="O677" s="17">
        <f t="shared" si="10"/>
        <v>21.631672735724816</v>
      </c>
      <c r="P677" t="s">
        <v>45</v>
      </c>
    </row>
    <row r="678" spans="1:16">
      <c r="A678">
        <v>676</v>
      </c>
      <c r="B678" t="s">
        <v>530</v>
      </c>
      <c r="C678" t="s">
        <v>1158</v>
      </c>
      <c r="D678" t="s">
        <v>531</v>
      </c>
      <c r="E678" t="s">
        <v>72</v>
      </c>
      <c r="F678" t="s">
        <v>532</v>
      </c>
      <c r="G678">
        <v>10</v>
      </c>
      <c r="H678" s="27" t="s">
        <v>1242</v>
      </c>
      <c r="I678" s="27" t="s">
        <v>1241</v>
      </c>
      <c r="J678">
        <v>443.65</v>
      </c>
      <c r="K678">
        <v>460.5</v>
      </c>
      <c r="L678">
        <v>4436.5</v>
      </c>
      <c r="M678">
        <v>4605</v>
      </c>
      <c r="N678">
        <v>-168.50000000000023</v>
      </c>
      <c r="O678" s="17">
        <f t="shared" si="10"/>
        <v>-3.6590662323561398</v>
      </c>
      <c r="P678" t="s">
        <v>45</v>
      </c>
    </row>
    <row r="679" spans="1:16">
      <c r="A679">
        <v>677</v>
      </c>
      <c r="B679" t="s">
        <v>677</v>
      </c>
      <c r="C679" t="s">
        <v>678</v>
      </c>
      <c r="D679" t="s">
        <v>678</v>
      </c>
      <c r="E679" t="s">
        <v>72</v>
      </c>
      <c r="F679" t="s">
        <v>679</v>
      </c>
      <c r="G679">
        <v>20</v>
      </c>
      <c r="H679" s="27" t="s">
        <v>1072</v>
      </c>
      <c r="I679" s="27" t="s">
        <v>1241</v>
      </c>
      <c r="J679">
        <v>350.55</v>
      </c>
      <c r="K679">
        <v>353.47</v>
      </c>
      <c r="L679">
        <v>7011</v>
      </c>
      <c r="M679">
        <v>7069.4000000000005</v>
      </c>
      <c r="N679">
        <v>-58.400000000000318</v>
      </c>
      <c r="O679" s="17">
        <f t="shared" si="10"/>
        <v>-0.82609556680906893</v>
      </c>
      <c r="P679" t="s">
        <v>45</v>
      </c>
    </row>
    <row r="680" spans="1:16">
      <c r="A680">
        <v>678</v>
      </c>
      <c r="B680" t="s">
        <v>783</v>
      </c>
      <c r="C680" t="s">
        <v>784</v>
      </c>
      <c r="D680" t="s">
        <v>784</v>
      </c>
      <c r="E680" t="s">
        <v>72</v>
      </c>
      <c r="F680" t="s">
        <v>785</v>
      </c>
      <c r="G680">
        <v>15</v>
      </c>
      <c r="H680" s="27" t="s">
        <v>947</v>
      </c>
      <c r="I680" s="27" t="s">
        <v>1241</v>
      </c>
      <c r="J680">
        <v>470.5</v>
      </c>
      <c r="K680">
        <v>494.14</v>
      </c>
      <c r="L680">
        <v>7057.5</v>
      </c>
      <c r="M680">
        <v>7412.0999999999995</v>
      </c>
      <c r="N680">
        <v>-354.5999999999998</v>
      </c>
      <c r="O680" s="17">
        <f t="shared" si="10"/>
        <v>-4.7840692921034504</v>
      </c>
      <c r="P680" t="s">
        <v>45</v>
      </c>
    </row>
    <row r="681" spans="1:16">
      <c r="A681">
        <v>679</v>
      </c>
      <c r="B681" t="s">
        <v>671</v>
      </c>
      <c r="C681" t="s">
        <v>672</v>
      </c>
      <c r="D681" t="s">
        <v>672</v>
      </c>
      <c r="E681" t="s">
        <v>72</v>
      </c>
      <c r="F681" t="s">
        <v>673</v>
      </c>
      <c r="G681">
        <v>1</v>
      </c>
      <c r="H681" s="27" t="s">
        <v>1228</v>
      </c>
      <c r="I681" s="27" t="s">
        <v>1241</v>
      </c>
      <c r="J681">
        <v>5864.95</v>
      </c>
      <c r="K681">
        <v>6080.5</v>
      </c>
      <c r="L681">
        <v>5864.95</v>
      </c>
      <c r="M681">
        <v>6080.5</v>
      </c>
      <c r="N681">
        <v>-215.55000000000018</v>
      </c>
      <c r="O681" s="17">
        <f t="shared" si="10"/>
        <v>-3.5449387385905795</v>
      </c>
      <c r="P681" t="s">
        <v>45</v>
      </c>
    </row>
    <row r="682" spans="1:16">
      <c r="A682">
        <v>680</v>
      </c>
      <c r="B682" t="s">
        <v>545</v>
      </c>
      <c r="C682" t="s">
        <v>546</v>
      </c>
      <c r="D682" t="s">
        <v>546</v>
      </c>
      <c r="E682" t="s">
        <v>72</v>
      </c>
      <c r="F682" t="s">
        <v>547</v>
      </c>
      <c r="G682">
        <v>3</v>
      </c>
      <c r="H682" s="27" t="s">
        <v>1199</v>
      </c>
      <c r="I682" s="27" t="s">
        <v>1241</v>
      </c>
      <c r="J682">
        <v>1652.2</v>
      </c>
      <c r="K682">
        <v>1547.03</v>
      </c>
      <c r="L682">
        <v>4956.6000000000004</v>
      </c>
      <c r="M682">
        <v>4641.09</v>
      </c>
      <c r="N682">
        <v>315.51000000000022</v>
      </c>
      <c r="O682" s="17">
        <f t="shared" si="10"/>
        <v>6.7981874947480057</v>
      </c>
      <c r="P682" t="s">
        <v>45</v>
      </c>
    </row>
    <row r="683" spans="1:16">
      <c r="A683">
        <v>681</v>
      </c>
      <c r="B683" t="s">
        <v>931</v>
      </c>
      <c r="C683" t="s">
        <v>931</v>
      </c>
      <c r="D683" t="s">
        <v>931</v>
      </c>
      <c r="E683" t="s">
        <v>72</v>
      </c>
      <c r="F683" t="s">
        <v>932</v>
      </c>
      <c r="G683">
        <v>50</v>
      </c>
      <c r="H683" s="27" t="s">
        <v>1199</v>
      </c>
      <c r="I683" s="27" t="s">
        <v>1225</v>
      </c>
      <c r="J683">
        <v>127.4</v>
      </c>
      <c r="K683">
        <v>114.51</v>
      </c>
      <c r="L683">
        <v>6370</v>
      </c>
      <c r="M683">
        <v>5725.5</v>
      </c>
      <c r="N683">
        <v>644.5</v>
      </c>
      <c r="O683" s="17">
        <f t="shared" si="10"/>
        <v>11.256658807091084</v>
      </c>
      <c r="P683" t="s">
        <v>45</v>
      </c>
    </row>
    <row r="684" spans="1:16">
      <c r="A684">
        <v>682</v>
      </c>
      <c r="B684" t="s">
        <v>931</v>
      </c>
      <c r="C684" t="s">
        <v>931</v>
      </c>
      <c r="D684" t="s">
        <v>931</v>
      </c>
      <c r="E684" t="s">
        <v>72</v>
      </c>
      <c r="F684" t="s">
        <v>932</v>
      </c>
      <c r="G684">
        <v>50</v>
      </c>
      <c r="H684" s="27" t="s">
        <v>1146</v>
      </c>
      <c r="I684" s="27" t="s">
        <v>1225</v>
      </c>
      <c r="J684">
        <v>127.4</v>
      </c>
      <c r="K684">
        <v>100.98</v>
      </c>
      <c r="L684">
        <v>6370</v>
      </c>
      <c r="M684">
        <v>5049</v>
      </c>
      <c r="N684">
        <v>1321</v>
      </c>
      <c r="O684" s="17">
        <f t="shared" si="10"/>
        <v>26.163596751832046</v>
      </c>
      <c r="P684" t="s">
        <v>45</v>
      </c>
    </row>
    <row r="685" spans="1:16">
      <c r="A685">
        <v>683</v>
      </c>
      <c r="B685" t="s">
        <v>441</v>
      </c>
      <c r="C685" t="s">
        <v>445</v>
      </c>
      <c r="D685" t="s">
        <v>445</v>
      </c>
      <c r="E685" t="s">
        <v>72</v>
      </c>
      <c r="F685" t="s">
        <v>584</v>
      </c>
      <c r="G685">
        <v>1</v>
      </c>
      <c r="H685" s="27" t="s">
        <v>1018</v>
      </c>
      <c r="I685" s="27" t="s">
        <v>1225</v>
      </c>
      <c r="J685">
        <v>1571.5</v>
      </c>
      <c r="K685">
        <v>1493.79</v>
      </c>
      <c r="L685">
        <v>1571.5</v>
      </c>
      <c r="M685">
        <v>1493.79</v>
      </c>
      <c r="N685">
        <v>77.710000000000036</v>
      </c>
      <c r="O685" s="17">
        <f t="shared" si="10"/>
        <v>5.2022037903587544</v>
      </c>
      <c r="P685" t="s">
        <v>45</v>
      </c>
    </row>
    <row r="686" spans="1:16">
      <c r="A686">
        <v>684</v>
      </c>
      <c r="B686" t="s">
        <v>441</v>
      </c>
      <c r="C686" t="s">
        <v>445</v>
      </c>
      <c r="D686" t="s">
        <v>445</v>
      </c>
      <c r="E686" t="s">
        <v>72</v>
      </c>
      <c r="F686" t="s">
        <v>584</v>
      </c>
      <c r="G686">
        <v>1</v>
      </c>
      <c r="H686" s="27" t="s">
        <v>1019</v>
      </c>
      <c r="I686" s="27" t="s">
        <v>1225</v>
      </c>
      <c r="J686">
        <v>1571.5</v>
      </c>
      <c r="K686">
        <v>1502.5</v>
      </c>
      <c r="L686">
        <v>1571.5</v>
      </c>
      <c r="M686">
        <v>1502.5</v>
      </c>
      <c r="N686">
        <v>69</v>
      </c>
      <c r="O686" s="17">
        <f t="shared" si="10"/>
        <v>4.5923460898502491</v>
      </c>
      <c r="P686" t="s">
        <v>45</v>
      </c>
    </row>
    <row r="687" spans="1:16">
      <c r="A687">
        <v>685</v>
      </c>
      <c r="B687" t="s">
        <v>743</v>
      </c>
      <c r="C687" t="s">
        <v>744</v>
      </c>
      <c r="D687" t="s">
        <v>744</v>
      </c>
      <c r="E687" t="s">
        <v>72</v>
      </c>
      <c r="F687" t="s">
        <v>745</v>
      </c>
      <c r="G687">
        <v>13</v>
      </c>
      <c r="H687" s="27" t="s">
        <v>1228</v>
      </c>
      <c r="I687" s="27" t="s">
        <v>1225</v>
      </c>
      <c r="J687">
        <v>294.85000000000002</v>
      </c>
      <c r="K687">
        <v>285.73</v>
      </c>
      <c r="L687">
        <v>3833.05</v>
      </c>
      <c r="M687">
        <v>3714.4900000000002</v>
      </c>
      <c r="N687">
        <v>118.56000000000006</v>
      </c>
      <c r="O687" s="17">
        <f t="shared" si="10"/>
        <v>3.1918244496552708</v>
      </c>
      <c r="P687" t="s">
        <v>45</v>
      </c>
    </row>
    <row r="688" spans="1:16">
      <c r="A688">
        <v>686</v>
      </c>
      <c r="B688" t="s">
        <v>463</v>
      </c>
      <c r="C688" t="s">
        <v>463</v>
      </c>
      <c r="D688" t="s">
        <v>463</v>
      </c>
      <c r="E688" t="s">
        <v>72</v>
      </c>
      <c r="F688" t="s">
        <v>466</v>
      </c>
      <c r="G688">
        <v>30</v>
      </c>
      <c r="H688" s="27" t="s">
        <v>1182</v>
      </c>
      <c r="I688" s="27" t="s">
        <v>1232</v>
      </c>
      <c r="J688">
        <v>141.80000000000001</v>
      </c>
      <c r="K688">
        <v>138.32</v>
      </c>
      <c r="L688">
        <v>4254</v>
      </c>
      <c r="M688">
        <v>4149.5999999999995</v>
      </c>
      <c r="N688">
        <v>104.40000000000055</v>
      </c>
      <c r="O688" s="17">
        <f t="shared" si="10"/>
        <v>2.5159051474841081</v>
      </c>
      <c r="P688" t="s">
        <v>45</v>
      </c>
    </row>
    <row r="689" spans="1:16">
      <c r="A689">
        <v>687</v>
      </c>
      <c r="B689" t="s">
        <v>463</v>
      </c>
      <c r="C689" t="s">
        <v>463</v>
      </c>
      <c r="D689" t="s">
        <v>463</v>
      </c>
      <c r="E689" t="s">
        <v>72</v>
      </c>
      <c r="F689" t="s">
        <v>466</v>
      </c>
      <c r="G689">
        <v>20</v>
      </c>
      <c r="H689" s="27" t="s">
        <v>1096</v>
      </c>
      <c r="I689" s="27" t="s">
        <v>1232</v>
      </c>
      <c r="J689">
        <v>141.80000000000001</v>
      </c>
      <c r="K689">
        <v>155.19999999999999</v>
      </c>
      <c r="L689">
        <v>2836</v>
      </c>
      <c r="M689">
        <v>3104</v>
      </c>
      <c r="N689">
        <v>-267.99999999999955</v>
      </c>
      <c r="O689" s="17">
        <f t="shared" si="10"/>
        <v>-8.6340206185566863</v>
      </c>
      <c r="P689" t="s">
        <v>45</v>
      </c>
    </row>
    <row r="690" spans="1:16">
      <c r="A690">
        <v>688</v>
      </c>
      <c r="B690" t="s">
        <v>470</v>
      </c>
      <c r="C690" t="s">
        <v>471</v>
      </c>
      <c r="D690" t="s">
        <v>471</v>
      </c>
      <c r="E690" t="s">
        <v>72</v>
      </c>
      <c r="F690" t="s">
        <v>609</v>
      </c>
      <c r="G690">
        <v>2</v>
      </c>
      <c r="H690" s="27" t="s">
        <v>484</v>
      </c>
      <c r="I690" s="27" t="s">
        <v>1232</v>
      </c>
      <c r="J690">
        <v>2044.55</v>
      </c>
      <c r="K690">
        <v>1237.44</v>
      </c>
      <c r="L690">
        <v>4089.1</v>
      </c>
      <c r="M690">
        <v>2474.88</v>
      </c>
      <c r="N690">
        <v>1614.2199999999998</v>
      </c>
      <c r="O690" s="17">
        <f t="shared" si="10"/>
        <v>65.22417248513058</v>
      </c>
      <c r="P690" t="s">
        <v>45</v>
      </c>
    </row>
    <row r="691" spans="1:16">
      <c r="A691">
        <v>689</v>
      </c>
      <c r="B691" t="s">
        <v>230</v>
      </c>
      <c r="C691" t="s">
        <v>117</v>
      </c>
      <c r="D691" t="s">
        <v>117</v>
      </c>
      <c r="E691" t="s">
        <v>72</v>
      </c>
      <c r="F691" t="s">
        <v>118</v>
      </c>
      <c r="G691">
        <v>17</v>
      </c>
      <c r="H691" s="27" t="s">
        <v>1199</v>
      </c>
      <c r="I691" s="27" t="s">
        <v>1232</v>
      </c>
      <c r="J691">
        <v>218.17</v>
      </c>
      <c r="K691">
        <v>197.41</v>
      </c>
      <c r="L691">
        <v>3708.89</v>
      </c>
      <c r="M691">
        <v>3355.97</v>
      </c>
      <c r="N691">
        <v>352.91999999999985</v>
      </c>
      <c r="O691" s="17">
        <f t="shared" si="10"/>
        <v>10.516184590446274</v>
      </c>
      <c r="P691" t="s">
        <v>45</v>
      </c>
    </row>
    <row r="692" spans="1:16">
      <c r="A692">
        <v>690</v>
      </c>
      <c r="B692" t="s">
        <v>18</v>
      </c>
      <c r="C692">
        <v>532281</v>
      </c>
      <c r="D692" t="s">
        <v>88</v>
      </c>
      <c r="E692" t="s">
        <v>72</v>
      </c>
      <c r="F692" t="s">
        <v>89</v>
      </c>
      <c r="G692">
        <v>8</v>
      </c>
      <c r="H692" s="27" t="s">
        <v>1193</v>
      </c>
      <c r="I692" s="27" t="s">
        <v>1232</v>
      </c>
      <c r="J692">
        <v>1063.33</v>
      </c>
      <c r="K692">
        <v>1033.28</v>
      </c>
      <c r="L692">
        <v>8506.64</v>
      </c>
      <c r="M692">
        <v>8266.24</v>
      </c>
      <c r="N692">
        <v>240.39999999999964</v>
      </c>
      <c r="O692" s="17">
        <f t="shared" si="10"/>
        <v>2.9082146175286425</v>
      </c>
      <c r="P692" t="s">
        <v>45</v>
      </c>
    </row>
    <row r="693" spans="1:16">
      <c r="A693">
        <v>691</v>
      </c>
      <c r="B693" t="s">
        <v>668</v>
      </c>
      <c r="C693" t="s">
        <v>669</v>
      </c>
      <c r="D693" t="s">
        <v>669</v>
      </c>
      <c r="E693" t="s">
        <v>72</v>
      </c>
      <c r="F693" t="s">
        <v>670</v>
      </c>
      <c r="G693">
        <v>1</v>
      </c>
      <c r="H693" s="27" t="s">
        <v>1241</v>
      </c>
      <c r="I693" s="27" t="s">
        <v>1232</v>
      </c>
      <c r="J693">
        <v>3468.75</v>
      </c>
      <c r="K693">
        <v>3292.25</v>
      </c>
      <c r="L693">
        <v>3468.75</v>
      </c>
      <c r="M693">
        <v>3292.25</v>
      </c>
      <c r="N693">
        <v>176.5</v>
      </c>
      <c r="O693" s="17">
        <f t="shared" si="10"/>
        <v>5.3610752524869012</v>
      </c>
      <c r="P693" t="s">
        <v>45</v>
      </c>
    </row>
    <row r="694" spans="1:16">
      <c r="A694">
        <v>692</v>
      </c>
      <c r="B694" t="s">
        <v>9</v>
      </c>
      <c r="C694" t="s">
        <v>75</v>
      </c>
      <c r="D694" t="s">
        <v>205</v>
      </c>
      <c r="E694" t="s">
        <v>76</v>
      </c>
      <c r="F694" t="s">
        <v>77</v>
      </c>
      <c r="G694">
        <v>8</v>
      </c>
      <c r="H694" s="27" t="s">
        <v>1207</v>
      </c>
      <c r="I694" s="27" t="s">
        <v>1232</v>
      </c>
      <c r="J694">
        <v>422.98</v>
      </c>
      <c r="K694">
        <v>396.88</v>
      </c>
      <c r="L694">
        <v>3383.84</v>
      </c>
      <c r="M694">
        <v>3175.04</v>
      </c>
      <c r="N694">
        <v>208.80000000000018</v>
      </c>
      <c r="O694" s="17">
        <f t="shared" si="10"/>
        <v>6.576295101793999</v>
      </c>
      <c r="P694" t="s">
        <v>45</v>
      </c>
    </row>
    <row r="695" spans="1:16">
      <c r="A695">
        <v>693</v>
      </c>
      <c r="B695" t="s">
        <v>649</v>
      </c>
      <c r="C695" t="s">
        <v>648</v>
      </c>
      <c r="D695" t="s">
        <v>648</v>
      </c>
      <c r="E695" t="s">
        <v>72</v>
      </c>
      <c r="F695" t="s">
        <v>975</v>
      </c>
      <c r="G695">
        <v>30</v>
      </c>
      <c r="H695" s="27" t="s">
        <v>1095</v>
      </c>
      <c r="I695" s="27" t="s">
        <v>1232</v>
      </c>
      <c r="J695">
        <v>140.25</v>
      </c>
      <c r="K695">
        <v>135.58000000000001</v>
      </c>
      <c r="L695">
        <v>4207.5</v>
      </c>
      <c r="M695">
        <v>4067.4000000000005</v>
      </c>
      <c r="N695">
        <v>140.09999999999962</v>
      </c>
      <c r="O695" s="17">
        <f t="shared" si="10"/>
        <v>3.4444608349313959</v>
      </c>
      <c r="P695" t="s">
        <v>45</v>
      </c>
    </row>
    <row r="696" spans="1:16">
      <c r="A696">
        <v>694</v>
      </c>
      <c r="B696" t="s">
        <v>34</v>
      </c>
      <c r="C696" t="s">
        <v>115</v>
      </c>
      <c r="D696" t="s">
        <v>115</v>
      </c>
      <c r="E696" t="s">
        <v>72</v>
      </c>
      <c r="F696" t="s">
        <v>116</v>
      </c>
      <c r="G696">
        <v>10</v>
      </c>
      <c r="H696" s="27" t="s">
        <v>255</v>
      </c>
      <c r="I696" s="27" t="s">
        <v>1232</v>
      </c>
      <c r="J696">
        <v>165.65</v>
      </c>
      <c r="K696">
        <v>125.01</v>
      </c>
      <c r="L696">
        <v>1656.5</v>
      </c>
      <c r="M696">
        <v>1250.1000000000001</v>
      </c>
      <c r="N696">
        <v>406.4</v>
      </c>
      <c r="O696" s="17">
        <f t="shared" si="10"/>
        <v>32.509399248060149</v>
      </c>
      <c r="P696" t="s">
        <v>45</v>
      </c>
    </row>
    <row r="697" spans="1:16">
      <c r="A697">
        <v>695</v>
      </c>
      <c r="B697" t="s">
        <v>966</v>
      </c>
      <c r="C697" t="s">
        <v>967</v>
      </c>
      <c r="D697" t="s">
        <v>967</v>
      </c>
      <c r="E697" t="s">
        <v>72</v>
      </c>
      <c r="F697" t="s">
        <v>968</v>
      </c>
      <c r="G697">
        <v>14</v>
      </c>
      <c r="H697" s="27" t="s">
        <v>1182</v>
      </c>
      <c r="I697" s="27" t="s">
        <v>1226</v>
      </c>
      <c r="J697">
        <v>704.73</v>
      </c>
      <c r="K697">
        <v>742.4</v>
      </c>
      <c r="L697">
        <v>9866.2200000000012</v>
      </c>
      <c r="M697">
        <v>10393.6</v>
      </c>
      <c r="N697">
        <v>-527.37999999999943</v>
      </c>
      <c r="O697" s="17">
        <f t="shared" si="10"/>
        <v>-5.0740840517241317</v>
      </c>
      <c r="P697" t="s">
        <v>45</v>
      </c>
    </row>
    <row r="698" spans="1:16">
      <c r="A698">
        <v>696</v>
      </c>
      <c r="B698" t="s">
        <v>893</v>
      </c>
      <c r="C698" t="s">
        <v>904</v>
      </c>
      <c r="D698" t="s">
        <v>904</v>
      </c>
      <c r="E698" t="s">
        <v>72</v>
      </c>
      <c r="F698" t="s">
        <v>905</v>
      </c>
      <c r="G698">
        <v>30</v>
      </c>
      <c r="H698" s="27" t="s">
        <v>1046</v>
      </c>
      <c r="I698" s="27" t="s">
        <v>1226</v>
      </c>
      <c r="J698">
        <v>614.85</v>
      </c>
      <c r="K698">
        <v>835.33</v>
      </c>
      <c r="L698">
        <v>18445.5</v>
      </c>
      <c r="M698">
        <v>25059.9</v>
      </c>
      <c r="N698">
        <v>-6614.4000000000005</v>
      </c>
      <c r="O698" s="17">
        <f t="shared" si="10"/>
        <v>-26.394359115559119</v>
      </c>
      <c r="P698" t="s">
        <v>45</v>
      </c>
    </row>
    <row r="699" spans="1:16">
      <c r="A699">
        <v>697</v>
      </c>
      <c r="B699" t="s">
        <v>982</v>
      </c>
      <c r="C699" t="s">
        <v>943</v>
      </c>
      <c r="D699" t="s">
        <v>943</v>
      </c>
      <c r="E699" t="s">
        <v>72</v>
      </c>
      <c r="F699" t="s">
        <v>944</v>
      </c>
      <c r="G699">
        <v>18</v>
      </c>
      <c r="H699" s="27" t="s">
        <v>1241</v>
      </c>
      <c r="I699" s="27" t="s">
        <v>1226</v>
      </c>
      <c r="J699">
        <v>746.77</v>
      </c>
      <c r="K699">
        <v>695.45</v>
      </c>
      <c r="L699">
        <v>13441.86</v>
      </c>
      <c r="M699">
        <v>12518.1</v>
      </c>
      <c r="N699">
        <v>923.75999999999885</v>
      </c>
      <c r="O699" s="17">
        <f t="shared" si="10"/>
        <v>7.3793946365662428</v>
      </c>
      <c r="P699" t="s">
        <v>45</v>
      </c>
    </row>
  </sheetData>
  <autoFilter ref="A2:P668"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L99"/>
  <sheetViews>
    <sheetView workbookViewId="0">
      <selection activeCell="N100" sqref="N100"/>
    </sheetView>
  </sheetViews>
  <sheetFormatPr defaultRowHeight="14.5"/>
  <cols>
    <col min="1" max="1" width="5.453125" style="2" customWidth="1"/>
    <col min="2" max="2" width="17.26953125" style="2" bestFit="1" customWidth="1"/>
    <col min="3" max="3" width="8.453125" style="30" bestFit="1" customWidth="1"/>
    <col min="4" max="4" width="8.7265625" style="30" bestFit="1" customWidth="1"/>
    <col min="5" max="5" width="9.26953125" bestFit="1" customWidth="1"/>
    <col min="7" max="7" width="8.7265625" style="17"/>
    <col min="9" max="9" width="9.54296875" bestFit="1" customWidth="1"/>
    <col min="12" max="12" width="9.7265625" bestFit="1" customWidth="1"/>
  </cols>
  <sheetData>
    <row r="1" spans="1:12">
      <c r="D1" s="30">
        <f>SUM(D3:D95)</f>
        <v>14917639</v>
      </c>
      <c r="E1" s="30">
        <f>SUM(E3:E95)</f>
        <v>13487345.316978678</v>
      </c>
      <c r="F1" s="30">
        <f>SUM(F3:F95)</f>
        <v>702754</v>
      </c>
      <c r="G1" s="17">
        <f>F1/E1%</f>
        <v>5.2104693954512395</v>
      </c>
      <c r="H1" s="30">
        <f>SUM(H3:H95)</f>
        <v>-737070.59999999986</v>
      </c>
      <c r="I1" s="26" t="s">
        <v>176</v>
      </c>
      <c r="J1" s="23">
        <v>44652</v>
      </c>
      <c r="K1" s="26" t="s">
        <v>177</v>
      </c>
      <c r="L1" s="23">
        <v>44948</v>
      </c>
    </row>
    <row r="2" spans="1:12">
      <c r="A2" s="3" t="s">
        <v>0</v>
      </c>
      <c r="B2" s="2" t="s">
        <v>1</v>
      </c>
      <c r="C2" s="30" t="s">
        <v>175</v>
      </c>
      <c r="D2" s="30" t="s">
        <v>173</v>
      </c>
      <c r="E2" t="s">
        <v>174</v>
      </c>
      <c r="F2" t="s">
        <v>178</v>
      </c>
      <c r="G2" s="17" t="s">
        <v>179</v>
      </c>
      <c r="H2" t="s">
        <v>180</v>
      </c>
      <c r="I2" s="17" t="s">
        <v>181</v>
      </c>
    </row>
    <row r="3" spans="1:12">
      <c r="A3" s="2">
        <v>1</v>
      </c>
      <c r="B3" s="2" t="s">
        <v>530</v>
      </c>
      <c r="C3" s="30">
        <v>305164.40000000002</v>
      </c>
      <c r="D3" s="30">
        <v>372326</v>
      </c>
      <c r="E3">
        <v>277096.08108108101</v>
      </c>
      <c r="F3">
        <v>11732</v>
      </c>
      <c r="G3" s="17">
        <f t="shared" ref="G3:G34" si="0">F3/E3%</f>
        <v>4.2339104740233058</v>
      </c>
      <c r="H3" s="30">
        <f t="shared" ref="H3:H34" si="1">C3-D3</f>
        <v>-67161.599999999977</v>
      </c>
      <c r="I3" s="17">
        <f t="shared" ref="I3:I34" si="2">H3/D3%</f>
        <v>-18.038385715743722</v>
      </c>
    </row>
    <row r="4" spans="1:12">
      <c r="A4" s="2">
        <v>2</v>
      </c>
      <c r="B4" s="2" t="s">
        <v>712</v>
      </c>
      <c r="C4" s="30">
        <v>240002.1</v>
      </c>
      <c r="D4" s="30">
        <v>245582</v>
      </c>
      <c r="E4">
        <v>227098.09797297296</v>
      </c>
      <c r="F4">
        <v>11536</v>
      </c>
      <c r="G4" s="17">
        <f t="shared" si="0"/>
        <v>5.079743116726986</v>
      </c>
      <c r="H4" s="30">
        <f t="shared" si="1"/>
        <v>-5579.8999999999942</v>
      </c>
      <c r="I4" s="17">
        <f t="shared" si="2"/>
        <v>-2.272112776995054</v>
      </c>
    </row>
    <row r="5" spans="1:12">
      <c r="A5" s="2">
        <v>3</v>
      </c>
      <c r="B5" s="2" t="s">
        <v>533</v>
      </c>
      <c r="C5" s="30">
        <v>208119.45</v>
      </c>
      <c r="D5" s="30">
        <v>222903</v>
      </c>
      <c r="E5">
        <v>243082.36824324325</v>
      </c>
      <c r="F5">
        <v>3662</v>
      </c>
      <c r="G5" s="17">
        <f t="shared" si="0"/>
        <v>1.5064852405648674</v>
      </c>
      <c r="H5" s="30">
        <f t="shared" si="1"/>
        <v>-14783.549999999988</v>
      </c>
      <c r="I5" s="17">
        <f t="shared" si="2"/>
        <v>-6.6322795117158524</v>
      </c>
    </row>
    <row r="6" spans="1:12">
      <c r="A6" s="2">
        <v>4</v>
      </c>
      <c r="B6" s="2" t="s">
        <v>472</v>
      </c>
      <c r="C6" s="30">
        <v>175524.3</v>
      </c>
      <c r="D6" s="30">
        <v>119972</v>
      </c>
      <c r="E6">
        <v>75658.952702702692</v>
      </c>
      <c r="F6">
        <v>1666</v>
      </c>
      <c r="G6" s="17">
        <f t="shared" si="0"/>
        <v>2.2019865997173484</v>
      </c>
      <c r="H6" s="30">
        <f t="shared" si="1"/>
        <v>55552.299999999988</v>
      </c>
      <c r="I6" s="17">
        <f t="shared" si="2"/>
        <v>46.304387690461098</v>
      </c>
    </row>
    <row r="7" spans="1:12">
      <c r="A7" s="2">
        <v>96</v>
      </c>
      <c r="B7" s="2" t="s">
        <v>1028</v>
      </c>
      <c r="C7" s="30">
        <v>217832.15</v>
      </c>
      <c r="D7" s="30">
        <v>223439</v>
      </c>
      <c r="E7">
        <v>181239.62837837837</v>
      </c>
      <c r="F7">
        <v>8072</v>
      </c>
      <c r="G7" s="17">
        <f t="shared" si="0"/>
        <v>4.4537720984220348</v>
      </c>
      <c r="H7" s="30">
        <f t="shared" si="1"/>
        <v>-5606.8500000000058</v>
      </c>
      <c r="I7" s="17">
        <f t="shared" si="2"/>
        <v>-2.5093425946231438</v>
      </c>
    </row>
    <row r="8" spans="1:12">
      <c r="A8" s="2">
        <v>5</v>
      </c>
      <c r="B8" s="2" t="s">
        <v>803</v>
      </c>
      <c r="C8" s="30">
        <v>72007.100000000006</v>
      </c>
      <c r="D8" s="30">
        <v>77965</v>
      </c>
      <c r="E8">
        <v>25744.013513513513</v>
      </c>
      <c r="F8">
        <v>0</v>
      </c>
      <c r="G8" s="17">
        <f t="shared" si="0"/>
        <v>0</v>
      </c>
      <c r="H8" s="30">
        <f t="shared" si="1"/>
        <v>-5957.8999999999942</v>
      </c>
      <c r="I8" s="17">
        <f t="shared" si="2"/>
        <v>-7.6417623292502972</v>
      </c>
    </row>
    <row r="9" spans="1:12">
      <c r="A9" s="2">
        <v>6</v>
      </c>
      <c r="B9" s="2" t="s">
        <v>512</v>
      </c>
      <c r="C9" s="30">
        <v>247277.75</v>
      </c>
      <c r="D9" s="30">
        <v>233612</v>
      </c>
      <c r="E9">
        <v>196742.61486486485</v>
      </c>
      <c r="F9">
        <v>5481</v>
      </c>
      <c r="G9" s="17">
        <f t="shared" si="0"/>
        <v>2.7858733115673462</v>
      </c>
      <c r="H9" s="30">
        <f t="shared" si="1"/>
        <v>13665.75</v>
      </c>
      <c r="I9" s="17">
        <f t="shared" si="2"/>
        <v>5.8497637107682827</v>
      </c>
    </row>
    <row r="10" spans="1:12">
      <c r="A10" s="2">
        <v>8</v>
      </c>
      <c r="B10" s="2" t="s">
        <v>9</v>
      </c>
      <c r="C10" s="30">
        <v>107962.65</v>
      </c>
      <c r="D10" s="30">
        <v>38984</v>
      </c>
      <c r="E10">
        <v>39200.020270270274</v>
      </c>
      <c r="F10">
        <v>4885</v>
      </c>
      <c r="G10" s="17">
        <f t="shared" si="0"/>
        <v>12.461728249933682</v>
      </c>
      <c r="H10" s="30">
        <f t="shared" si="1"/>
        <v>68978.649999999994</v>
      </c>
      <c r="I10" s="17">
        <f t="shared" si="2"/>
        <v>176.94092448183869</v>
      </c>
    </row>
    <row r="11" spans="1:12">
      <c r="A11" s="2">
        <v>9</v>
      </c>
      <c r="B11" s="2" t="s">
        <v>671</v>
      </c>
      <c r="C11" s="30">
        <v>245089.8</v>
      </c>
      <c r="D11" s="30">
        <v>263818</v>
      </c>
      <c r="E11">
        <v>171203.25000000003</v>
      </c>
      <c r="F11">
        <v>6768</v>
      </c>
      <c r="G11" s="17">
        <f t="shared" si="0"/>
        <v>3.9531959819687996</v>
      </c>
      <c r="H11" s="30">
        <f t="shared" si="1"/>
        <v>-18728.200000000012</v>
      </c>
      <c r="I11" s="17">
        <f t="shared" si="2"/>
        <v>-7.0989090964225383</v>
      </c>
    </row>
    <row r="12" spans="1:12">
      <c r="A12" s="2">
        <v>10</v>
      </c>
      <c r="B12" s="2" t="s">
        <v>194</v>
      </c>
      <c r="C12" s="30">
        <v>283794.59999999998</v>
      </c>
      <c r="D12" s="30">
        <v>308170</v>
      </c>
      <c r="E12">
        <v>218111.99324324325</v>
      </c>
      <c r="F12">
        <v>2303</v>
      </c>
      <c r="G12" s="17">
        <f t="shared" si="0"/>
        <v>1.0558795808315062</v>
      </c>
      <c r="H12" s="30">
        <f t="shared" si="1"/>
        <v>-24375.400000000023</v>
      </c>
      <c r="I12" s="17">
        <f t="shared" si="2"/>
        <v>-7.9097251517019904</v>
      </c>
    </row>
    <row r="13" spans="1:12">
      <c r="A13" s="2">
        <v>95</v>
      </c>
      <c r="B13" s="2" t="s">
        <v>1216</v>
      </c>
      <c r="C13" s="30">
        <v>64022.5</v>
      </c>
      <c r="D13" s="30">
        <v>63726</v>
      </c>
      <c r="E13">
        <v>4521.1013513513517</v>
      </c>
      <c r="F13">
        <v>0</v>
      </c>
      <c r="G13" s="17">
        <f t="shared" si="0"/>
        <v>0</v>
      </c>
      <c r="H13" s="30">
        <f t="shared" si="1"/>
        <v>296.5</v>
      </c>
      <c r="I13" s="17">
        <f t="shared" si="2"/>
        <v>0.46527320089131596</v>
      </c>
    </row>
    <row r="14" spans="1:12">
      <c r="A14" s="2">
        <v>13</v>
      </c>
      <c r="B14" s="2" t="s">
        <v>743</v>
      </c>
      <c r="C14" s="30">
        <v>171227.1</v>
      </c>
      <c r="D14" s="30">
        <v>211488</v>
      </c>
      <c r="E14">
        <v>167349.69256756754</v>
      </c>
      <c r="F14">
        <v>3417</v>
      </c>
      <c r="G14" s="17">
        <f t="shared" si="0"/>
        <v>2.0418322541108846</v>
      </c>
      <c r="H14" s="30">
        <f t="shared" si="1"/>
        <v>-40260.899999999994</v>
      </c>
      <c r="I14" s="17">
        <f t="shared" si="2"/>
        <v>-19.036966636404898</v>
      </c>
    </row>
    <row r="15" spans="1:12">
      <c r="A15" s="2">
        <v>14</v>
      </c>
      <c r="B15" s="2" t="s">
        <v>969</v>
      </c>
      <c r="C15" s="30">
        <v>152153</v>
      </c>
      <c r="D15" s="30">
        <v>194219</v>
      </c>
      <c r="E15">
        <v>148811.14527027024</v>
      </c>
      <c r="F15">
        <v>2419</v>
      </c>
      <c r="G15" s="17">
        <f t="shared" si="0"/>
        <v>1.6255502876525958</v>
      </c>
      <c r="H15" s="30">
        <f t="shared" si="1"/>
        <v>-42066</v>
      </c>
      <c r="I15" s="17">
        <f t="shared" si="2"/>
        <v>-21.659054984321823</v>
      </c>
    </row>
    <row r="16" spans="1:12">
      <c r="A16" s="2">
        <v>96</v>
      </c>
      <c r="B16" s="2" t="s">
        <v>1172</v>
      </c>
      <c r="C16" s="30">
        <v>120514.05</v>
      </c>
      <c r="D16" s="30">
        <v>119678</v>
      </c>
      <c r="E16">
        <v>24555.60135135135</v>
      </c>
      <c r="F16">
        <v>0</v>
      </c>
      <c r="G16" s="17">
        <f t="shared" si="0"/>
        <v>0</v>
      </c>
      <c r="H16" s="30">
        <f t="shared" si="1"/>
        <v>836.05000000000291</v>
      </c>
      <c r="I16" s="17">
        <f t="shared" si="2"/>
        <v>0.69858286401845193</v>
      </c>
    </row>
    <row r="17" spans="1:9">
      <c r="A17" s="2">
        <v>15</v>
      </c>
      <c r="B17" s="2" t="s">
        <v>12</v>
      </c>
      <c r="C17" s="30">
        <v>243709.2</v>
      </c>
      <c r="D17" s="30">
        <v>224406</v>
      </c>
      <c r="E17">
        <v>205617.95945945947</v>
      </c>
      <c r="F17">
        <v>8011</v>
      </c>
      <c r="G17" s="17">
        <f t="shared" si="0"/>
        <v>3.8960604516549946</v>
      </c>
      <c r="H17" s="30">
        <f t="shared" si="1"/>
        <v>19303.200000000012</v>
      </c>
      <c r="I17" s="17">
        <f t="shared" si="2"/>
        <v>8.6019090398652498</v>
      </c>
    </row>
    <row r="18" spans="1:9">
      <c r="A18" s="2">
        <v>16</v>
      </c>
      <c r="B18" s="2" t="s">
        <v>783</v>
      </c>
      <c r="C18" s="30">
        <v>146955.79999999999</v>
      </c>
      <c r="D18" s="30">
        <v>367606</v>
      </c>
      <c r="E18">
        <v>398137.25675675675</v>
      </c>
      <c r="F18">
        <v>2166</v>
      </c>
      <c r="G18" s="17">
        <f t="shared" si="0"/>
        <v>0.54403348675387209</v>
      </c>
      <c r="H18" s="30">
        <f t="shared" si="1"/>
        <v>-220650.2</v>
      </c>
      <c r="I18" s="17">
        <f t="shared" si="2"/>
        <v>-60.023557830938564</v>
      </c>
    </row>
    <row r="19" spans="1:9">
      <c r="A19" s="2">
        <v>97</v>
      </c>
      <c r="B19" s="2" t="s">
        <v>1175</v>
      </c>
      <c r="C19" s="30">
        <v>132550.95000000001</v>
      </c>
      <c r="D19" s="30">
        <v>146477</v>
      </c>
      <c r="E19">
        <v>28663.702702702703</v>
      </c>
      <c r="F19">
        <v>0</v>
      </c>
      <c r="G19" s="17">
        <f t="shared" si="0"/>
        <v>0</v>
      </c>
      <c r="H19" s="30">
        <f t="shared" si="1"/>
        <v>-13926.049999999988</v>
      </c>
      <c r="I19" s="17">
        <f t="shared" si="2"/>
        <v>-9.5073287956470907</v>
      </c>
    </row>
    <row r="20" spans="1:9">
      <c r="A20" s="2">
        <v>17</v>
      </c>
      <c r="B20" s="2" t="s">
        <v>13</v>
      </c>
      <c r="C20" s="30">
        <v>151567</v>
      </c>
      <c r="D20" s="30">
        <v>142567</v>
      </c>
      <c r="E20">
        <v>123046.50337837837</v>
      </c>
      <c r="F20">
        <v>7410</v>
      </c>
      <c r="G20" s="17">
        <f t="shared" si="0"/>
        <v>6.0221134258595095</v>
      </c>
      <c r="H20" s="30">
        <f t="shared" si="1"/>
        <v>9000</v>
      </c>
      <c r="I20" s="17">
        <f t="shared" si="2"/>
        <v>6.3128213401418281</v>
      </c>
    </row>
    <row r="21" spans="1:9">
      <c r="A21" s="2">
        <v>98</v>
      </c>
      <c r="B21" s="2" t="s">
        <v>1176</v>
      </c>
      <c r="C21" s="30">
        <v>170808</v>
      </c>
      <c r="D21" s="30">
        <v>172333</v>
      </c>
      <c r="E21">
        <v>25072.658783783783</v>
      </c>
      <c r="F21">
        <v>0</v>
      </c>
      <c r="G21" s="17">
        <f t="shared" si="0"/>
        <v>0</v>
      </c>
      <c r="H21" s="30">
        <f t="shared" si="1"/>
        <v>-1525</v>
      </c>
      <c r="I21" s="17">
        <f t="shared" si="2"/>
        <v>-0.88491467101483756</v>
      </c>
    </row>
    <row r="22" spans="1:9">
      <c r="A22" s="2">
        <v>19</v>
      </c>
      <c r="B22" s="2" t="s">
        <v>771</v>
      </c>
      <c r="C22" s="30">
        <v>197354.25</v>
      </c>
      <c r="D22" s="30">
        <v>80690</v>
      </c>
      <c r="E22">
        <v>100751.52702702703</v>
      </c>
      <c r="F22">
        <v>37183</v>
      </c>
      <c r="G22" s="17">
        <f t="shared" si="0"/>
        <v>36.905644110014826</v>
      </c>
      <c r="H22" s="30">
        <f t="shared" si="1"/>
        <v>116664.25</v>
      </c>
      <c r="I22" s="17">
        <f t="shared" si="2"/>
        <v>144.58328169537737</v>
      </c>
    </row>
    <row r="23" spans="1:9">
      <c r="A23" s="2">
        <v>21</v>
      </c>
      <c r="B23" s="2" t="s">
        <v>483</v>
      </c>
      <c r="C23" s="30">
        <v>174086.9</v>
      </c>
      <c r="D23" s="30">
        <v>75696</v>
      </c>
      <c r="E23">
        <v>80991.16891891892</v>
      </c>
      <c r="F23">
        <v>40649</v>
      </c>
      <c r="G23" s="17">
        <f t="shared" si="0"/>
        <v>50.189422553826979</v>
      </c>
      <c r="H23" s="30">
        <f t="shared" si="1"/>
        <v>98390.9</v>
      </c>
      <c r="I23" s="17">
        <f t="shared" si="2"/>
        <v>129.98163707461424</v>
      </c>
    </row>
    <row r="24" spans="1:9">
      <c r="A24" s="2">
        <v>22</v>
      </c>
      <c r="B24" s="2" t="s">
        <v>668</v>
      </c>
      <c r="C24" s="30">
        <v>187695.2</v>
      </c>
      <c r="D24" s="30">
        <v>225817</v>
      </c>
      <c r="E24">
        <v>187435.99662162163</v>
      </c>
      <c r="F24">
        <v>3230</v>
      </c>
      <c r="G24" s="17">
        <f t="shared" si="0"/>
        <v>1.7232549020562065</v>
      </c>
      <c r="H24" s="30">
        <f t="shared" si="1"/>
        <v>-38121.799999999988</v>
      </c>
      <c r="I24" s="17">
        <f t="shared" si="2"/>
        <v>-16.881722810948684</v>
      </c>
    </row>
    <row r="25" spans="1:9">
      <c r="A25" s="2">
        <v>95</v>
      </c>
      <c r="B25" s="2" t="s">
        <v>1218</v>
      </c>
      <c r="C25" s="30">
        <v>130555.8</v>
      </c>
      <c r="D25" s="30">
        <v>137410</v>
      </c>
      <c r="E25">
        <v>9062.0675675675684</v>
      </c>
      <c r="F25">
        <v>0</v>
      </c>
      <c r="G25" s="17">
        <f t="shared" si="0"/>
        <v>0</v>
      </c>
      <c r="H25" s="30">
        <f t="shared" si="1"/>
        <v>-6854.1999999999971</v>
      </c>
      <c r="I25" s="17">
        <f t="shared" si="2"/>
        <v>-4.988137690124443</v>
      </c>
    </row>
    <row r="26" spans="1:9">
      <c r="A26" s="2">
        <v>23</v>
      </c>
      <c r="B26" s="2" t="s">
        <v>665</v>
      </c>
      <c r="C26" s="30">
        <v>143368.5</v>
      </c>
      <c r="D26" s="30">
        <v>215120</v>
      </c>
      <c r="E26">
        <v>256684.27027027027</v>
      </c>
      <c r="F26">
        <v>11058</v>
      </c>
      <c r="G26" s="17">
        <f t="shared" si="0"/>
        <v>4.3080162210004973</v>
      </c>
      <c r="H26" s="30">
        <f t="shared" si="1"/>
        <v>-71751.5</v>
      </c>
      <c r="I26" s="17">
        <f t="shared" si="2"/>
        <v>-33.354174414280408</v>
      </c>
    </row>
    <row r="27" spans="1:9">
      <c r="A27" s="2">
        <v>25</v>
      </c>
      <c r="B27" s="2" t="s">
        <v>424</v>
      </c>
      <c r="C27" s="30">
        <v>5802.75</v>
      </c>
      <c r="D27" s="30">
        <v>6464</v>
      </c>
      <c r="E27">
        <v>19358.027027027027</v>
      </c>
      <c r="F27">
        <v>0</v>
      </c>
      <c r="G27" s="17">
        <f t="shared" si="0"/>
        <v>0</v>
      </c>
      <c r="H27" s="30">
        <f t="shared" si="1"/>
        <v>-661.25</v>
      </c>
      <c r="I27" s="17">
        <f t="shared" si="2"/>
        <v>-10.229733910891088</v>
      </c>
    </row>
    <row r="28" spans="1:9">
      <c r="A28" s="2">
        <v>26</v>
      </c>
      <c r="B28" s="2" t="s">
        <v>740</v>
      </c>
      <c r="C28" s="30">
        <v>159662.39999999999</v>
      </c>
      <c r="D28" s="30">
        <v>209522</v>
      </c>
      <c r="E28">
        <v>221351.72972972973</v>
      </c>
      <c r="F28">
        <v>4583</v>
      </c>
      <c r="G28" s="17">
        <f t="shared" si="0"/>
        <v>2.0704604412153631</v>
      </c>
      <c r="H28" s="30">
        <f t="shared" si="1"/>
        <v>-49859.600000000006</v>
      </c>
      <c r="I28" s="17">
        <f t="shared" si="2"/>
        <v>-23.796832790828653</v>
      </c>
    </row>
    <row r="29" spans="1:9">
      <c r="A29" s="2">
        <v>27</v>
      </c>
      <c r="B29" s="2" t="s">
        <v>635</v>
      </c>
      <c r="C29" s="30">
        <v>95796.7</v>
      </c>
      <c r="D29" s="30">
        <v>87105</v>
      </c>
      <c r="E29">
        <v>44138.69932432432</v>
      </c>
      <c r="F29">
        <v>62006</v>
      </c>
      <c r="G29" s="17">
        <f t="shared" si="0"/>
        <v>140.47989847727393</v>
      </c>
      <c r="H29" s="30">
        <f t="shared" si="1"/>
        <v>8691.6999999999971</v>
      </c>
      <c r="I29" s="17">
        <f t="shared" si="2"/>
        <v>9.9784168532231181</v>
      </c>
    </row>
    <row r="30" spans="1:9">
      <c r="A30" s="2">
        <v>28</v>
      </c>
      <c r="B30" s="2" t="s">
        <v>689</v>
      </c>
      <c r="C30" s="30">
        <v>196137.3</v>
      </c>
      <c r="D30" s="30">
        <v>239653</v>
      </c>
      <c r="E30">
        <v>192371.93243243243</v>
      </c>
      <c r="F30">
        <v>3401</v>
      </c>
      <c r="G30" s="17">
        <f t="shared" si="0"/>
        <v>1.767929425564484</v>
      </c>
      <c r="H30" s="30">
        <f t="shared" si="1"/>
        <v>-43515.700000000012</v>
      </c>
      <c r="I30" s="17">
        <f t="shared" si="2"/>
        <v>-18.157794811665202</v>
      </c>
    </row>
    <row r="31" spans="1:9">
      <c r="A31" s="2">
        <v>29</v>
      </c>
      <c r="B31" s="2" t="s">
        <v>630</v>
      </c>
      <c r="C31" s="30">
        <v>196173.25</v>
      </c>
      <c r="D31" s="30">
        <v>191792</v>
      </c>
      <c r="E31">
        <v>160016.70270270266</v>
      </c>
      <c r="F31">
        <v>6334</v>
      </c>
      <c r="G31" s="17">
        <f t="shared" si="0"/>
        <v>3.95833678173461</v>
      </c>
      <c r="H31" s="30">
        <f t="shared" si="1"/>
        <v>4381.25</v>
      </c>
      <c r="I31" s="17">
        <f t="shared" si="2"/>
        <v>2.2843757820972721</v>
      </c>
    </row>
    <row r="32" spans="1:9">
      <c r="A32" s="2">
        <v>31</v>
      </c>
      <c r="B32" s="2" t="s">
        <v>536</v>
      </c>
      <c r="C32" s="30">
        <v>76922.649999999994</v>
      </c>
      <c r="D32" s="30">
        <v>69330</v>
      </c>
      <c r="E32">
        <v>95748.08108108108</v>
      </c>
      <c r="F32">
        <v>40588</v>
      </c>
      <c r="G32" s="17">
        <f t="shared" si="0"/>
        <v>42.390405678866195</v>
      </c>
      <c r="H32" s="30">
        <f t="shared" si="1"/>
        <v>7592.6499999999942</v>
      </c>
      <c r="I32" s="17">
        <f t="shared" si="2"/>
        <v>10.951464012692909</v>
      </c>
    </row>
    <row r="33" spans="1:9">
      <c r="A33" s="2">
        <v>32</v>
      </c>
      <c r="B33" s="2" t="s">
        <v>15</v>
      </c>
      <c r="C33" s="30">
        <v>114770</v>
      </c>
      <c r="D33" s="30">
        <v>105423</v>
      </c>
      <c r="E33">
        <v>34849.03378378378</v>
      </c>
      <c r="F33">
        <v>8681</v>
      </c>
      <c r="G33" s="17">
        <f t="shared" si="0"/>
        <v>24.91030326367186</v>
      </c>
      <c r="H33" s="30">
        <f t="shared" si="1"/>
        <v>9347</v>
      </c>
      <c r="I33" s="17">
        <f t="shared" si="2"/>
        <v>8.8661866955028792</v>
      </c>
    </row>
    <row r="34" spans="1:9">
      <c r="A34" s="2">
        <v>33</v>
      </c>
      <c r="B34" s="2" t="s">
        <v>649</v>
      </c>
      <c r="C34" s="30">
        <v>303544.8</v>
      </c>
      <c r="D34" s="30">
        <v>256282</v>
      </c>
      <c r="E34">
        <v>297589.82432432432</v>
      </c>
      <c r="F34">
        <v>13718</v>
      </c>
      <c r="G34" s="17">
        <f t="shared" si="0"/>
        <v>4.6097006277505042</v>
      </c>
      <c r="H34" s="30">
        <f t="shared" si="1"/>
        <v>47262.799999999988</v>
      </c>
      <c r="I34" s="17">
        <f t="shared" si="2"/>
        <v>18.441716546616611</v>
      </c>
    </row>
    <row r="35" spans="1:9">
      <c r="A35" s="2">
        <v>34</v>
      </c>
      <c r="B35" s="2" t="s">
        <v>18</v>
      </c>
      <c r="C35" s="30">
        <v>92703.7</v>
      </c>
      <c r="D35" s="30">
        <v>76814</v>
      </c>
      <c r="E35">
        <v>85279.932432432426</v>
      </c>
      <c r="F35">
        <v>3339</v>
      </c>
      <c r="G35" s="17">
        <f t="shared" ref="G35:G66" si="3">F35/E35%</f>
        <v>3.9153408132042093</v>
      </c>
      <c r="H35" s="30">
        <f t="shared" ref="H35:H66" si="4">C35-D35</f>
        <v>15889.699999999997</v>
      </c>
      <c r="I35" s="17">
        <f t="shared" ref="I35:I66" si="5">H35/D35%</f>
        <v>20.685942666701379</v>
      </c>
    </row>
    <row r="36" spans="1:9">
      <c r="A36" s="2">
        <v>35</v>
      </c>
      <c r="B36" s="2" t="s">
        <v>441</v>
      </c>
      <c r="C36" s="30">
        <v>179272.8</v>
      </c>
      <c r="D36" s="30">
        <v>159249</v>
      </c>
      <c r="E36">
        <v>187503.92567567568</v>
      </c>
      <c r="F36">
        <v>7897</v>
      </c>
      <c r="G36" s="17">
        <f t="shared" si="3"/>
        <v>4.2116451543843345</v>
      </c>
      <c r="H36" s="30">
        <f t="shared" si="4"/>
        <v>20023.799999999988</v>
      </c>
      <c r="I36" s="17">
        <f t="shared" si="5"/>
        <v>12.573893713618288</v>
      </c>
    </row>
    <row r="37" spans="1:9">
      <c r="A37" s="2">
        <v>36</v>
      </c>
      <c r="B37" s="2" t="s">
        <v>674</v>
      </c>
      <c r="C37" s="30">
        <v>200089.5</v>
      </c>
      <c r="D37" s="30">
        <v>217773</v>
      </c>
      <c r="E37">
        <v>236469.52702702704</v>
      </c>
      <c r="F37">
        <v>7156</v>
      </c>
      <c r="G37" s="17">
        <f t="shared" si="3"/>
        <v>3.0261827348189825</v>
      </c>
      <c r="H37" s="30">
        <f t="shared" si="4"/>
        <v>-17683.5</v>
      </c>
      <c r="I37" s="17">
        <f t="shared" si="5"/>
        <v>-8.1201526360017073</v>
      </c>
    </row>
    <row r="38" spans="1:9">
      <c r="A38" s="2">
        <v>37</v>
      </c>
      <c r="B38" s="2" t="s">
        <v>527</v>
      </c>
      <c r="C38" s="30">
        <v>224452.8</v>
      </c>
      <c r="D38" s="30">
        <v>328028</v>
      </c>
      <c r="E38">
        <v>305182.28378378379</v>
      </c>
      <c r="F38">
        <v>955</v>
      </c>
      <c r="G38" s="17">
        <f t="shared" si="3"/>
        <v>0.31292773229149845</v>
      </c>
      <c r="H38" s="30">
        <f t="shared" si="4"/>
        <v>-103575.20000000001</v>
      </c>
      <c r="I38" s="17">
        <f t="shared" si="5"/>
        <v>-31.575109441876915</v>
      </c>
    </row>
    <row r="39" spans="1:9">
      <c r="A39" s="2">
        <v>38</v>
      </c>
      <c r="B39" s="2" t="s">
        <v>19</v>
      </c>
      <c r="C39" s="30">
        <v>67841.8</v>
      </c>
      <c r="D39" s="30">
        <v>56228</v>
      </c>
      <c r="E39">
        <v>106218.26351351352</v>
      </c>
      <c r="F39">
        <v>3395</v>
      </c>
      <c r="G39" s="17">
        <f t="shared" si="3"/>
        <v>3.1962488254838344</v>
      </c>
      <c r="H39" s="30">
        <f t="shared" si="4"/>
        <v>11613.800000000003</v>
      </c>
      <c r="I39" s="17">
        <f t="shared" si="5"/>
        <v>20.654833890588325</v>
      </c>
    </row>
    <row r="40" spans="1:9">
      <c r="A40" s="2">
        <v>39</v>
      </c>
      <c r="B40" s="2" t="s">
        <v>463</v>
      </c>
      <c r="C40" s="30">
        <v>153548.6</v>
      </c>
      <c r="D40" s="30">
        <v>129404</v>
      </c>
      <c r="E40">
        <v>129519.33783783784</v>
      </c>
      <c r="F40">
        <v>395</v>
      </c>
      <c r="G40" s="17">
        <f t="shared" si="3"/>
        <v>0.30497376422241446</v>
      </c>
      <c r="H40" s="30">
        <f t="shared" si="4"/>
        <v>24144.600000000006</v>
      </c>
      <c r="I40" s="17">
        <f t="shared" si="5"/>
        <v>18.658310407715376</v>
      </c>
    </row>
    <row r="41" spans="1:9">
      <c r="A41" s="2">
        <v>40</v>
      </c>
      <c r="B41" s="2" t="s">
        <v>650</v>
      </c>
      <c r="C41" s="30">
        <v>236409.15</v>
      </c>
      <c r="D41" s="30">
        <v>316311</v>
      </c>
      <c r="E41">
        <v>317099.82770270278</v>
      </c>
      <c r="F41">
        <v>2588</v>
      </c>
      <c r="G41" s="17">
        <f t="shared" si="3"/>
        <v>0.81614676953605347</v>
      </c>
      <c r="H41" s="30">
        <f t="shared" si="4"/>
        <v>-79901.850000000006</v>
      </c>
      <c r="I41" s="17">
        <f t="shared" si="5"/>
        <v>-25.260534726898527</v>
      </c>
    </row>
    <row r="42" spans="1:9">
      <c r="A42" s="2">
        <v>41</v>
      </c>
      <c r="B42" s="2" t="s">
        <v>677</v>
      </c>
      <c r="C42" s="30">
        <v>158799.15</v>
      </c>
      <c r="D42" s="30">
        <v>232761</v>
      </c>
      <c r="E42">
        <v>219221.07770270269</v>
      </c>
      <c r="F42">
        <v>4684</v>
      </c>
      <c r="G42" s="17">
        <f t="shared" si="3"/>
        <v>2.1366558585904869</v>
      </c>
      <c r="H42" s="30">
        <f t="shared" si="4"/>
        <v>-73961.850000000006</v>
      </c>
      <c r="I42" s="17">
        <f t="shared" si="5"/>
        <v>-31.775877402142111</v>
      </c>
    </row>
    <row r="43" spans="1:9">
      <c r="A43" s="2">
        <v>42</v>
      </c>
      <c r="B43" s="2" t="s">
        <v>414</v>
      </c>
      <c r="C43" s="30">
        <v>141130</v>
      </c>
      <c r="D43" s="30">
        <v>81414</v>
      </c>
      <c r="E43">
        <v>71125.608108108107</v>
      </c>
      <c r="F43">
        <v>3085</v>
      </c>
      <c r="G43" s="17">
        <f t="shared" si="3"/>
        <v>4.3373970108078685</v>
      </c>
      <c r="H43" s="30">
        <f t="shared" si="4"/>
        <v>59716</v>
      </c>
      <c r="I43" s="17">
        <f t="shared" si="5"/>
        <v>73.348564129019579</v>
      </c>
    </row>
    <row r="44" spans="1:9">
      <c r="A44" s="2">
        <v>43</v>
      </c>
      <c r="B44" s="2" t="s">
        <v>20</v>
      </c>
      <c r="C44" s="30">
        <v>146185</v>
      </c>
      <c r="D44" s="30">
        <v>95738</v>
      </c>
      <c r="E44">
        <v>70350.5945945946</v>
      </c>
      <c r="F44">
        <v>3551</v>
      </c>
      <c r="G44" s="17">
        <f t="shared" si="3"/>
        <v>5.0475763857621212</v>
      </c>
      <c r="H44" s="30">
        <f t="shared" si="4"/>
        <v>50447</v>
      </c>
      <c r="I44" s="17">
        <f t="shared" si="5"/>
        <v>52.692765672982517</v>
      </c>
    </row>
    <row r="45" spans="1:9">
      <c r="A45" s="2">
        <v>44</v>
      </c>
      <c r="B45" s="2" t="s">
        <v>651</v>
      </c>
      <c r="C45" s="30">
        <v>178653.75</v>
      </c>
      <c r="D45" s="30">
        <v>251308</v>
      </c>
      <c r="E45">
        <v>259965.38175675675</v>
      </c>
      <c r="F45">
        <v>3255</v>
      </c>
      <c r="G45" s="17">
        <f t="shared" si="3"/>
        <v>1.2520897890341507</v>
      </c>
      <c r="H45" s="30">
        <f t="shared" si="4"/>
        <v>-72654.25</v>
      </c>
      <c r="I45" s="17">
        <f t="shared" si="5"/>
        <v>-28.910440574912062</v>
      </c>
    </row>
    <row r="46" spans="1:9">
      <c r="A46" s="2">
        <v>45</v>
      </c>
      <c r="B46" s="2" t="s">
        <v>68</v>
      </c>
      <c r="C46" s="30">
        <v>65036.75</v>
      </c>
      <c r="D46" s="30">
        <v>58295</v>
      </c>
      <c r="E46">
        <v>78632.388513513521</v>
      </c>
      <c r="F46">
        <v>-381</v>
      </c>
      <c r="G46" s="17">
        <f t="shared" si="3"/>
        <v>-0.48453316400852109</v>
      </c>
      <c r="H46" s="30">
        <f t="shared" si="4"/>
        <v>6741.75</v>
      </c>
      <c r="I46" s="17">
        <f t="shared" si="5"/>
        <v>11.564885496183205</v>
      </c>
    </row>
    <row r="47" spans="1:9">
      <c r="A47" s="2">
        <v>95</v>
      </c>
      <c r="B47" s="2" t="s">
        <v>1217</v>
      </c>
      <c r="C47" s="30">
        <v>133880</v>
      </c>
      <c r="D47" s="30">
        <v>142416</v>
      </c>
      <c r="E47">
        <v>10103.837837837838</v>
      </c>
      <c r="F47">
        <v>0</v>
      </c>
      <c r="G47" s="17">
        <f t="shared" si="3"/>
        <v>0</v>
      </c>
      <c r="H47" s="30">
        <f t="shared" si="4"/>
        <v>-8536</v>
      </c>
      <c r="I47" s="17">
        <f t="shared" si="5"/>
        <v>-5.9937085720705534</v>
      </c>
    </row>
    <row r="48" spans="1:9">
      <c r="A48" s="2">
        <v>47</v>
      </c>
      <c r="B48" s="2" t="s">
        <v>23</v>
      </c>
      <c r="C48" s="30">
        <v>16780.5</v>
      </c>
      <c r="D48" s="30">
        <v>21341</v>
      </c>
      <c r="E48">
        <v>22248.54054054054</v>
      </c>
      <c r="F48">
        <v>897</v>
      </c>
      <c r="G48" s="17">
        <f t="shared" si="3"/>
        <v>4.0317251298597174</v>
      </c>
      <c r="H48" s="30">
        <f t="shared" si="4"/>
        <v>-4560.5</v>
      </c>
      <c r="I48" s="17">
        <f t="shared" si="5"/>
        <v>-21.3696640269903</v>
      </c>
    </row>
    <row r="49" spans="1:9">
      <c r="A49" s="2">
        <v>49</v>
      </c>
      <c r="B49" s="2" t="s">
        <v>982</v>
      </c>
      <c r="C49" s="30">
        <v>237493.2</v>
      </c>
      <c r="D49" s="30">
        <v>233586</v>
      </c>
      <c r="E49">
        <v>231694.53378378379</v>
      </c>
      <c r="F49">
        <v>18080</v>
      </c>
      <c r="G49" s="17">
        <f t="shared" si="3"/>
        <v>7.8033778806677274</v>
      </c>
      <c r="H49" s="30">
        <f t="shared" si="4"/>
        <v>3907.2000000000116</v>
      </c>
      <c r="I49" s="17">
        <f t="shared" si="5"/>
        <v>1.6727029873365746</v>
      </c>
    </row>
    <row r="50" spans="1:9">
      <c r="A50" s="2">
        <v>50</v>
      </c>
      <c r="B50" s="2" t="s">
        <v>717</v>
      </c>
      <c r="C50" s="30">
        <v>21011.9</v>
      </c>
      <c r="D50" s="30">
        <v>13458</v>
      </c>
      <c r="E50">
        <v>74929.527027027027</v>
      </c>
      <c r="F50">
        <v>36418</v>
      </c>
      <c r="G50" s="17">
        <f t="shared" si="3"/>
        <v>48.603002641220534</v>
      </c>
      <c r="H50" s="30">
        <f t="shared" si="4"/>
        <v>7553.9000000000015</v>
      </c>
      <c r="I50" s="17">
        <f t="shared" si="5"/>
        <v>56.129439738445541</v>
      </c>
    </row>
    <row r="51" spans="1:9">
      <c r="A51" s="2">
        <v>51</v>
      </c>
      <c r="B51" s="2" t="s">
        <v>894</v>
      </c>
      <c r="C51" s="30">
        <v>344875</v>
      </c>
      <c r="D51" s="30">
        <v>460916</v>
      </c>
      <c r="E51">
        <v>419345.03716216219</v>
      </c>
      <c r="F51">
        <v>7065</v>
      </c>
      <c r="G51" s="17">
        <f t="shared" si="3"/>
        <v>1.6847701472303198</v>
      </c>
      <c r="H51" s="30">
        <f t="shared" si="4"/>
        <v>-116041</v>
      </c>
      <c r="I51" s="17">
        <f t="shared" si="5"/>
        <v>-25.176170929193173</v>
      </c>
    </row>
    <row r="52" spans="1:9">
      <c r="A52" s="2">
        <v>52</v>
      </c>
      <c r="B52" s="2" t="s">
        <v>746</v>
      </c>
      <c r="C52" s="30">
        <v>296833.2</v>
      </c>
      <c r="D52" s="30">
        <v>438053</v>
      </c>
      <c r="E52">
        <v>330739.48648648645</v>
      </c>
      <c r="F52">
        <v>4544</v>
      </c>
      <c r="G52" s="17">
        <f t="shared" si="3"/>
        <v>1.3738909884247104</v>
      </c>
      <c r="H52" s="30">
        <f t="shared" si="4"/>
        <v>-141219.79999999999</v>
      </c>
      <c r="I52" s="17">
        <f t="shared" si="5"/>
        <v>-32.238062517549245</v>
      </c>
    </row>
    <row r="53" spans="1:9">
      <c r="A53" s="2">
        <v>53</v>
      </c>
      <c r="B53" s="2" t="s">
        <v>25</v>
      </c>
      <c r="C53" s="30">
        <v>55197.3</v>
      </c>
      <c r="D53" s="30">
        <v>60445</v>
      </c>
      <c r="E53">
        <v>116565.17567567568</v>
      </c>
      <c r="F53">
        <v>13132</v>
      </c>
      <c r="G53" s="17">
        <f t="shared" si="3"/>
        <v>11.265800376381476</v>
      </c>
      <c r="H53" s="30">
        <f t="shared" si="4"/>
        <v>-5247.6999999999971</v>
      </c>
      <c r="I53" s="17">
        <f t="shared" si="5"/>
        <v>-8.6817768219042044</v>
      </c>
    </row>
    <row r="54" spans="1:9">
      <c r="A54" s="2">
        <v>54</v>
      </c>
      <c r="B54" s="2" t="s">
        <v>812</v>
      </c>
      <c r="C54" s="30">
        <v>150037.20000000001</v>
      </c>
      <c r="D54" s="30">
        <v>160242</v>
      </c>
      <c r="E54">
        <v>180970.59459459459</v>
      </c>
      <c r="F54">
        <v>5351</v>
      </c>
      <c r="G54" s="17">
        <f t="shared" si="3"/>
        <v>2.9568339607808469</v>
      </c>
      <c r="H54" s="30">
        <f t="shared" si="4"/>
        <v>-10204.799999999988</v>
      </c>
      <c r="I54" s="17">
        <f t="shared" si="5"/>
        <v>-6.3683678436364923</v>
      </c>
    </row>
    <row r="55" spans="1:9">
      <c r="A55" s="2">
        <v>55</v>
      </c>
      <c r="B55" s="2" t="s">
        <v>252</v>
      </c>
      <c r="C55" s="30">
        <v>47813.4</v>
      </c>
      <c r="D55" s="30">
        <v>19341</v>
      </c>
      <c r="E55">
        <v>22420.236486486487</v>
      </c>
      <c r="F55">
        <v>2891</v>
      </c>
      <c r="G55" s="17">
        <f t="shared" si="3"/>
        <v>12.894600829667937</v>
      </c>
      <c r="H55" s="30">
        <f t="shared" si="4"/>
        <v>28472.400000000001</v>
      </c>
      <c r="I55" s="17">
        <f t="shared" si="5"/>
        <v>147.21265704979061</v>
      </c>
    </row>
    <row r="56" spans="1:9">
      <c r="A56" s="2">
        <v>56</v>
      </c>
      <c r="B56" s="2" t="s">
        <v>26</v>
      </c>
      <c r="C56" s="30">
        <v>149386.20000000001</v>
      </c>
      <c r="D56" s="30">
        <v>202474</v>
      </c>
      <c r="E56">
        <v>283088.14189189189</v>
      </c>
      <c r="F56">
        <v>6778</v>
      </c>
      <c r="G56" s="17">
        <f t="shared" si="3"/>
        <v>2.3943072834850287</v>
      </c>
      <c r="H56" s="30">
        <f t="shared" si="4"/>
        <v>-53087.799999999988</v>
      </c>
      <c r="I56" s="17">
        <f t="shared" si="5"/>
        <v>-26.219563993401618</v>
      </c>
    </row>
    <row r="57" spans="1:9">
      <c r="A57" s="2">
        <v>57</v>
      </c>
      <c r="B57" s="2" t="s">
        <v>727</v>
      </c>
      <c r="C57" s="30">
        <v>247123.8</v>
      </c>
      <c r="D57" s="30">
        <v>240416</v>
      </c>
      <c r="E57">
        <v>249047.12162162163</v>
      </c>
      <c r="F57">
        <v>13227</v>
      </c>
      <c r="G57" s="17">
        <f t="shared" si="3"/>
        <v>5.3110431125945068</v>
      </c>
      <c r="H57" s="30">
        <f t="shared" si="4"/>
        <v>6707.7999999999884</v>
      </c>
      <c r="I57" s="17">
        <f t="shared" si="5"/>
        <v>2.7900805270863791</v>
      </c>
    </row>
    <row r="58" spans="1:9">
      <c r="A58" s="2">
        <v>58</v>
      </c>
      <c r="B58" s="2" t="s">
        <v>893</v>
      </c>
      <c r="C58" s="30">
        <v>151806.6</v>
      </c>
      <c r="D58" s="30">
        <v>249562</v>
      </c>
      <c r="E58">
        <v>255082.88513513515</v>
      </c>
      <c r="F58">
        <v>-8901</v>
      </c>
      <c r="G58" s="17">
        <f t="shared" si="3"/>
        <v>-3.4894540240457608</v>
      </c>
      <c r="H58" s="30">
        <f t="shared" si="4"/>
        <v>-97755.4</v>
      </c>
      <c r="I58" s="17">
        <f t="shared" si="5"/>
        <v>-39.170787219208052</v>
      </c>
    </row>
    <row r="59" spans="1:9">
      <c r="A59" s="2">
        <v>59</v>
      </c>
      <c r="B59" s="2" t="s">
        <v>842</v>
      </c>
      <c r="C59" s="30">
        <v>63690.1</v>
      </c>
      <c r="D59" s="30">
        <v>51558</v>
      </c>
      <c r="E59">
        <v>72759.841216216213</v>
      </c>
      <c r="F59">
        <v>78218</v>
      </c>
      <c r="G59" s="17">
        <f t="shared" si="3"/>
        <v>107.50160898175147</v>
      </c>
      <c r="H59" s="30">
        <f t="shared" si="4"/>
        <v>12132.099999999999</v>
      </c>
      <c r="I59" s="17">
        <f t="shared" si="5"/>
        <v>23.530974824469524</v>
      </c>
    </row>
    <row r="60" spans="1:9">
      <c r="A60" s="2">
        <v>60</v>
      </c>
      <c r="B60" s="2" t="s">
        <v>27</v>
      </c>
      <c r="C60" s="30">
        <v>118332.5</v>
      </c>
      <c r="D60" s="30">
        <v>141505</v>
      </c>
      <c r="E60">
        <v>135431.04054054056</v>
      </c>
      <c r="F60">
        <v>6308</v>
      </c>
      <c r="G60" s="17">
        <f t="shared" si="3"/>
        <v>4.6577209883518051</v>
      </c>
      <c r="H60" s="30">
        <f t="shared" si="4"/>
        <v>-23172.5</v>
      </c>
      <c r="I60" s="17">
        <f t="shared" si="5"/>
        <v>-16.375746440055121</v>
      </c>
    </row>
    <row r="61" spans="1:9">
      <c r="A61" s="2">
        <v>61</v>
      </c>
      <c r="B61" s="2" t="s">
        <v>545</v>
      </c>
      <c r="C61" s="30">
        <v>273318.3</v>
      </c>
      <c r="D61" s="30">
        <v>212076</v>
      </c>
      <c r="E61">
        <v>204380.36486486488</v>
      </c>
      <c r="F61">
        <v>10615</v>
      </c>
      <c r="G61" s="17">
        <f t="shared" si="3"/>
        <v>5.1937474556416303</v>
      </c>
      <c r="H61" s="30">
        <f t="shared" si="4"/>
        <v>61242.299999999988</v>
      </c>
      <c r="I61" s="17">
        <f t="shared" si="5"/>
        <v>28.877525038193845</v>
      </c>
    </row>
    <row r="62" spans="1:9">
      <c r="A62" s="2">
        <v>62</v>
      </c>
      <c r="B62" s="2" t="s">
        <v>594</v>
      </c>
      <c r="C62" s="30">
        <v>52709.4</v>
      </c>
      <c r="D62" s="30">
        <v>65806</v>
      </c>
      <c r="E62">
        <v>41098.479729729726</v>
      </c>
      <c r="F62">
        <v>0</v>
      </c>
      <c r="G62" s="17">
        <f t="shared" si="3"/>
        <v>0</v>
      </c>
      <c r="H62" s="30">
        <f t="shared" si="4"/>
        <v>-13096.599999999999</v>
      </c>
      <c r="I62" s="17">
        <f t="shared" si="5"/>
        <v>-19.9018326596359</v>
      </c>
    </row>
    <row r="63" spans="1:9">
      <c r="A63" s="2">
        <v>63</v>
      </c>
      <c r="B63" s="2" t="s">
        <v>723</v>
      </c>
      <c r="C63" s="30">
        <v>209637.4</v>
      </c>
      <c r="D63" s="30">
        <v>296013</v>
      </c>
      <c r="E63">
        <v>305540.61486486485</v>
      </c>
      <c r="F63">
        <v>1602</v>
      </c>
      <c r="G63" s="17">
        <f t="shared" si="3"/>
        <v>0.52431654649531156</v>
      </c>
      <c r="H63" s="30">
        <f t="shared" si="4"/>
        <v>-86375.6</v>
      </c>
      <c r="I63" s="17">
        <f t="shared" si="5"/>
        <v>-29.179664406630792</v>
      </c>
    </row>
    <row r="64" spans="1:9">
      <c r="A64" s="2">
        <v>64</v>
      </c>
      <c r="B64" s="2" t="s">
        <v>931</v>
      </c>
      <c r="C64" s="30">
        <v>161777.4</v>
      </c>
      <c r="D64" s="30">
        <v>168803</v>
      </c>
      <c r="E64">
        <v>140316.26689189189</v>
      </c>
      <c r="F64">
        <v>8753</v>
      </c>
      <c r="G64" s="17">
        <f t="shared" si="3"/>
        <v>6.2380507933152467</v>
      </c>
      <c r="H64" s="30">
        <f t="shared" si="4"/>
        <v>-7025.6000000000058</v>
      </c>
      <c r="I64" s="17">
        <f t="shared" si="5"/>
        <v>-4.1620113386610464</v>
      </c>
    </row>
    <row r="65" spans="1:9">
      <c r="A65" s="2">
        <v>95</v>
      </c>
      <c r="B65" s="2" t="s">
        <v>1147</v>
      </c>
      <c r="C65" s="30">
        <v>0</v>
      </c>
      <c r="D65" s="30">
        <v>0</v>
      </c>
      <c r="E65">
        <v>0</v>
      </c>
      <c r="F65">
        <v>0</v>
      </c>
      <c r="G65" s="17" t="e">
        <f t="shared" si="3"/>
        <v>#DIV/0!</v>
      </c>
      <c r="H65" s="30">
        <f t="shared" si="4"/>
        <v>0</v>
      </c>
      <c r="I65" s="17" t="e">
        <f t="shared" si="5"/>
        <v>#DIV/0!</v>
      </c>
    </row>
    <row r="66" spans="1:9">
      <c r="A66" s="2">
        <v>66</v>
      </c>
      <c r="B66" s="2" t="s">
        <v>469</v>
      </c>
      <c r="C66" s="30">
        <v>114931.15</v>
      </c>
      <c r="D66" s="30">
        <v>127915</v>
      </c>
      <c r="E66">
        <v>143063.07432432432</v>
      </c>
      <c r="F66">
        <v>-277</v>
      </c>
      <c r="G66" s="17">
        <f t="shared" si="3"/>
        <v>-0.19362089156006837</v>
      </c>
      <c r="H66" s="30">
        <f t="shared" si="4"/>
        <v>-12983.850000000006</v>
      </c>
      <c r="I66" s="17">
        <f t="shared" si="5"/>
        <v>-10.150373294766059</v>
      </c>
    </row>
    <row r="67" spans="1:9">
      <c r="A67" s="2">
        <v>67</v>
      </c>
      <c r="B67" s="2" t="s">
        <v>936</v>
      </c>
      <c r="C67" s="30">
        <v>257070</v>
      </c>
      <c r="D67" s="30">
        <v>316232</v>
      </c>
      <c r="E67">
        <v>221377.08783783784</v>
      </c>
      <c r="F67">
        <v>1055</v>
      </c>
      <c r="G67" s="17">
        <f t="shared" ref="G67:G96" si="6">F67/E67%</f>
        <v>0.47656241678127231</v>
      </c>
      <c r="H67" s="30">
        <f t="shared" ref="H67:H96" si="7">C67-D67</f>
        <v>-59162</v>
      </c>
      <c r="I67" s="17">
        <f t="shared" ref="I67:I96" si="8">H67/D67%</f>
        <v>-18.708416605530115</v>
      </c>
    </row>
    <row r="68" spans="1:9">
      <c r="A68" s="2">
        <v>68</v>
      </c>
      <c r="B68" s="2" t="s">
        <v>881</v>
      </c>
      <c r="C68" s="30">
        <v>199649</v>
      </c>
      <c r="D68" s="30">
        <v>361050</v>
      </c>
      <c r="E68">
        <v>302921.23648648651</v>
      </c>
      <c r="F68">
        <v>1926</v>
      </c>
      <c r="G68" s="17">
        <f t="shared" si="6"/>
        <v>0.63580884005995408</v>
      </c>
      <c r="H68" s="30">
        <f t="shared" si="7"/>
        <v>-161401</v>
      </c>
      <c r="I68" s="17">
        <f t="shared" si="8"/>
        <v>-44.703226699903063</v>
      </c>
    </row>
    <row r="69" spans="1:9">
      <c r="A69" s="2">
        <v>69</v>
      </c>
      <c r="B69" s="2" t="s">
        <v>29</v>
      </c>
      <c r="C69" s="30">
        <v>270556.2</v>
      </c>
      <c r="D69" s="30">
        <v>210475</v>
      </c>
      <c r="E69">
        <v>183322.78040540541</v>
      </c>
      <c r="F69">
        <v>4357</v>
      </c>
      <c r="G69" s="17">
        <f t="shared" si="6"/>
        <v>2.3766822597632449</v>
      </c>
      <c r="H69" s="30">
        <f t="shared" si="7"/>
        <v>60081.200000000012</v>
      </c>
      <c r="I69" s="17">
        <f t="shared" si="8"/>
        <v>28.545527972443288</v>
      </c>
    </row>
    <row r="70" spans="1:9">
      <c r="A70" s="2">
        <v>70</v>
      </c>
      <c r="B70" s="2" t="s">
        <v>30</v>
      </c>
      <c r="C70" s="30">
        <v>28755</v>
      </c>
      <c r="D70" s="30">
        <v>22086</v>
      </c>
      <c r="E70">
        <v>23153.202702702703</v>
      </c>
      <c r="F70">
        <v>844</v>
      </c>
      <c r="G70" s="17">
        <f t="shared" si="6"/>
        <v>3.6452840276022758</v>
      </c>
      <c r="H70" s="30">
        <f t="shared" si="7"/>
        <v>6669</v>
      </c>
      <c r="I70" s="17">
        <f t="shared" si="8"/>
        <v>30.195599022004888</v>
      </c>
    </row>
    <row r="71" spans="1:9">
      <c r="A71" s="2">
        <v>71</v>
      </c>
      <c r="B71" s="2" t="s">
        <v>485</v>
      </c>
      <c r="C71" s="30">
        <v>37291.800000000003</v>
      </c>
      <c r="D71" s="30">
        <v>25179</v>
      </c>
      <c r="E71">
        <v>31059.06081081081</v>
      </c>
      <c r="F71">
        <v>5820</v>
      </c>
      <c r="G71" s="17">
        <f t="shared" si="6"/>
        <v>18.738493206382522</v>
      </c>
      <c r="H71" s="30">
        <f t="shared" si="7"/>
        <v>12112.800000000003</v>
      </c>
      <c r="I71" s="17">
        <f t="shared" si="8"/>
        <v>48.10675562969142</v>
      </c>
    </row>
    <row r="72" spans="1:9">
      <c r="A72" s="2">
        <v>72</v>
      </c>
      <c r="B72" s="2" t="s">
        <v>31</v>
      </c>
      <c r="C72" s="30">
        <v>22912.5</v>
      </c>
      <c r="D72" s="30">
        <v>18870</v>
      </c>
      <c r="E72">
        <v>45281.62837837838</v>
      </c>
      <c r="F72">
        <v>8952</v>
      </c>
      <c r="G72" s="17">
        <f t="shared" si="6"/>
        <v>19.769607058288809</v>
      </c>
      <c r="H72" s="30">
        <f t="shared" si="7"/>
        <v>4042.5</v>
      </c>
      <c r="I72" s="17">
        <f t="shared" si="8"/>
        <v>21.422893481717011</v>
      </c>
    </row>
    <row r="73" spans="1:9">
      <c r="A73" s="2">
        <v>73</v>
      </c>
      <c r="B73" s="2" t="s">
        <v>627</v>
      </c>
      <c r="C73" s="30">
        <v>209830.5</v>
      </c>
      <c r="D73" s="30">
        <v>196305</v>
      </c>
      <c r="E73">
        <v>161150.34797297296</v>
      </c>
      <c r="F73">
        <v>13800</v>
      </c>
      <c r="G73" s="17">
        <f t="shared" si="6"/>
        <v>8.5634317105628845</v>
      </c>
      <c r="H73" s="30">
        <f t="shared" si="7"/>
        <v>13525.5</v>
      </c>
      <c r="I73" s="17">
        <f t="shared" si="8"/>
        <v>6.8900435546725758</v>
      </c>
    </row>
    <row r="74" spans="1:9">
      <c r="A74" s="2">
        <v>74</v>
      </c>
      <c r="B74" s="2" t="s">
        <v>522</v>
      </c>
      <c r="C74" s="30">
        <v>80132.25</v>
      </c>
      <c r="D74" s="30">
        <v>82036</v>
      </c>
      <c r="E74">
        <v>129580.99999999996</v>
      </c>
      <c r="F74">
        <v>19426</v>
      </c>
      <c r="G74" s="17">
        <f t="shared" si="6"/>
        <v>14.991395343453135</v>
      </c>
      <c r="H74" s="30">
        <f t="shared" si="7"/>
        <v>-1903.75</v>
      </c>
      <c r="I74" s="17">
        <f t="shared" si="8"/>
        <v>-2.3206275293773464</v>
      </c>
    </row>
    <row r="75" spans="1:9">
      <c r="A75" s="2">
        <v>95</v>
      </c>
      <c r="B75" s="2" t="s">
        <v>1183</v>
      </c>
      <c r="C75" s="30">
        <v>83504</v>
      </c>
      <c r="D75" s="30">
        <v>75120</v>
      </c>
      <c r="E75">
        <v>15146.662162162162</v>
      </c>
      <c r="F75">
        <v>673</v>
      </c>
      <c r="G75" s="17">
        <f t="shared" si="6"/>
        <v>4.4432231523669925</v>
      </c>
      <c r="H75" s="30">
        <f t="shared" si="7"/>
        <v>8384</v>
      </c>
      <c r="I75" s="17">
        <f t="shared" si="8"/>
        <v>11.160809371671991</v>
      </c>
    </row>
    <row r="76" spans="1:9">
      <c r="A76" s="2">
        <v>75</v>
      </c>
      <c r="B76" s="2" t="s">
        <v>539</v>
      </c>
      <c r="C76" s="30">
        <v>161442.95000000001</v>
      </c>
      <c r="D76" s="30">
        <v>182982</v>
      </c>
      <c r="E76">
        <v>175555.33108108109</v>
      </c>
      <c r="F76">
        <v>2430</v>
      </c>
      <c r="G76" s="17">
        <f t="shared" si="6"/>
        <v>1.3841789850731976</v>
      </c>
      <c r="H76" s="30">
        <f t="shared" si="7"/>
        <v>-21539.049999999988</v>
      </c>
      <c r="I76" s="17">
        <f t="shared" si="8"/>
        <v>-11.771130493709759</v>
      </c>
    </row>
    <row r="77" spans="1:9">
      <c r="A77" s="2">
        <v>76</v>
      </c>
      <c r="B77" s="2" t="s">
        <v>610</v>
      </c>
      <c r="C77" s="30">
        <v>352016</v>
      </c>
      <c r="D77" s="30">
        <v>304228</v>
      </c>
      <c r="E77">
        <v>341793.87162162166</v>
      </c>
      <c r="F77">
        <v>1370</v>
      </c>
      <c r="G77" s="17">
        <f t="shared" si="6"/>
        <v>0.40082637921508441</v>
      </c>
      <c r="H77" s="30">
        <f t="shared" si="7"/>
        <v>47788</v>
      </c>
      <c r="I77" s="17">
        <f t="shared" si="8"/>
        <v>15.707955875198863</v>
      </c>
    </row>
    <row r="78" spans="1:9">
      <c r="A78" s="2">
        <v>77</v>
      </c>
      <c r="B78" s="2" t="s">
        <v>33</v>
      </c>
      <c r="C78" s="30">
        <v>15002.5</v>
      </c>
      <c r="D78" s="30">
        <v>7960</v>
      </c>
      <c r="E78">
        <v>7960</v>
      </c>
      <c r="F78">
        <v>0</v>
      </c>
      <c r="G78" s="17">
        <f t="shared" si="6"/>
        <v>0</v>
      </c>
      <c r="H78" s="30">
        <f t="shared" si="7"/>
        <v>7042.5</v>
      </c>
      <c r="I78" s="17">
        <f t="shared" si="8"/>
        <v>88.473618090452263</v>
      </c>
    </row>
    <row r="79" spans="1:9">
      <c r="A79" s="2">
        <v>78</v>
      </c>
      <c r="B79" s="2" t="s">
        <v>34</v>
      </c>
      <c r="C79" s="30">
        <v>21152</v>
      </c>
      <c r="D79" s="30">
        <v>18011</v>
      </c>
      <c r="E79">
        <v>23756.93581081081</v>
      </c>
      <c r="F79">
        <v>7296</v>
      </c>
      <c r="G79" s="17">
        <f t="shared" si="6"/>
        <v>30.711031330395265</v>
      </c>
      <c r="H79" s="30">
        <f t="shared" si="7"/>
        <v>3141</v>
      </c>
      <c r="I79" s="17">
        <f t="shared" si="8"/>
        <v>17.439342623952029</v>
      </c>
    </row>
    <row r="80" spans="1:9">
      <c r="A80" s="2">
        <v>79</v>
      </c>
      <c r="B80" s="2" t="s">
        <v>697</v>
      </c>
      <c r="C80" s="30">
        <v>131951.5</v>
      </c>
      <c r="D80" s="30">
        <v>112501</v>
      </c>
      <c r="E80">
        <v>84343.24324324324</v>
      </c>
      <c r="F80">
        <v>370</v>
      </c>
      <c r="G80" s="17">
        <f t="shared" si="6"/>
        <v>0.43868362867305416</v>
      </c>
      <c r="H80" s="30">
        <f t="shared" si="7"/>
        <v>19450.5</v>
      </c>
      <c r="I80" s="17">
        <f t="shared" si="8"/>
        <v>17.289179651736429</v>
      </c>
    </row>
    <row r="81" spans="1:9">
      <c r="A81" s="2">
        <v>96</v>
      </c>
      <c r="B81" s="2" t="s">
        <v>1084</v>
      </c>
      <c r="C81" s="30">
        <v>193490</v>
      </c>
      <c r="D81" s="30">
        <v>221366</v>
      </c>
      <c r="E81">
        <v>110396.35472972973</v>
      </c>
      <c r="F81">
        <v>460</v>
      </c>
      <c r="G81" s="17">
        <f t="shared" si="6"/>
        <v>0.41668042493446755</v>
      </c>
      <c r="H81" s="30">
        <f t="shared" si="7"/>
        <v>-27876</v>
      </c>
      <c r="I81" s="17">
        <f t="shared" si="8"/>
        <v>-12.592719749193645</v>
      </c>
    </row>
    <row r="82" spans="1:9">
      <c r="A82" s="2">
        <v>80</v>
      </c>
      <c r="B82" s="2" t="s">
        <v>566</v>
      </c>
      <c r="C82" s="30">
        <v>79837.7</v>
      </c>
      <c r="D82" s="30">
        <v>82449</v>
      </c>
      <c r="E82">
        <v>70480.584459459438</v>
      </c>
      <c r="F82">
        <v>7054</v>
      </c>
      <c r="G82" s="17">
        <f t="shared" si="6"/>
        <v>10.008430057865757</v>
      </c>
      <c r="H82" s="30">
        <f t="shared" si="7"/>
        <v>-2611.3000000000029</v>
      </c>
      <c r="I82" s="17">
        <f t="shared" si="8"/>
        <v>-3.1671700081262393</v>
      </c>
    </row>
    <row r="83" spans="1:9">
      <c r="A83" s="2">
        <v>81</v>
      </c>
      <c r="B83" s="2" t="s">
        <v>645</v>
      </c>
      <c r="C83" s="30">
        <v>103721.1</v>
      </c>
      <c r="D83" s="30">
        <v>95919</v>
      </c>
      <c r="E83">
        <v>109286.39189189189</v>
      </c>
      <c r="F83">
        <v>10815</v>
      </c>
      <c r="G83" s="17">
        <f t="shared" si="6"/>
        <v>9.8960170729201096</v>
      </c>
      <c r="H83" s="30">
        <f t="shared" si="7"/>
        <v>7802.1000000000058</v>
      </c>
      <c r="I83" s="17">
        <f t="shared" si="8"/>
        <v>8.1340506051981407</v>
      </c>
    </row>
    <row r="84" spans="1:9">
      <c r="A84" s="2">
        <v>82</v>
      </c>
      <c r="B84" s="2" t="s">
        <v>623</v>
      </c>
      <c r="C84" s="30">
        <v>53971.5</v>
      </c>
      <c r="D84" s="30">
        <v>51248</v>
      </c>
      <c r="E84">
        <v>96214.570945945932</v>
      </c>
      <c r="F84">
        <v>8308</v>
      </c>
      <c r="G84" s="17">
        <f t="shared" si="6"/>
        <v>8.6348667549195817</v>
      </c>
      <c r="H84" s="30">
        <f t="shared" si="7"/>
        <v>2723.5</v>
      </c>
      <c r="I84" s="17">
        <f t="shared" si="8"/>
        <v>5.3143537308773023</v>
      </c>
    </row>
    <row r="85" spans="1:9">
      <c r="A85" s="2">
        <v>83</v>
      </c>
      <c r="B85" s="2" t="s">
        <v>966</v>
      </c>
      <c r="C85" s="30">
        <v>149307.6</v>
      </c>
      <c r="D85" s="30">
        <v>224740</v>
      </c>
      <c r="E85">
        <v>206408.75675675675</v>
      </c>
      <c r="F85">
        <v>216</v>
      </c>
      <c r="G85" s="17">
        <f t="shared" si="6"/>
        <v>0.1046467230334351</v>
      </c>
      <c r="H85" s="30">
        <f t="shared" si="7"/>
        <v>-75432.399999999994</v>
      </c>
      <c r="I85" s="17">
        <f t="shared" si="8"/>
        <v>-33.564296520423596</v>
      </c>
    </row>
    <row r="86" spans="1:9">
      <c r="A86" s="2">
        <v>84</v>
      </c>
      <c r="B86" s="2" t="s">
        <v>925</v>
      </c>
      <c r="C86" s="30">
        <v>159059.75</v>
      </c>
      <c r="D86" s="30">
        <v>163431</v>
      </c>
      <c r="E86">
        <v>121447.46621621621</v>
      </c>
      <c r="F86">
        <v>6017</v>
      </c>
      <c r="G86" s="17">
        <f t="shared" si="6"/>
        <v>4.9544055446062352</v>
      </c>
      <c r="H86" s="30">
        <f t="shared" si="7"/>
        <v>-4371.25</v>
      </c>
      <c r="I86" s="17">
        <f t="shared" si="8"/>
        <v>-2.6746761630290461</v>
      </c>
    </row>
    <row r="87" spans="1:9">
      <c r="A87" s="2">
        <v>85</v>
      </c>
      <c r="B87" s="2" t="s">
        <v>218</v>
      </c>
      <c r="C87" s="30">
        <v>99876</v>
      </c>
      <c r="D87" s="30">
        <v>38048</v>
      </c>
      <c r="E87">
        <v>61018.199324324327</v>
      </c>
      <c r="F87">
        <v>7438</v>
      </c>
      <c r="G87" s="17">
        <f t="shared" si="6"/>
        <v>12.189805799521377</v>
      </c>
      <c r="H87" s="30">
        <f t="shared" si="7"/>
        <v>61828</v>
      </c>
      <c r="I87" s="17">
        <f t="shared" si="8"/>
        <v>162.5</v>
      </c>
    </row>
    <row r="88" spans="1:9">
      <c r="A88" s="2">
        <v>86</v>
      </c>
      <c r="B88" s="2" t="s">
        <v>751</v>
      </c>
      <c r="C88" s="30">
        <v>378112</v>
      </c>
      <c r="D88" s="30">
        <v>345474</v>
      </c>
      <c r="E88">
        <v>277310.96959459467</v>
      </c>
      <c r="F88">
        <v>19434</v>
      </c>
      <c r="G88" s="17">
        <f t="shared" si="6"/>
        <v>7.0080170389259662</v>
      </c>
      <c r="H88" s="30">
        <f t="shared" si="7"/>
        <v>32638</v>
      </c>
      <c r="I88" s="17">
        <f t="shared" si="8"/>
        <v>9.4473100725380217</v>
      </c>
    </row>
    <row r="89" spans="1:9">
      <c r="A89" s="2">
        <v>88</v>
      </c>
      <c r="B89" s="2" t="s">
        <v>230</v>
      </c>
      <c r="C89" s="30">
        <v>528777.5</v>
      </c>
      <c r="D89" s="30">
        <v>238327</v>
      </c>
      <c r="E89">
        <v>196689.56756756757</v>
      </c>
      <c r="F89">
        <v>10695</v>
      </c>
      <c r="G89" s="17">
        <f t="shared" si="6"/>
        <v>5.4375024218435035</v>
      </c>
      <c r="H89" s="30">
        <f t="shared" si="7"/>
        <v>290450.5</v>
      </c>
      <c r="I89" s="17">
        <f t="shared" si="8"/>
        <v>121.87058117628301</v>
      </c>
    </row>
    <row r="90" spans="1:9">
      <c r="A90" s="2">
        <v>89</v>
      </c>
      <c r="B90" s="2" t="s">
        <v>37</v>
      </c>
      <c r="C90" s="30">
        <v>123024</v>
      </c>
      <c r="D90" s="30">
        <v>172394</v>
      </c>
      <c r="E90">
        <v>167278.10810810811</v>
      </c>
      <c r="F90">
        <v>1171</v>
      </c>
      <c r="G90" s="17">
        <f t="shared" si="6"/>
        <v>0.7000318291758828</v>
      </c>
      <c r="H90" s="30">
        <f t="shared" si="7"/>
        <v>-49370</v>
      </c>
      <c r="I90" s="17">
        <f t="shared" si="8"/>
        <v>-28.637887629499865</v>
      </c>
    </row>
    <row r="91" spans="1:9">
      <c r="A91" s="2">
        <v>91</v>
      </c>
      <c r="B91" s="2" t="s">
        <v>39</v>
      </c>
      <c r="C91" s="30">
        <v>20837.5</v>
      </c>
      <c r="D91" s="30">
        <v>10321</v>
      </c>
      <c r="E91">
        <v>11397.111486486487</v>
      </c>
      <c r="F91">
        <v>2188</v>
      </c>
      <c r="G91" s="17">
        <f t="shared" si="6"/>
        <v>19.197846775424662</v>
      </c>
      <c r="H91" s="30">
        <f t="shared" si="7"/>
        <v>10516.5</v>
      </c>
      <c r="I91" s="17">
        <f t="shared" si="8"/>
        <v>101.89419629880827</v>
      </c>
    </row>
    <row r="92" spans="1:9">
      <c r="A92" s="2">
        <v>92</v>
      </c>
      <c r="B92" s="2" t="s">
        <v>470</v>
      </c>
      <c r="C92" s="30">
        <v>32074.400000000001</v>
      </c>
      <c r="D92" s="30">
        <v>19799</v>
      </c>
      <c r="E92">
        <v>26308.307432432433</v>
      </c>
      <c r="F92">
        <v>5532</v>
      </c>
      <c r="G92" s="17">
        <f t="shared" si="6"/>
        <v>21.02757850997379</v>
      </c>
      <c r="H92" s="30">
        <f t="shared" si="7"/>
        <v>12275.400000000001</v>
      </c>
      <c r="I92" s="17">
        <f t="shared" si="8"/>
        <v>62.000101015202794</v>
      </c>
    </row>
    <row r="93" spans="1:9">
      <c r="A93" s="2">
        <v>94</v>
      </c>
      <c r="B93" s="2" t="s">
        <v>749</v>
      </c>
      <c r="C93" s="30">
        <v>147421.4</v>
      </c>
      <c r="D93" s="30">
        <v>236811</v>
      </c>
      <c r="E93">
        <v>274412.03378378379</v>
      </c>
      <c r="F93">
        <v>1968</v>
      </c>
      <c r="G93" s="17">
        <f t="shared" si="6"/>
        <v>0.71716971477666225</v>
      </c>
      <c r="H93" s="30">
        <f t="shared" si="7"/>
        <v>-89389.6</v>
      </c>
      <c r="I93" s="17">
        <f t="shared" si="8"/>
        <v>-37.747233025492903</v>
      </c>
    </row>
    <row r="94" spans="1:9">
      <c r="A94" s="2">
        <v>95</v>
      </c>
      <c r="B94" s="2" t="s">
        <v>823</v>
      </c>
      <c r="C94" s="30">
        <v>72068.25</v>
      </c>
      <c r="D94" s="30">
        <v>85593</v>
      </c>
      <c r="E94">
        <v>186569.07432432429</v>
      </c>
      <c r="F94">
        <v>-5049</v>
      </c>
      <c r="G94" s="17">
        <f t="shared" si="6"/>
        <v>-2.7062362925288563</v>
      </c>
      <c r="H94" s="30">
        <f t="shared" si="7"/>
        <v>-13524.75</v>
      </c>
      <c r="I94" s="17">
        <f t="shared" si="8"/>
        <v>-15.801233745750238</v>
      </c>
    </row>
    <row r="95" spans="1:9">
      <c r="A95" s="2">
        <v>8</v>
      </c>
      <c r="B95" s="2" t="s">
        <v>9</v>
      </c>
      <c r="C95" s="30">
        <v>38813.550000000003</v>
      </c>
      <c r="D95" s="30">
        <v>39860</v>
      </c>
      <c r="E95">
        <v>39030.779816513765</v>
      </c>
      <c r="F95">
        <v>2609</v>
      </c>
      <c r="G95" s="17">
        <f t="shared" si="6"/>
        <v>6.6844680333446549</v>
      </c>
      <c r="H95" s="30">
        <f t="shared" si="7"/>
        <v>-1046.4499999999971</v>
      </c>
      <c r="I95" s="17">
        <f t="shared" si="8"/>
        <v>-2.6253135975915631</v>
      </c>
    </row>
    <row r="96" spans="1:9">
      <c r="A96" s="2">
        <v>62</v>
      </c>
      <c r="B96" s="2" t="s">
        <v>594</v>
      </c>
      <c r="C96" s="30">
        <v>14253.1</v>
      </c>
      <c r="D96" s="30">
        <v>36116</v>
      </c>
      <c r="E96">
        <v>36116</v>
      </c>
      <c r="F96">
        <v>0</v>
      </c>
      <c r="G96" s="17">
        <f t="shared" si="6"/>
        <v>0</v>
      </c>
      <c r="H96" s="30">
        <f t="shared" si="7"/>
        <v>-21862.9</v>
      </c>
      <c r="I96" s="17">
        <f t="shared" si="8"/>
        <v>-60.535219847159155</v>
      </c>
    </row>
    <row r="97" spans="1:9">
      <c r="A97" s="2">
        <v>94</v>
      </c>
      <c r="B97" s="2" t="s">
        <v>749</v>
      </c>
      <c r="C97" s="30">
        <v>216241.05</v>
      </c>
      <c r="D97" s="30">
        <v>285605</v>
      </c>
      <c r="E97">
        <v>277942.67889908259</v>
      </c>
      <c r="F97">
        <v>5703</v>
      </c>
      <c r="G97" s="17">
        <f>F97/E97%</f>
        <v>2.0518619244044509</v>
      </c>
      <c r="H97" s="30">
        <f>C97-D97</f>
        <v>-69363.950000000012</v>
      </c>
      <c r="I97" s="17">
        <f>H97/D97%</f>
        <v>-24.286672152098181</v>
      </c>
    </row>
    <row r="98" spans="1:9">
      <c r="A98" s="2">
        <v>95</v>
      </c>
      <c r="B98" s="2" t="s">
        <v>823</v>
      </c>
      <c r="C98" s="30">
        <v>205187.4</v>
      </c>
      <c r="D98" s="30">
        <v>210845</v>
      </c>
      <c r="E98">
        <v>210731.43119266056</v>
      </c>
      <c r="F98">
        <v>3122</v>
      </c>
      <c r="G98" s="17">
        <f>F98/E98%</f>
        <v>1.4815065708663655</v>
      </c>
      <c r="H98" s="30">
        <f>C98-D98</f>
        <v>-5657.6000000000058</v>
      </c>
      <c r="I98" s="17">
        <f>H98/D98%</f>
        <v>-2.6832981574142174</v>
      </c>
    </row>
    <row r="99" spans="1:9">
      <c r="A99" s="2">
        <v>95</v>
      </c>
      <c r="B99" s="2" t="s">
        <v>1147</v>
      </c>
      <c r="C99" s="30">
        <v>0</v>
      </c>
      <c r="D99" s="30">
        <v>0</v>
      </c>
      <c r="E99">
        <v>0</v>
      </c>
      <c r="F99">
        <v>0</v>
      </c>
    </row>
  </sheetData>
  <autoFilter ref="A2:L98" xr:uid="{00000000-0009-0000-0000-000006000000}"/>
  <pageMargins left="0.7" right="0.7" top="0.75" bottom="0.75" header="0.3" footer="0.3"/>
  <pageSetup orientation="portrait" r:id="rId1"/>
  <ignoredErrors>
    <ignoredError sqref="G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DC88-8896-45FA-BCB2-956156BD26E8}">
  <sheetPr codeName="Sheet13"/>
  <dimension ref="A1:DH799"/>
  <sheetViews>
    <sheetView topLeftCell="A106" zoomScaleNormal="100" workbookViewId="0">
      <pane xSplit="1" topLeftCell="CF1" activePane="topRight" state="frozen"/>
      <selection pane="topRight" activeCell="CO124" sqref="CO124"/>
    </sheetView>
  </sheetViews>
  <sheetFormatPr defaultColWidth="13.7265625" defaultRowHeight="15" customHeight="1"/>
  <cols>
    <col min="1" max="1" width="17" style="61" customWidth="1"/>
    <col min="2" max="2" width="5.26953125" style="61" customWidth="1"/>
    <col min="3" max="3" width="4.453125" style="61" customWidth="1"/>
    <col min="4" max="4" width="6" style="61" customWidth="1"/>
    <col min="5" max="6" width="3.7265625" style="61" customWidth="1"/>
    <col min="7" max="7" width="7.7265625" style="61" customWidth="1"/>
    <col min="8" max="90" width="8.26953125" style="61" customWidth="1"/>
    <col min="91" max="91" width="9.81640625" style="61" customWidth="1"/>
    <col min="92" max="92" width="9.54296875" style="61" bestFit="1" customWidth="1"/>
    <col min="93" max="93" width="8.26953125" style="81" customWidth="1"/>
    <col min="94" max="94" width="11.81640625" style="81" customWidth="1"/>
    <col min="95" max="95" width="8.26953125" style="61" customWidth="1"/>
    <col min="96" max="96" width="10.81640625" style="61" customWidth="1"/>
    <col min="97" max="105" width="8.26953125" style="61" customWidth="1"/>
    <col min="106" max="106" width="11" style="61" bestFit="1" customWidth="1"/>
    <col min="107" max="107" width="8.26953125" style="61" customWidth="1"/>
    <col min="108" max="108" width="8" style="81" bestFit="1" customWidth="1"/>
    <col min="109" max="109" width="8.26953125" style="61" customWidth="1"/>
    <col min="110" max="110" width="11.7265625" style="61" customWidth="1"/>
    <col min="111" max="16384" width="13.7265625" style="61"/>
  </cols>
  <sheetData>
    <row r="1" spans="1:104" ht="14.25" customHeight="1">
      <c r="CO1" s="63"/>
      <c r="CP1" s="63"/>
      <c r="CQ1" s="64"/>
      <c r="CR1" s="62"/>
      <c r="CS1" s="62"/>
      <c r="CT1" s="62"/>
      <c r="CU1" s="62"/>
      <c r="CX1" s="62"/>
      <c r="CZ1" s="62"/>
    </row>
    <row r="2" spans="1:104" ht="14.25" customHeight="1">
      <c r="CO2" s="63"/>
      <c r="CP2" s="63"/>
      <c r="CQ2" s="64"/>
      <c r="CR2" s="62"/>
      <c r="CS2" s="62"/>
      <c r="CT2" s="62"/>
      <c r="CU2" s="62"/>
      <c r="CX2" s="62"/>
      <c r="CZ2" s="62"/>
    </row>
    <row r="3" spans="1:104" ht="14.25" customHeight="1">
      <c r="CO3" s="63"/>
      <c r="CP3" s="63"/>
      <c r="CQ3" s="64"/>
      <c r="CR3" s="62"/>
      <c r="CS3" s="62"/>
      <c r="CT3" s="62"/>
      <c r="CU3" s="62"/>
      <c r="CX3" s="62"/>
      <c r="CZ3" s="62"/>
    </row>
    <row r="4" spans="1:104" ht="14.25" customHeight="1">
      <c r="CO4" s="63"/>
      <c r="CP4" s="63"/>
      <c r="CQ4" s="64"/>
      <c r="CR4" s="62"/>
      <c r="CS4" s="62"/>
      <c r="CT4" s="62"/>
      <c r="CU4" s="62"/>
      <c r="CX4" s="62"/>
      <c r="CZ4" s="62"/>
    </row>
    <row r="5" spans="1:104" ht="14.25" customHeight="1">
      <c r="CO5" s="63"/>
      <c r="CP5" s="63"/>
      <c r="CQ5" s="64"/>
      <c r="CR5" s="62"/>
      <c r="CS5" s="62"/>
      <c r="CT5" s="62"/>
      <c r="CU5" s="62"/>
      <c r="CX5" s="62"/>
      <c r="CZ5" s="62"/>
    </row>
    <row r="6" spans="1:104" ht="14.25" customHeight="1">
      <c r="CO6" s="63"/>
      <c r="CP6" s="63"/>
      <c r="CQ6" s="64"/>
      <c r="CR6" s="62"/>
      <c r="CS6" s="62"/>
      <c r="CT6" s="62"/>
      <c r="CU6" s="62"/>
      <c r="CX6" s="62"/>
      <c r="CZ6" s="62"/>
    </row>
    <row r="7" spans="1:104" ht="14.25" customHeight="1">
      <c r="CO7" s="63"/>
      <c r="CP7" s="63"/>
      <c r="CQ7" s="64"/>
      <c r="CR7" s="62"/>
      <c r="CS7" s="62"/>
      <c r="CT7" s="62"/>
      <c r="CU7" s="62"/>
      <c r="CX7" s="62"/>
      <c r="CZ7" s="62"/>
    </row>
    <row r="8" spans="1:104" ht="14.25" customHeight="1">
      <c r="CO8" s="63"/>
      <c r="CP8" s="63"/>
      <c r="CQ8" s="64"/>
      <c r="CR8" s="62"/>
      <c r="CS8" s="62"/>
      <c r="CT8" s="62"/>
      <c r="CU8" s="62"/>
      <c r="CX8" s="62"/>
      <c r="CZ8" s="62"/>
    </row>
    <row r="9" spans="1:104" ht="14.25" customHeight="1">
      <c r="CO9" s="63"/>
      <c r="CP9" s="63"/>
      <c r="CQ9" s="64"/>
      <c r="CR9" s="62"/>
      <c r="CS9" s="62"/>
      <c r="CT9" s="62"/>
      <c r="CU9" s="62"/>
      <c r="CX9" s="62"/>
      <c r="CZ9" s="62"/>
    </row>
    <row r="10" spans="1:104" ht="14.25" customHeight="1">
      <c r="G10" s="65" t="s">
        <v>275</v>
      </c>
      <c r="H10" s="65" t="s">
        <v>276</v>
      </c>
      <c r="I10" s="65" t="s">
        <v>277</v>
      </c>
      <c r="J10" s="65" t="s">
        <v>278</v>
      </c>
      <c r="K10" s="65" t="s">
        <v>279</v>
      </c>
      <c r="L10" s="65" t="s">
        <v>280</v>
      </c>
      <c r="M10" s="65" t="s">
        <v>281</v>
      </c>
      <c r="N10" s="65" t="s">
        <v>282</v>
      </c>
      <c r="O10" s="65" t="s">
        <v>283</v>
      </c>
      <c r="P10" s="65" t="s">
        <v>284</v>
      </c>
      <c r="Q10" s="65" t="s">
        <v>285</v>
      </c>
      <c r="R10" s="65" t="s">
        <v>286</v>
      </c>
      <c r="S10" s="65" t="s">
        <v>287</v>
      </c>
      <c r="T10" s="65" t="s">
        <v>288</v>
      </c>
      <c r="U10" s="65" t="s">
        <v>289</v>
      </c>
      <c r="V10" s="65" t="s">
        <v>290</v>
      </c>
      <c r="W10" s="65" t="s">
        <v>291</v>
      </c>
      <c r="X10" s="65" t="s">
        <v>292</v>
      </c>
      <c r="Y10" s="65" t="s">
        <v>293</v>
      </c>
      <c r="Z10" s="65" t="s">
        <v>294</v>
      </c>
      <c r="AA10" s="65" t="s">
        <v>295</v>
      </c>
      <c r="CO10" s="63"/>
      <c r="CP10" s="63"/>
      <c r="CQ10" s="64"/>
      <c r="CR10" s="62"/>
      <c r="CS10" s="62"/>
      <c r="CT10" s="62"/>
      <c r="CU10" s="62"/>
      <c r="CX10" s="62"/>
      <c r="CZ10" s="62"/>
    </row>
    <row r="11" spans="1:104" ht="14.25" customHeight="1">
      <c r="A11" s="509" t="s">
        <v>296</v>
      </c>
      <c r="B11" s="506"/>
      <c r="C11" s="66"/>
      <c r="D11" s="66"/>
      <c r="E11" s="66"/>
      <c r="G11" s="65" t="e">
        <f t="shared" ref="G11:AA11" si="0">(G13+(3*G14)+G15)/5</f>
        <v>#DIV/0!</v>
      </c>
      <c r="H11" s="65" t="e">
        <f t="shared" si="0"/>
        <v>#DIV/0!</v>
      </c>
      <c r="I11" s="65" t="e">
        <f t="shared" si="0"/>
        <v>#DIV/0!</v>
      </c>
      <c r="J11" s="65" t="e">
        <f t="shared" si="0"/>
        <v>#DIV/0!</v>
      </c>
      <c r="K11" s="65" t="e">
        <f t="shared" si="0"/>
        <v>#DIV/0!</v>
      </c>
      <c r="L11" s="65" t="e">
        <f t="shared" si="0"/>
        <v>#DIV/0!</v>
      </c>
      <c r="M11" s="65" t="e">
        <f t="shared" si="0"/>
        <v>#DIV/0!</v>
      </c>
      <c r="N11" s="65" t="e">
        <f t="shared" si="0"/>
        <v>#DIV/0!</v>
      </c>
      <c r="O11" s="65" t="e">
        <f t="shared" si="0"/>
        <v>#DIV/0!</v>
      </c>
      <c r="P11" s="65" t="e">
        <f t="shared" si="0"/>
        <v>#DIV/0!</v>
      </c>
      <c r="Q11" s="65" t="e">
        <f t="shared" si="0"/>
        <v>#DIV/0!</v>
      </c>
      <c r="R11" s="65" t="e">
        <f t="shared" si="0"/>
        <v>#DIV/0!</v>
      </c>
      <c r="S11" s="65" t="e">
        <f t="shared" si="0"/>
        <v>#DIV/0!</v>
      </c>
      <c r="T11" s="65" t="e">
        <f t="shared" si="0"/>
        <v>#DIV/0!</v>
      </c>
      <c r="U11" s="65" t="e">
        <f t="shared" si="0"/>
        <v>#DIV/0!</v>
      </c>
      <c r="V11" s="65" t="e">
        <f t="shared" si="0"/>
        <v>#DIV/0!</v>
      </c>
      <c r="W11" s="65" t="e">
        <f t="shared" si="0"/>
        <v>#DIV/0!</v>
      </c>
      <c r="X11" s="65" t="e">
        <f t="shared" si="0"/>
        <v>#DIV/0!</v>
      </c>
      <c r="Y11" s="65" t="e">
        <f t="shared" si="0"/>
        <v>#DIV/0!</v>
      </c>
      <c r="Z11" s="65" t="e">
        <f t="shared" si="0"/>
        <v>#DIV/0!</v>
      </c>
      <c r="AA11" s="65" t="e">
        <f t="shared" si="0"/>
        <v>#DIV/0!</v>
      </c>
      <c r="CO11" s="63"/>
      <c r="CP11" s="63"/>
      <c r="CQ11" s="64"/>
      <c r="CR11" s="62"/>
      <c r="CS11" s="62"/>
      <c r="CT11" s="62"/>
      <c r="CU11" s="62"/>
      <c r="CX11" s="62"/>
      <c r="CZ11" s="62"/>
    </row>
    <row r="12" spans="1:104" ht="14.25" customHeight="1">
      <c r="A12" s="509" t="s">
        <v>297</v>
      </c>
      <c r="B12" s="506"/>
      <c r="C12" s="66"/>
      <c r="D12" s="66"/>
      <c r="E12" s="66"/>
      <c r="F12" s="65">
        <f>SUBTOTAL(9,C18:C60)</f>
        <v>76</v>
      </c>
      <c r="G12" s="65">
        <f>SUBTOTAL(9,G18:G60)*F12</f>
        <v>4219538.9999999991</v>
      </c>
      <c r="H12" s="65">
        <f>SUBTOTAL(9,H18:H60)*F12</f>
        <v>579604.5</v>
      </c>
      <c r="I12" s="65">
        <f>SUBTOTAL(9,I18:I60)*F12</f>
        <v>847458.90000000014</v>
      </c>
      <c r="J12" s="65">
        <f>SUBTOTAL(9,J18:J60)*F12</f>
        <v>830484.29999999993</v>
      </c>
      <c r="K12" s="65">
        <f>SUBTOTAL(9,K18:K60)*F12</f>
        <v>790793.29999999993</v>
      </c>
      <c r="L12" s="65">
        <f>SUBTOTAL(9,L18:L60)*F12</f>
        <v>828742</v>
      </c>
      <c r="M12" s="65">
        <f>SUBTOTAL(9,M18:M60)*F12</f>
        <v>767989.5</v>
      </c>
      <c r="N12" s="65">
        <f>SUBTOTAL(9,N18:N60)*F12</f>
        <v>783613.19999999972</v>
      </c>
      <c r="O12" s="65">
        <f>SUBTOTAL(9,O18:O60)*F12</f>
        <v>827938.67999999993</v>
      </c>
      <c r="P12" s="65">
        <f>SUBTOTAL(9,P18:P60)*F12</f>
        <v>691735.27999999991</v>
      </c>
      <c r="Q12" s="65">
        <f>SUBTOTAL(9,Q18:Q60)*F12</f>
        <v>641859.5199999999</v>
      </c>
      <c r="R12" s="65">
        <f>SUBTOTAL(9,R18:R60)*F12</f>
        <v>540664.37999999989</v>
      </c>
      <c r="S12" s="65">
        <f>SUBTOTAL(9,S18:S60)*F12</f>
        <v>506470.46000000008</v>
      </c>
      <c r="T12" s="65">
        <f>SUBTOTAL(9,T18:T60)*F12</f>
        <v>440682.96</v>
      </c>
      <c r="U12" s="65">
        <f>SUBTOTAL(9,U18:U60)*F12</f>
        <v>363946.14</v>
      </c>
      <c r="V12" s="65">
        <f>SUBTOTAL(9,V18:V60)*F12</f>
        <v>341774.28</v>
      </c>
      <c r="W12" s="65">
        <f>SUBTOTAL(9,W18:W60)*F12</f>
        <v>328209.03999999998</v>
      </c>
      <c r="X12" s="65">
        <f>SUBTOTAL(9,X18:X60)*F12</f>
        <v>292699.17999999993</v>
      </c>
      <c r="Y12" s="65">
        <f>SUBTOTAL(9,Y18:Y60)*F12</f>
        <v>292267.50000000006</v>
      </c>
      <c r="Z12" s="65">
        <f>SUBTOTAL(9,Z18:Z60)*F12</f>
        <v>258535.27999999997</v>
      </c>
      <c r="AA12" s="65">
        <f>SUBTOTAL(9,AA18:AA60)*F12</f>
        <v>245039.58</v>
      </c>
      <c r="CO12" s="63"/>
      <c r="CP12" s="63"/>
      <c r="CQ12" s="64"/>
      <c r="CR12" s="67"/>
      <c r="CS12" s="62"/>
      <c r="CT12" s="62"/>
      <c r="CU12" s="62"/>
      <c r="CX12" s="62"/>
      <c r="CZ12" s="62"/>
    </row>
    <row r="13" spans="1:104" ht="14.25" customHeight="1">
      <c r="A13" s="510" t="s">
        <v>298</v>
      </c>
      <c r="B13" s="506"/>
      <c r="C13" s="68"/>
      <c r="D13" s="68"/>
      <c r="E13" s="68"/>
      <c r="F13" s="65" t="e">
        <f>SUBTOTAL(9,D18:D60)</f>
        <v>#DIV/0!</v>
      </c>
      <c r="G13" s="65" t="e">
        <f>SUBTOTAL(9,AB18:AB60)*F13</f>
        <v>#DIV/0!</v>
      </c>
      <c r="H13" s="65" t="e">
        <f>SUBTOTAL(9,AC18:AC60)*F13</f>
        <v>#DIV/0!</v>
      </c>
      <c r="I13" s="65" t="e">
        <f>SUBTOTAL(9,AD18:AD60)*F13</f>
        <v>#DIV/0!</v>
      </c>
      <c r="J13" s="65" t="e">
        <f>SUBTOTAL(9,AE18:AE60)*F13</f>
        <v>#DIV/0!</v>
      </c>
      <c r="K13" s="65" t="e">
        <f>SUBTOTAL(9,AF18:AF60)*F13</f>
        <v>#DIV/0!</v>
      </c>
      <c r="L13" s="65" t="e">
        <f>SUBTOTAL(9,AG18:AG60)*F13</f>
        <v>#DIV/0!</v>
      </c>
      <c r="M13" s="65" t="e">
        <f>SUBTOTAL(9,AH18:AH60)*F13</f>
        <v>#DIV/0!</v>
      </c>
      <c r="N13" s="65" t="e">
        <f>SUBTOTAL(9,AI18:AI60)*F13</f>
        <v>#DIV/0!</v>
      </c>
      <c r="O13" s="65" t="e">
        <f>SUBTOTAL(9,AJ18:AJ60)*F13</f>
        <v>#DIV/0!</v>
      </c>
      <c r="P13" s="65" t="e">
        <f>SUBTOTAL(9,AK18:AK60)*F13</f>
        <v>#DIV/0!</v>
      </c>
      <c r="Q13" s="65" t="e">
        <f>SUBTOTAL(9,AL18:AL60)*F13</f>
        <v>#DIV/0!</v>
      </c>
      <c r="R13" s="65" t="e">
        <f>SUBTOTAL(9,AM18:AM60)*F13</f>
        <v>#DIV/0!</v>
      </c>
      <c r="S13" s="65" t="e">
        <f>SUBTOTAL(9,AN18:AN60)*F13</f>
        <v>#DIV/0!</v>
      </c>
      <c r="T13" s="65" t="e">
        <f>SUBTOTAL(9,AO18:AO60)*F13</f>
        <v>#DIV/0!</v>
      </c>
      <c r="U13" s="65" t="e">
        <f>SUBTOTAL(9,AP18:AP60)*F13</f>
        <v>#DIV/0!</v>
      </c>
      <c r="V13" s="65" t="e">
        <f>SUBTOTAL(9,AQ18:AQ60)*F13</f>
        <v>#DIV/0!</v>
      </c>
      <c r="W13" s="65" t="e">
        <f>SUBTOTAL(9,AR18:AR60)*F13</f>
        <v>#DIV/0!</v>
      </c>
      <c r="X13" s="65" t="e">
        <f>SUBTOTAL(9,AS18:AS60)*F13</f>
        <v>#DIV/0!</v>
      </c>
      <c r="Y13" s="65" t="e">
        <f>SUBTOTAL(9,AT18:AT60)*F13</f>
        <v>#DIV/0!</v>
      </c>
      <c r="Z13" s="65" t="e">
        <f>SUBTOTAL(9,AU18:AU60)*F13</f>
        <v>#DIV/0!</v>
      </c>
      <c r="AA13" s="65" t="e">
        <f>SUBTOTAL(9,AV18:AV60)*F13</f>
        <v>#DIV/0!</v>
      </c>
      <c r="CO13" s="63"/>
      <c r="CP13" s="63"/>
      <c r="CQ13" s="64"/>
      <c r="CR13" s="62"/>
      <c r="CS13" s="62"/>
      <c r="CT13" s="62"/>
      <c r="CU13" s="62"/>
      <c r="CX13" s="62"/>
      <c r="CZ13" s="62"/>
    </row>
    <row r="14" spans="1:104" ht="14.25" customHeight="1">
      <c r="A14" s="511" t="s">
        <v>163</v>
      </c>
      <c r="B14" s="506"/>
      <c r="C14" s="69"/>
      <c r="D14" s="69"/>
      <c r="E14" s="69"/>
      <c r="F14" s="65">
        <f>SUBTOTAL(9,E18:E60)</f>
        <v>1521.0416644623235</v>
      </c>
      <c r="G14" s="65">
        <f>SUBTOTAL(9,AW18:AW60)*F14</f>
        <v>47195139.34201993</v>
      </c>
      <c r="H14" s="65">
        <f>SUBTOTAL(9,AX18:AX60)*F14</f>
        <v>44898442.480765052</v>
      </c>
      <c r="I14" s="65">
        <f>SUBTOTAL(9,AY18:AY60)*F14</f>
        <v>38037236.478208527</v>
      </c>
      <c r="J14" s="65">
        <f>SUBTOTAL(9,AZ18:AZ60)*F14</f>
        <v>32717119.469251953</v>
      </c>
      <c r="K14" s="65">
        <f>SUBTOTAL(9,BA18:BA60)*F14</f>
        <v>36696924.984317623</v>
      </c>
      <c r="L14" s="65">
        <f>SUBTOTAL(9,BB18:BB60)*F14</f>
        <v>36594665.353215814</v>
      </c>
      <c r="M14" s="65">
        <f>SUBTOTAL(9,BC18:BC60)*F14</f>
        <v>31587685.191722102</v>
      </c>
      <c r="N14" s="65">
        <f>SUBTOTAL(9,BD18:BD60)*F14</f>
        <v>27684433.703628819</v>
      </c>
      <c r="O14" s="65">
        <f>SUBTOTAL(9,BE18:BE60)*F14</f>
        <v>30754793.197095815</v>
      </c>
      <c r="P14" s="65">
        <f>SUBTOTAL(9,BF18:BF60)*F14</f>
        <v>30449763.501704544</v>
      </c>
      <c r="Q14" s="65">
        <f>SUBTOTAL(9,BG18:BG60)*F14</f>
        <v>29154429.209831778</v>
      </c>
      <c r="R14" s="65">
        <f>SUBTOTAL(9,BH18:BH60)*F14</f>
        <v>17822425.442921162</v>
      </c>
      <c r="S14" s="65">
        <f>SUBTOTAL(9,BI18:BI60)*F14</f>
        <v>18958172.043358531</v>
      </c>
      <c r="T14" s="65">
        <f>SUBTOTAL(9,BJ18:BJ60)*F14</f>
        <v>17941872.844831388</v>
      </c>
      <c r="U14" s="65">
        <f>SUBTOTAL(9,BK18:BK60)*F14</f>
        <v>17450591.597626701</v>
      </c>
      <c r="V14" s="65">
        <f>SUBTOTAL(9,BL18:BL60)*F14</f>
        <v>15955179.485210566</v>
      </c>
      <c r="W14" s="65">
        <f>SUBTOTAL(9,BM18:BM60)*F14</f>
        <v>9172246.2867072821</v>
      </c>
      <c r="X14" s="65">
        <f>SUBTOTAL(9,BN18:BN60)*F14</f>
        <v>7627537.2139459234</v>
      </c>
      <c r="Y14" s="65">
        <f>SUBTOTAL(9,BO18:BO60)*F14</f>
        <v>7839098.8990559885</v>
      </c>
      <c r="Z14" s="65">
        <f>SUBTOTAL(9,BP18:BP60)*F14</f>
        <v>6265459.6138365576</v>
      </c>
      <c r="AA14" s="65">
        <f>SUBTOTAL(9,BQ18:BQ60)*F14</f>
        <v>9027002.0181677751</v>
      </c>
      <c r="CO14" s="63"/>
      <c r="CP14" s="63"/>
      <c r="CQ14" s="64"/>
      <c r="CR14" s="62"/>
      <c r="CS14" s="62"/>
      <c r="CT14" s="62"/>
      <c r="CU14" s="62"/>
      <c r="CX14" s="62"/>
      <c r="CZ14" s="62"/>
    </row>
    <row r="15" spans="1:104" ht="14.25" customHeight="1">
      <c r="A15" s="508" t="s">
        <v>299</v>
      </c>
      <c r="B15" s="506"/>
      <c r="C15" s="70"/>
      <c r="D15" s="70"/>
      <c r="E15" s="70"/>
      <c r="F15" s="65" t="e">
        <f>SUBTOTAL(9,F18:F60)</f>
        <v>#DIV/0!</v>
      </c>
      <c r="G15" s="65" t="e">
        <f>SUBTOTAL(9,BR18:BR60)*F15</f>
        <v>#DIV/0!</v>
      </c>
      <c r="H15" s="65" t="e">
        <f>SUBTOTAL(9,BS18:BS60)*F15</f>
        <v>#DIV/0!</v>
      </c>
      <c r="I15" s="65" t="e">
        <f>SUBTOTAL(9,BT18:BT60)*F15</f>
        <v>#DIV/0!</v>
      </c>
      <c r="J15" s="65" t="e">
        <f>SUBTOTAL(9,BU18:BU60)*F15</f>
        <v>#DIV/0!</v>
      </c>
      <c r="K15" s="65" t="e">
        <f>SUBTOTAL(9,BV18:BV60)*F15</f>
        <v>#DIV/0!</v>
      </c>
      <c r="L15" s="65" t="e">
        <f>SUBTOTAL(9,BW18:BW60)*F15</f>
        <v>#DIV/0!</v>
      </c>
      <c r="M15" s="65" t="e">
        <f>SUBTOTAL(9,BX18:BX60)*F15</f>
        <v>#DIV/0!</v>
      </c>
      <c r="N15" s="65" t="e">
        <f>SUBTOTAL(9,BY18:BY60)*F15</f>
        <v>#DIV/0!</v>
      </c>
      <c r="O15" s="65" t="e">
        <f>SUBTOTAL(9,BZ18:BZ60)*F15</f>
        <v>#DIV/0!</v>
      </c>
      <c r="P15" s="65" t="e">
        <f>SUBTOTAL(9,CA18:CA60)*F15</f>
        <v>#DIV/0!</v>
      </c>
      <c r="Q15" s="65" t="e">
        <f>SUBTOTAL(9,CB18:CB60)*F15</f>
        <v>#DIV/0!</v>
      </c>
      <c r="R15" s="65" t="e">
        <f>SUBTOTAL(9,CC18:CC60)*F15</f>
        <v>#DIV/0!</v>
      </c>
      <c r="S15" s="65" t="e">
        <f>SUBTOTAL(9,CD18:CD60)*F15</f>
        <v>#DIV/0!</v>
      </c>
      <c r="T15" s="65" t="e">
        <f>SUBTOTAL(9,CE18:CE60)*F15</f>
        <v>#DIV/0!</v>
      </c>
      <c r="U15" s="65" t="e">
        <f>SUBTOTAL(9,CF18:CF60)*F15</f>
        <v>#DIV/0!</v>
      </c>
      <c r="V15" s="65" t="e">
        <f>SUBTOTAL(9,CG18:CG60)*F15</f>
        <v>#DIV/0!</v>
      </c>
      <c r="W15" s="65" t="e">
        <f>SUBTOTAL(9,CH18:CH60)*F15</f>
        <v>#DIV/0!</v>
      </c>
      <c r="X15" s="65" t="e">
        <f>SUBTOTAL(9,CI18:CI60)*F15</f>
        <v>#DIV/0!</v>
      </c>
      <c r="Y15" s="65" t="e">
        <f>SUBTOTAL(9,CJ18:CJ60)*F15</f>
        <v>#DIV/0!</v>
      </c>
      <c r="Z15" s="65" t="e">
        <f>SUBTOTAL(9,CK18:CK60)*F15</f>
        <v>#DIV/0!</v>
      </c>
      <c r="AA15" s="65" t="e">
        <f>SUBTOTAL(9,CL18:CL60)*F15</f>
        <v>#DIV/0!</v>
      </c>
      <c r="CO15" s="63"/>
      <c r="CP15" s="63"/>
      <c r="CQ15" s="64"/>
      <c r="CR15" s="62"/>
      <c r="CS15" s="62"/>
      <c r="CT15" s="62"/>
      <c r="CU15" s="62"/>
      <c r="CX15" s="62"/>
      <c r="CZ15" s="62"/>
    </row>
    <row r="16" spans="1:104" ht="14.25" customHeight="1">
      <c r="B16" s="71" t="e">
        <f>((1+((G11-G12)/G12))*10000)</f>
        <v>#DIV/0!</v>
      </c>
      <c r="C16" s="65">
        <f>SUBTOTAL(9,CT18:CT60)</f>
        <v>280.03590888834668</v>
      </c>
      <c r="D16" s="65">
        <f>SUBTOTAL(9,CR18:CR60)</f>
        <v>2728599.2011574032</v>
      </c>
      <c r="E16" s="65">
        <f>SUBTOTAL(9,CW18:CW60)</f>
        <v>294.76055400131747</v>
      </c>
      <c r="G16" s="512" t="s">
        <v>300</v>
      </c>
      <c r="H16" s="506"/>
      <c r="I16" s="506"/>
      <c r="J16" s="506"/>
      <c r="K16" s="506"/>
      <c r="L16" s="506"/>
      <c r="M16" s="506"/>
      <c r="N16" s="506"/>
      <c r="O16" s="506"/>
      <c r="P16" s="506"/>
      <c r="Q16" s="506"/>
      <c r="R16" s="506"/>
      <c r="S16" s="506"/>
      <c r="T16" s="506"/>
      <c r="U16" s="506"/>
      <c r="V16" s="506"/>
      <c r="W16" s="506"/>
      <c r="X16" s="506"/>
      <c r="Y16" s="506"/>
      <c r="Z16" s="506"/>
      <c r="AA16" s="506"/>
      <c r="AB16" s="505" t="s">
        <v>298</v>
      </c>
      <c r="AC16" s="506"/>
      <c r="AD16" s="506"/>
      <c r="AE16" s="506"/>
      <c r="AF16" s="506"/>
      <c r="AG16" s="506"/>
      <c r="AH16" s="506"/>
      <c r="AI16" s="506"/>
      <c r="AJ16" s="506"/>
      <c r="AK16" s="506"/>
      <c r="AL16" s="506"/>
      <c r="AM16" s="506"/>
      <c r="AN16" s="506"/>
      <c r="AO16" s="506"/>
      <c r="AP16" s="506"/>
      <c r="AQ16" s="506"/>
      <c r="AR16" s="506"/>
      <c r="AS16" s="506"/>
      <c r="AT16" s="506"/>
      <c r="AU16" s="506"/>
      <c r="AV16" s="506"/>
      <c r="AW16" s="507" t="s">
        <v>301</v>
      </c>
      <c r="AX16" s="506"/>
      <c r="AY16" s="506"/>
      <c r="AZ16" s="506"/>
      <c r="BA16" s="506"/>
      <c r="BB16" s="506"/>
      <c r="BC16" s="506"/>
      <c r="BD16" s="506"/>
      <c r="BE16" s="506"/>
      <c r="BF16" s="506"/>
      <c r="BG16" s="506"/>
      <c r="BH16" s="506"/>
      <c r="BI16" s="506"/>
      <c r="BJ16" s="506"/>
      <c r="BK16" s="506"/>
      <c r="BL16" s="506"/>
      <c r="BM16" s="506"/>
      <c r="BN16" s="506"/>
      <c r="BO16" s="506"/>
      <c r="BP16" s="506"/>
      <c r="BQ16" s="506"/>
      <c r="BR16" s="508" t="s">
        <v>302</v>
      </c>
      <c r="BS16" s="506"/>
      <c r="BT16" s="506"/>
      <c r="BU16" s="506"/>
      <c r="BV16" s="506"/>
      <c r="BW16" s="506"/>
      <c r="BX16" s="506"/>
      <c r="BY16" s="506"/>
      <c r="BZ16" s="506"/>
      <c r="CA16" s="506"/>
      <c r="CB16" s="506"/>
      <c r="CC16" s="506"/>
      <c r="CD16" s="506"/>
      <c r="CE16" s="506"/>
      <c r="CF16" s="506"/>
      <c r="CG16" s="506"/>
      <c r="CH16" s="506"/>
      <c r="CI16" s="506"/>
      <c r="CJ16" s="506"/>
      <c r="CK16" s="506"/>
      <c r="CL16" s="506"/>
      <c r="CO16" s="63"/>
      <c r="CP16" s="63"/>
      <c r="CQ16" s="64"/>
      <c r="CR16" s="62"/>
      <c r="CS16" s="62"/>
      <c r="CT16" s="62"/>
      <c r="CU16" s="62"/>
      <c r="CX16" s="62"/>
      <c r="CZ16" s="62"/>
    </row>
    <row r="17" spans="1:112" ht="14.25" customHeight="1">
      <c r="A17" s="72" t="s">
        <v>303</v>
      </c>
      <c r="B17" s="65" t="s">
        <v>304</v>
      </c>
      <c r="C17" s="65" t="s">
        <v>305</v>
      </c>
      <c r="D17" s="65" t="s">
        <v>306</v>
      </c>
      <c r="E17" s="65" t="s">
        <v>307</v>
      </c>
      <c r="F17" s="65" t="s">
        <v>308</v>
      </c>
      <c r="G17" s="73" t="s">
        <v>275</v>
      </c>
      <c r="H17" s="65" t="s">
        <v>309</v>
      </c>
      <c r="I17" s="65" t="s">
        <v>310</v>
      </c>
      <c r="J17" s="65" t="s">
        <v>311</v>
      </c>
      <c r="K17" s="65" t="s">
        <v>312</v>
      </c>
      <c r="L17" s="65" t="s">
        <v>313</v>
      </c>
      <c r="M17" s="65" t="s">
        <v>314</v>
      </c>
      <c r="N17" s="65" t="s">
        <v>315</v>
      </c>
      <c r="O17" s="65" t="s">
        <v>316</v>
      </c>
      <c r="P17" s="65" t="s">
        <v>317</v>
      </c>
      <c r="Q17" s="65" t="s">
        <v>318</v>
      </c>
      <c r="R17" s="65" t="s">
        <v>319</v>
      </c>
      <c r="S17" s="65" t="s">
        <v>320</v>
      </c>
      <c r="T17" s="65" t="s">
        <v>321</v>
      </c>
      <c r="U17" s="65" t="s">
        <v>322</v>
      </c>
      <c r="V17" s="65" t="s">
        <v>323</v>
      </c>
      <c r="W17" s="65" t="s">
        <v>324</v>
      </c>
      <c r="X17" s="65" t="s">
        <v>325</v>
      </c>
      <c r="Y17" s="65" t="s">
        <v>326</v>
      </c>
      <c r="Z17" s="65" t="s">
        <v>327</v>
      </c>
      <c r="AA17" s="65" t="s">
        <v>328</v>
      </c>
      <c r="AB17" s="65" t="s">
        <v>275</v>
      </c>
      <c r="AC17" s="65" t="s">
        <v>329</v>
      </c>
      <c r="AD17" s="65" t="s">
        <v>330</v>
      </c>
      <c r="AE17" s="65" t="s">
        <v>331</v>
      </c>
      <c r="AF17" s="65" t="s">
        <v>332</v>
      </c>
      <c r="AG17" s="65" t="s">
        <v>333</v>
      </c>
      <c r="AH17" s="65" t="s">
        <v>334</v>
      </c>
      <c r="AI17" s="65" t="s">
        <v>335</v>
      </c>
      <c r="AJ17" s="65" t="s">
        <v>336</v>
      </c>
      <c r="AK17" s="65" t="s">
        <v>337</v>
      </c>
      <c r="AL17" s="65" t="s">
        <v>338</v>
      </c>
      <c r="AM17" s="65" t="s">
        <v>339</v>
      </c>
      <c r="AN17" s="65" t="s">
        <v>340</v>
      </c>
      <c r="AO17" s="65" t="s">
        <v>341</v>
      </c>
      <c r="AP17" s="65" t="s">
        <v>342</v>
      </c>
      <c r="AQ17" s="65" t="s">
        <v>343</v>
      </c>
      <c r="AR17" s="65" t="s">
        <v>344</v>
      </c>
      <c r="AS17" s="65" t="s">
        <v>345</v>
      </c>
      <c r="AT17" s="65" t="s">
        <v>346</v>
      </c>
      <c r="AU17" s="65" t="s">
        <v>347</v>
      </c>
      <c r="AV17" s="65" t="s">
        <v>348</v>
      </c>
      <c r="AW17" s="65" t="s">
        <v>275</v>
      </c>
      <c r="AX17" s="65" t="s">
        <v>349</v>
      </c>
      <c r="AY17" s="65" t="s">
        <v>350</v>
      </c>
      <c r="AZ17" s="65" t="s">
        <v>351</v>
      </c>
      <c r="BA17" s="65" t="s">
        <v>352</v>
      </c>
      <c r="BB17" s="65" t="s">
        <v>353</v>
      </c>
      <c r="BC17" s="65" t="s">
        <v>354</v>
      </c>
      <c r="BD17" s="65" t="s">
        <v>355</v>
      </c>
      <c r="BE17" s="65" t="s">
        <v>356</v>
      </c>
      <c r="BF17" s="65" t="s">
        <v>357</v>
      </c>
      <c r="BG17" s="65" t="s">
        <v>358</v>
      </c>
      <c r="BH17" s="65" t="s">
        <v>359</v>
      </c>
      <c r="BI17" s="65" t="s">
        <v>360</v>
      </c>
      <c r="BJ17" s="65" t="s">
        <v>361</v>
      </c>
      <c r="BK17" s="65" t="s">
        <v>362</v>
      </c>
      <c r="BL17" s="65" t="s">
        <v>363</v>
      </c>
      <c r="BM17" s="65" t="s">
        <v>364</v>
      </c>
      <c r="BN17" s="65" t="s">
        <v>365</v>
      </c>
      <c r="BO17" s="65" t="s">
        <v>366</v>
      </c>
      <c r="BP17" s="65" t="s">
        <v>367</v>
      </c>
      <c r="BQ17" s="65" t="s">
        <v>368</v>
      </c>
      <c r="BR17" s="65" t="s">
        <v>275</v>
      </c>
      <c r="BS17" s="65" t="s">
        <v>369</v>
      </c>
      <c r="BT17" s="65" t="s">
        <v>370</v>
      </c>
      <c r="BU17" s="65" t="s">
        <v>371</v>
      </c>
      <c r="BV17" s="65" t="s">
        <v>372</v>
      </c>
      <c r="BW17" s="65" t="s">
        <v>373</v>
      </c>
      <c r="BX17" s="65" t="s">
        <v>374</v>
      </c>
      <c r="BY17" s="65" t="s">
        <v>375</v>
      </c>
      <c r="BZ17" s="65" t="s">
        <v>376</v>
      </c>
      <c r="CA17" s="65" t="s">
        <v>377</v>
      </c>
      <c r="CB17" s="65" t="s">
        <v>378</v>
      </c>
      <c r="CC17" s="65" t="s">
        <v>379</v>
      </c>
      <c r="CD17" s="65" t="s">
        <v>380</v>
      </c>
      <c r="CE17" s="65" t="s">
        <v>381</v>
      </c>
      <c r="CF17" s="65" t="s">
        <v>382</v>
      </c>
      <c r="CG17" s="65" t="s">
        <v>383</v>
      </c>
      <c r="CH17" s="65" t="s">
        <v>384</v>
      </c>
      <c r="CI17" s="65" t="s">
        <v>385</v>
      </c>
      <c r="CJ17" s="65" t="s">
        <v>386</v>
      </c>
      <c r="CK17" s="65" t="s">
        <v>387</v>
      </c>
      <c r="CL17" s="65" t="s">
        <v>388</v>
      </c>
      <c r="CM17" s="74" t="s">
        <v>389</v>
      </c>
      <c r="CN17" s="74" t="s">
        <v>223</v>
      </c>
      <c r="CO17" s="63" t="s">
        <v>390</v>
      </c>
      <c r="CP17" s="63" t="s">
        <v>391</v>
      </c>
      <c r="CQ17" s="73" t="s">
        <v>392</v>
      </c>
      <c r="CR17" s="62" t="s">
        <v>66</v>
      </c>
      <c r="CS17" s="62" t="s">
        <v>163</v>
      </c>
      <c r="CT17" s="62" t="s">
        <v>393</v>
      </c>
      <c r="CU17" s="62" t="s">
        <v>411</v>
      </c>
      <c r="CV17" s="65" t="s">
        <v>394</v>
      </c>
      <c r="CW17" s="65" t="s">
        <v>395</v>
      </c>
      <c r="CX17" s="62" t="s">
        <v>66</v>
      </c>
      <c r="CY17" s="65" t="s">
        <v>163</v>
      </c>
      <c r="CZ17" s="62" t="s">
        <v>393</v>
      </c>
      <c r="DA17" s="75" t="s">
        <v>396</v>
      </c>
      <c r="DB17" s="75" t="s">
        <v>397</v>
      </c>
      <c r="DC17" s="76" t="s">
        <v>398</v>
      </c>
      <c r="DD17" s="63" t="s">
        <v>434</v>
      </c>
      <c r="DE17" s="65" t="s">
        <v>435</v>
      </c>
      <c r="DF17" s="63" t="s">
        <v>436</v>
      </c>
      <c r="DG17" s="65" t="s">
        <v>437</v>
      </c>
      <c r="DH17" s="61" t="s">
        <v>439</v>
      </c>
    </row>
    <row r="18" spans="1:112" ht="14.25" customHeight="1">
      <c r="A18" s="269" t="s">
        <v>530</v>
      </c>
      <c r="B18" s="61" t="s">
        <v>44</v>
      </c>
      <c r="C18" s="65">
        <v>1</v>
      </c>
      <c r="D18" s="65" t="e">
        <f>AVERAGE(G18:AA18)/AVERAGE(AC18:AV18)</f>
        <v>#DIV/0!</v>
      </c>
      <c r="E18" s="65">
        <f>AVERAGE(G18:AA18)/AVERAGE(AZ18:BQ18)</f>
        <v>60.00537201181843</v>
      </c>
      <c r="F18" s="65" t="e">
        <f>AVERAGE(G18:AA18)/AVERAGE(BS18:CL18)</f>
        <v>#DIV/0!</v>
      </c>
      <c r="G18" s="61">
        <v>446.8</v>
      </c>
      <c r="AL18" s="89"/>
      <c r="AW18" s="303">
        <v>19</v>
      </c>
      <c r="AX18" s="262">
        <v>16</v>
      </c>
      <c r="AY18" s="262">
        <v>17</v>
      </c>
      <c r="AZ18" s="262">
        <v>17.690000000000001</v>
      </c>
      <c r="BA18" s="262">
        <v>13</v>
      </c>
      <c r="BB18" s="263">
        <v>13</v>
      </c>
      <c r="BC18" s="262">
        <v>12</v>
      </c>
      <c r="BD18" s="263">
        <v>9</v>
      </c>
      <c r="BE18" s="263">
        <v>5</v>
      </c>
      <c r="BF18" s="262">
        <v>4</v>
      </c>
      <c r="BG18" s="262">
        <v>7</v>
      </c>
      <c r="BH18" s="211">
        <v>6</v>
      </c>
      <c r="BI18" s="211">
        <v>6</v>
      </c>
      <c r="BJ18" s="211">
        <v>4</v>
      </c>
      <c r="BK18" s="211">
        <v>3</v>
      </c>
      <c r="BL18" s="61">
        <v>6</v>
      </c>
      <c r="BM18" s="61">
        <v>4</v>
      </c>
      <c r="BN18" s="61">
        <v>2</v>
      </c>
      <c r="BP18" s="89"/>
      <c r="BQ18" s="91"/>
      <c r="CB18" s="89"/>
      <c r="CC18" s="89"/>
      <c r="CD18" s="89"/>
      <c r="CE18" s="89"/>
      <c r="CM18" s="342">
        <v>553</v>
      </c>
      <c r="CN18" s="342">
        <v>150</v>
      </c>
      <c r="CO18" s="170">
        <f t="shared" ref="CO18:CO49" si="1">CN18/CM18%</f>
        <v>27.124773960216999</v>
      </c>
      <c r="CP18" s="62">
        <f>CS18/CN18%</f>
        <v>47.292000000000002</v>
      </c>
      <c r="CQ18" s="61">
        <v>0</v>
      </c>
      <c r="CR18" s="79">
        <f t="shared" ref="CR18:CR42" si="2">( G18/DA18) * DB18</f>
        <v>1191.8758241758242</v>
      </c>
      <c r="CS18" s="65">
        <f>((0.5*AW18)+(0.3*AX18)+(0.15*AY18)+(0.05*AZ18))*4</f>
        <v>70.938000000000002</v>
      </c>
      <c r="CT18" s="110">
        <f t="shared" ref="CT18:CT49" si="3">CS18/CR18%</f>
        <v>5.9517945209647367</v>
      </c>
      <c r="CU18" s="110">
        <f t="shared" ref="CU18:CU49" si="4">(4*AW18)/CR18%</f>
        <v>6.3765031942445507</v>
      </c>
      <c r="CW18" s="62">
        <f t="shared" ref="CW18:CW35" si="5">CT18+CV18</f>
        <v>5.9517945209647367</v>
      </c>
      <c r="CX18" s="65">
        <f>SUM(K18:N18)/SUM(G18:J18)*CR18</f>
        <v>0</v>
      </c>
      <c r="CY18" s="65">
        <f>SUM(BC18:BF18)</f>
        <v>30</v>
      </c>
      <c r="CZ18" s="65" t="e">
        <f>CY18/CX18%</f>
        <v>#DIV/0!</v>
      </c>
      <c r="DA18" s="342">
        <v>364</v>
      </c>
      <c r="DB18" s="342">
        <v>971</v>
      </c>
    </row>
    <row r="19" spans="1:112" ht="14.25" customHeight="1">
      <c r="A19" s="393" t="s">
        <v>712</v>
      </c>
      <c r="B19" s="61" t="s">
        <v>44</v>
      </c>
      <c r="C19" s="65">
        <v>1</v>
      </c>
      <c r="D19" s="65" t="e">
        <f>AVERAGE(G19:AA19)/AVERAGE(AC19:AV19)</f>
        <v>#DIV/0!</v>
      </c>
      <c r="E19" s="65">
        <f>AVERAGE(G19:AA19)/AVERAGE(AZ19:BQ19)</f>
        <v>45.753903345724908</v>
      </c>
      <c r="F19" s="65" t="e">
        <f>AVERAGE(G19:AA19)/AVERAGE(BS19:CL19)</f>
        <v>#DIV/0!</v>
      </c>
      <c r="G19" s="61">
        <v>1025.6500000000001</v>
      </c>
      <c r="AV19" s="91"/>
      <c r="AW19" s="304">
        <v>68</v>
      </c>
      <c r="AX19" s="89">
        <v>62</v>
      </c>
      <c r="AY19" s="89">
        <v>47.61</v>
      </c>
      <c r="AZ19" s="89">
        <v>36</v>
      </c>
      <c r="BA19" s="89">
        <v>59</v>
      </c>
      <c r="BB19" s="89">
        <v>31</v>
      </c>
      <c r="BC19" s="61">
        <v>27</v>
      </c>
      <c r="BD19" s="61">
        <v>19</v>
      </c>
      <c r="BE19" s="61">
        <v>15</v>
      </c>
      <c r="BF19" s="61">
        <v>21</v>
      </c>
      <c r="BG19" s="61">
        <v>16</v>
      </c>
      <c r="BH19" s="61">
        <v>13</v>
      </c>
      <c r="BI19" s="61">
        <v>14</v>
      </c>
      <c r="BJ19" s="61" t="s">
        <v>721</v>
      </c>
      <c r="BK19" s="61">
        <v>10</v>
      </c>
      <c r="BL19" s="61">
        <v>8</v>
      </c>
      <c r="BO19" s="89"/>
      <c r="BP19" s="89"/>
      <c r="CM19" s="343">
        <v>1827</v>
      </c>
      <c r="CN19" s="342">
        <v>149</v>
      </c>
      <c r="CO19" s="170">
        <f t="shared" si="1"/>
        <v>8.1554460864805698</v>
      </c>
      <c r="CP19" s="62">
        <f t="shared" ref="CP19:CP32" si="6">CS19/CN19%</f>
        <v>165.21208053691274</v>
      </c>
      <c r="CQ19" s="64"/>
      <c r="CR19" s="79">
        <f t="shared" si="2"/>
        <v>13669.863200000002</v>
      </c>
      <c r="CS19" s="65">
        <f>((0.5*AW19)+(0.3*AX19)+(0.15*AY19)+(0.05*AZ19))*4</f>
        <v>246.16599999999997</v>
      </c>
      <c r="CT19" s="110">
        <f t="shared" si="3"/>
        <v>1.8007934417368563</v>
      </c>
      <c r="CU19" s="110">
        <f t="shared" si="4"/>
        <v>1.9897785078054036</v>
      </c>
      <c r="CW19" s="65">
        <f t="shared" si="5"/>
        <v>1.8007934417368563</v>
      </c>
      <c r="CX19" s="62"/>
      <c r="CZ19" s="62"/>
      <c r="DA19" s="342">
        <v>1000</v>
      </c>
      <c r="DB19" s="342">
        <v>13328</v>
      </c>
    </row>
    <row r="20" spans="1:112" ht="14.25" customHeight="1">
      <c r="A20" s="423" t="s">
        <v>533</v>
      </c>
      <c r="B20" s="61" t="s">
        <v>268</v>
      </c>
      <c r="C20" s="65">
        <v>1</v>
      </c>
      <c r="D20" s="65" t="e">
        <f>AVERAGE(G20:AA20)/AVERAGE(AC20:AV20)</f>
        <v>#DIV/0!</v>
      </c>
      <c r="E20" s="65">
        <f>AVERAGE(G20:AA20)/AVERAGE(AZ20:BQ20)</f>
        <v>70.465363128491617</v>
      </c>
      <c r="F20" s="65" t="e">
        <f>AVERAGE(G20:AA20)/AVERAGE(BS20:CL20)</f>
        <v>#DIV/0!</v>
      </c>
      <c r="G20" s="212">
        <v>2702.85</v>
      </c>
      <c r="AL20" s="89"/>
      <c r="AV20" s="89"/>
      <c r="AW20" s="303">
        <v>46</v>
      </c>
      <c r="AX20" s="262">
        <v>46</v>
      </c>
      <c r="AY20" s="262">
        <v>54</v>
      </c>
      <c r="AZ20" s="262">
        <v>78</v>
      </c>
      <c r="BA20" s="262">
        <v>93</v>
      </c>
      <c r="BB20" s="263">
        <v>84</v>
      </c>
      <c r="BC20" s="262">
        <v>52</v>
      </c>
      <c r="BD20" s="262">
        <v>2</v>
      </c>
      <c r="BE20" s="262">
        <v>28</v>
      </c>
      <c r="BF20" s="262">
        <v>26</v>
      </c>
      <c r="BG20" s="262">
        <v>43</v>
      </c>
      <c r="BH20" s="262">
        <v>43</v>
      </c>
      <c r="BI20" s="262">
        <v>24</v>
      </c>
      <c r="BJ20" s="211">
        <v>17</v>
      </c>
      <c r="BK20" s="211">
        <v>18</v>
      </c>
      <c r="BL20" s="61">
        <v>16</v>
      </c>
      <c r="BM20" s="89">
        <v>13</v>
      </c>
      <c r="CB20" s="89"/>
      <c r="CC20" s="89"/>
      <c r="CD20" s="89"/>
      <c r="CE20" s="89"/>
      <c r="CM20" s="342">
        <v>2280</v>
      </c>
      <c r="CN20" s="342">
        <v>89</v>
      </c>
      <c r="CO20" s="170">
        <f t="shared" si="1"/>
        <v>3.9035087719298245</v>
      </c>
      <c r="CP20" s="62">
        <f t="shared" si="6"/>
        <v>219.32584269662919</v>
      </c>
      <c r="CR20" s="79">
        <f t="shared" si="2"/>
        <v>5511.2967442778217</v>
      </c>
      <c r="CS20" s="65">
        <f>((0.5*AW20)+(0.3*AX20)+(0.15*AY20)+(0.05*AZ20))*4</f>
        <v>195.2</v>
      </c>
      <c r="CT20" s="110">
        <f t="shared" si="3"/>
        <v>3.5418161833268913</v>
      </c>
      <c r="CU20" s="110">
        <f t="shared" si="4"/>
        <v>3.3385972219884636</v>
      </c>
      <c r="CW20" s="62">
        <f t="shared" si="5"/>
        <v>3.5418161833268913</v>
      </c>
      <c r="CX20" s="65">
        <f t="shared" ref="CX20:CX26" si="7">SUM(K20:N20)/SUM(G20:J20)*CR20</f>
        <v>0</v>
      </c>
      <c r="CY20" s="65">
        <f>SUM(BC20:BF20)</f>
        <v>108</v>
      </c>
      <c r="CZ20" s="65" t="e">
        <f>CY20/CX20%</f>
        <v>#DIV/0!</v>
      </c>
      <c r="DA20" s="378">
        <v>5068</v>
      </c>
      <c r="DB20" s="378">
        <v>10334</v>
      </c>
    </row>
    <row r="21" spans="1:112" ht="14.25" customHeight="1">
      <c r="A21" s="400" t="s">
        <v>472</v>
      </c>
      <c r="B21" s="65" t="s">
        <v>268</v>
      </c>
      <c r="C21" s="65">
        <v>1</v>
      </c>
      <c r="D21" s="65" t="e">
        <f>AVERAGE(G21:AA21)/AVERAGE(AC21:AV21)</f>
        <v>#DIV/0!</v>
      </c>
      <c r="E21" s="65">
        <f>AVERAGE(G21:AA21)/AVERAGE(AX21:BQ21)</f>
        <v>73.170694087403604</v>
      </c>
      <c r="F21" s="65" t="e">
        <f>AVERAGE(G21:AA21)/AVERAGE(BS21:CL21)</f>
        <v>#DIV/0!</v>
      </c>
      <c r="G21" s="76">
        <v>1581.3</v>
      </c>
      <c r="H21" s="76"/>
      <c r="I21" s="76"/>
      <c r="J21" s="65"/>
      <c r="K21" s="65"/>
      <c r="L21" s="65"/>
      <c r="M21" s="65"/>
      <c r="N21" s="65"/>
      <c r="O21" s="65"/>
      <c r="P21" s="65"/>
      <c r="Q21" s="65"/>
      <c r="R21" s="65"/>
      <c r="S21" s="65"/>
      <c r="T21" s="65"/>
      <c r="U21" s="65"/>
      <c r="V21" s="65"/>
      <c r="W21" s="65"/>
      <c r="X21" s="65"/>
      <c r="Y21" s="65"/>
      <c r="Z21" s="65"/>
      <c r="AA21" s="65"/>
      <c r="AB21" s="134"/>
      <c r="AC21" s="97"/>
      <c r="AD21" s="83"/>
      <c r="AE21" s="83"/>
      <c r="AF21" s="84"/>
      <c r="AG21" s="84"/>
      <c r="AH21" s="84"/>
      <c r="AI21" s="84"/>
      <c r="AJ21" s="84"/>
      <c r="AK21" s="84"/>
      <c r="AL21" s="86"/>
      <c r="AM21" s="84"/>
      <c r="AN21" s="84"/>
      <c r="AO21" s="84"/>
      <c r="AP21" s="84"/>
      <c r="AQ21" s="84"/>
      <c r="AR21" s="84"/>
      <c r="AS21" s="84"/>
      <c r="AT21" s="84"/>
      <c r="AU21" s="84"/>
      <c r="AV21" s="84"/>
      <c r="AW21" s="305">
        <v>47</v>
      </c>
      <c r="AX21" s="187">
        <v>52</v>
      </c>
      <c r="AY21" s="187">
        <v>46</v>
      </c>
      <c r="AZ21" s="187">
        <v>36</v>
      </c>
      <c r="BA21" s="187">
        <v>29</v>
      </c>
      <c r="BB21" s="187">
        <v>40</v>
      </c>
      <c r="BC21" s="187">
        <v>21</v>
      </c>
      <c r="BD21" s="182">
        <v>13</v>
      </c>
      <c r="BE21" s="187">
        <v>5</v>
      </c>
      <c r="BF21" s="182">
        <v>10</v>
      </c>
      <c r="BG21" s="183">
        <v>16</v>
      </c>
      <c r="BH21" s="187">
        <v>12</v>
      </c>
      <c r="BI21" s="187">
        <v>14</v>
      </c>
      <c r="BJ21" s="187">
        <v>13</v>
      </c>
      <c r="BK21" s="182">
        <v>16</v>
      </c>
      <c r="BL21" s="182">
        <v>17</v>
      </c>
      <c r="BM21" s="182">
        <v>17</v>
      </c>
      <c r="BN21" s="84">
        <v>16</v>
      </c>
      <c r="BO21" s="86">
        <v>16</v>
      </c>
      <c r="BP21" s="86"/>
      <c r="BQ21" s="92"/>
      <c r="BR21" s="87"/>
      <c r="BS21" s="87"/>
      <c r="BT21" s="87"/>
      <c r="BU21" s="87"/>
      <c r="BV21" s="87"/>
      <c r="BW21" s="87"/>
      <c r="BX21" s="87"/>
      <c r="BY21" s="87"/>
      <c r="BZ21" s="87"/>
      <c r="CA21" s="87"/>
      <c r="CB21" s="87"/>
      <c r="CC21" s="87"/>
      <c r="CD21" s="87"/>
      <c r="CE21" s="87"/>
      <c r="CF21" s="87"/>
      <c r="CG21" s="87"/>
      <c r="CH21" s="87"/>
      <c r="CI21" s="87"/>
      <c r="CJ21" s="87"/>
      <c r="CK21" s="87"/>
      <c r="CL21" s="87"/>
      <c r="CM21" s="344">
        <v>824</v>
      </c>
      <c r="CN21" s="345">
        <v>0.1</v>
      </c>
      <c r="CO21" s="63">
        <f t="shared" si="1"/>
        <v>1.2135922330097087E-2</v>
      </c>
      <c r="CP21" s="62">
        <f t="shared" si="6"/>
        <v>191199.99999999997</v>
      </c>
      <c r="CQ21" s="89"/>
      <c r="CR21" s="79">
        <f t="shared" si="2"/>
        <v>1581.2999999999997</v>
      </c>
      <c r="CS21" s="65">
        <f>((0.5*AW21)+(0.3*AX21)+(0.15*AY21)+(0.05*AZ21))*4</f>
        <v>191.2</v>
      </c>
      <c r="CT21" s="80">
        <f t="shared" si="3"/>
        <v>12.091317270600141</v>
      </c>
      <c r="CU21" s="110">
        <f t="shared" si="4"/>
        <v>11.888952127995955</v>
      </c>
      <c r="CV21" s="83"/>
      <c r="CW21" s="65">
        <f t="shared" si="5"/>
        <v>12.091317270600141</v>
      </c>
      <c r="CX21" s="65">
        <f t="shared" si="7"/>
        <v>0</v>
      </c>
      <c r="CY21" s="65">
        <f>SUM(BB21:BE21)</f>
        <v>79</v>
      </c>
      <c r="CZ21" s="65" t="e">
        <f>CY21/CX21%</f>
        <v>#DIV/0!</v>
      </c>
      <c r="DA21" s="365">
        <v>569</v>
      </c>
      <c r="DB21" s="379">
        <v>569</v>
      </c>
      <c r="DE21" s="172"/>
    </row>
    <row r="22" spans="1:112" ht="14.25" customHeight="1">
      <c r="A22" s="386" t="s">
        <v>1028</v>
      </c>
      <c r="B22" s="61" t="s">
        <v>44</v>
      </c>
      <c r="C22" s="65">
        <v>11</v>
      </c>
      <c r="D22" s="65" t="e">
        <f>AVERAGE(G22:AA22)/AVERAGE(AC22:AV22)</f>
        <v>#DIV/0!</v>
      </c>
      <c r="E22" s="65">
        <f>AVERAGE(G22:AA22)/AVERAGE(AZ22:BQ22)</f>
        <v>49.976785714285711</v>
      </c>
      <c r="F22" s="65" t="e">
        <f>AVERAGE(G22:AA22)/AVERAGE(BS22:CL22)</f>
        <v>#DIV/0!</v>
      </c>
      <c r="G22" s="61">
        <v>466.45</v>
      </c>
      <c r="AW22" s="390">
        <v>31</v>
      </c>
      <c r="AX22" s="61">
        <v>24</v>
      </c>
      <c r="AY22" s="61">
        <v>22</v>
      </c>
      <c r="AZ22" s="61">
        <v>22</v>
      </c>
      <c r="BA22" s="61">
        <v>23</v>
      </c>
      <c r="BB22" s="61">
        <v>17</v>
      </c>
      <c r="BC22" s="61">
        <v>12</v>
      </c>
      <c r="BD22" s="61">
        <v>-7</v>
      </c>
      <c r="BE22" s="61">
        <v>3</v>
      </c>
      <c r="BF22" s="61">
        <v>-1</v>
      </c>
      <c r="BG22" s="61">
        <v>4</v>
      </c>
      <c r="BH22" s="61">
        <v>11</v>
      </c>
      <c r="CM22" s="342">
        <v>605</v>
      </c>
      <c r="CN22" s="342">
        <v>50</v>
      </c>
      <c r="CO22" s="170">
        <f t="shared" si="1"/>
        <v>8.2644628099173563</v>
      </c>
      <c r="CP22" s="62">
        <f t="shared" si="6"/>
        <v>216.8</v>
      </c>
      <c r="CQ22" s="64"/>
      <c r="CR22" s="79">
        <f t="shared" si="2"/>
        <v>2419.0681049069372</v>
      </c>
      <c r="CS22" s="65">
        <f>((0.5*AW22)+(0.3*AX22)+(0.15*AY22)+(0.05*AZ22))*4</f>
        <v>108.4</v>
      </c>
      <c r="CT22" s="110">
        <f t="shared" si="3"/>
        <v>4.4810644140244333</v>
      </c>
      <c r="CU22" s="110">
        <f t="shared" si="4"/>
        <v>5.1259408426109747</v>
      </c>
      <c r="CW22" s="62">
        <f t="shared" si="5"/>
        <v>4.4810644140244333</v>
      </c>
      <c r="CX22" s="65">
        <f t="shared" si="7"/>
        <v>0</v>
      </c>
      <c r="CZ22" s="62"/>
      <c r="DA22" s="342">
        <v>591</v>
      </c>
      <c r="DB22" s="342">
        <v>3065</v>
      </c>
    </row>
    <row r="23" spans="1:112" ht="14.25" customHeight="1">
      <c r="A23" s="392" t="s">
        <v>803</v>
      </c>
      <c r="B23" s="76" t="s">
        <v>268</v>
      </c>
      <c r="C23" s="65">
        <v>1</v>
      </c>
      <c r="D23" s="65" t="e">
        <f>AVERAGE(G23:AA23)/AVERAGE(AD23:AV23)</f>
        <v>#DIV/0!</v>
      </c>
      <c r="E23" s="65">
        <f t="shared" ref="E23:E28" si="8">AVERAGE(G23:AA23)/AVERAGE(AX23:BQ23)</f>
        <v>1.6422387136672856</v>
      </c>
      <c r="F23" s="65">
        <f>AVERAGE(G23:AA23)/AVERAGE(BT23:CL23)</f>
        <v>0.19366787482379047</v>
      </c>
      <c r="G23" s="76">
        <v>297.55</v>
      </c>
      <c r="H23" s="76">
        <v>93.55</v>
      </c>
      <c r="I23" s="65">
        <v>106.25</v>
      </c>
      <c r="J23" s="65">
        <v>108.7</v>
      </c>
      <c r="K23" s="65">
        <v>105.6</v>
      </c>
      <c r="L23" s="65">
        <v>112.2</v>
      </c>
      <c r="M23" s="65">
        <v>125.5</v>
      </c>
      <c r="N23" s="65">
        <v>142.80000000000001</v>
      </c>
      <c r="O23" s="65">
        <v>164</v>
      </c>
      <c r="P23" s="65">
        <v>165.75</v>
      </c>
      <c r="Q23" s="65">
        <v>179.25</v>
      </c>
      <c r="R23" s="65">
        <v>162.44999999999999</v>
      </c>
      <c r="S23" s="65">
        <v>110.7</v>
      </c>
      <c r="T23" s="65">
        <v>99.9</v>
      </c>
      <c r="U23" s="65">
        <v>97</v>
      </c>
      <c r="V23" s="65">
        <v>84.4</v>
      </c>
      <c r="W23" s="65">
        <v>96.4</v>
      </c>
      <c r="X23" s="65">
        <v>96.15</v>
      </c>
      <c r="Y23" s="65">
        <v>102.5</v>
      </c>
      <c r="Z23" s="65">
        <v>99.8</v>
      </c>
      <c r="AA23" s="65">
        <v>105.05</v>
      </c>
      <c r="AB23" s="65"/>
      <c r="AQ23" s="77"/>
      <c r="AV23" s="65"/>
      <c r="AW23" s="306">
        <v>110</v>
      </c>
      <c r="AX23" s="252">
        <v>101</v>
      </c>
      <c r="AY23" s="252">
        <v>85</v>
      </c>
      <c r="AZ23" s="201">
        <v>74</v>
      </c>
      <c r="BA23" s="78">
        <v>76</v>
      </c>
      <c r="BB23" s="201">
        <v>69</v>
      </c>
      <c r="BC23" s="397">
        <v>69</v>
      </c>
      <c r="BD23" s="201">
        <v>65</v>
      </c>
      <c r="BE23" s="201"/>
      <c r="BF23" s="201"/>
      <c r="BG23" s="196"/>
      <c r="BH23" s="195"/>
      <c r="BI23" s="86"/>
      <c r="BJ23" s="86"/>
      <c r="BK23" s="86"/>
      <c r="BL23" s="86"/>
      <c r="BM23" s="86"/>
      <c r="BN23" s="86"/>
      <c r="BO23" s="86"/>
      <c r="BP23" s="86"/>
      <c r="BQ23" s="86"/>
      <c r="BR23" s="87">
        <v>871.96</v>
      </c>
      <c r="BS23" s="87">
        <v>871.96</v>
      </c>
      <c r="BT23" s="87">
        <v>808.41</v>
      </c>
      <c r="BU23" s="87">
        <v>808.41</v>
      </c>
      <c r="BV23" s="87">
        <v>808.41</v>
      </c>
      <c r="BW23" s="87">
        <v>808.41</v>
      </c>
      <c r="BX23" s="87">
        <v>725.6</v>
      </c>
      <c r="BY23" s="87">
        <v>725.6</v>
      </c>
      <c r="BZ23" s="87">
        <v>725.6</v>
      </c>
      <c r="CA23" s="87">
        <v>725.6</v>
      </c>
      <c r="CB23" s="87">
        <v>628.5</v>
      </c>
      <c r="CC23" s="87">
        <v>628.5</v>
      </c>
      <c r="CD23" s="87">
        <v>628.5</v>
      </c>
      <c r="CE23" s="87">
        <v>628.5</v>
      </c>
      <c r="CF23" s="87">
        <v>563.77</v>
      </c>
      <c r="CG23" s="87">
        <v>563.77</v>
      </c>
      <c r="CH23" s="87">
        <v>563.77</v>
      </c>
      <c r="CI23" s="87">
        <v>563.77</v>
      </c>
      <c r="CJ23" s="87">
        <v>500.21</v>
      </c>
      <c r="CK23" s="87">
        <v>500.21</v>
      </c>
      <c r="CL23" s="87">
        <v>500.21</v>
      </c>
      <c r="CM23" s="346">
        <v>4520</v>
      </c>
      <c r="CN23" s="347">
        <v>2515</v>
      </c>
      <c r="CO23" s="170">
        <f t="shared" si="1"/>
        <v>55.641592920353979</v>
      </c>
      <c r="CP23" s="62">
        <f t="shared" si="6"/>
        <v>13.359840954274354</v>
      </c>
      <c r="CR23" s="79">
        <f t="shared" si="2"/>
        <v>14754.289154929578</v>
      </c>
      <c r="CS23" s="65">
        <f>SUM(AX23:BA23)</f>
        <v>336</v>
      </c>
      <c r="CT23" s="80">
        <f t="shared" si="3"/>
        <v>2.2773038841233402</v>
      </c>
      <c r="CU23" s="110">
        <f t="shared" si="4"/>
        <v>2.9821836577805643</v>
      </c>
      <c r="CV23" s="65">
        <v>1</v>
      </c>
      <c r="CW23" s="65">
        <f t="shared" si="5"/>
        <v>3.2773038841233402</v>
      </c>
      <c r="CX23" s="65">
        <f t="shared" si="7"/>
        <v>11834.106027904079</v>
      </c>
      <c r="CY23" s="65">
        <f>SUM(BB23:BE23)</f>
        <v>203</v>
      </c>
      <c r="CZ23" s="65">
        <f>CY23/CX23%</f>
        <v>1.7153809465737315</v>
      </c>
      <c r="DA23" s="342">
        <v>355</v>
      </c>
      <c r="DB23" s="370">
        <v>17603</v>
      </c>
      <c r="DD23" s="81">
        <f>CR23/CS23</f>
        <v>43.911574865861837</v>
      </c>
      <c r="DE23" s="171">
        <v>-0.46</v>
      </c>
      <c r="DF23" s="61" t="s">
        <v>224</v>
      </c>
      <c r="DG23" s="61" t="s">
        <v>440</v>
      </c>
    </row>
    <row r="24" spans="1:112" ht="14.25" customHeight="1">
      <c r="A24" s="394" t="s">
        <v>512</v>
      </c>
      <c r="B24" s="61" t="s">
        <v>44</v>
      </c>
      <c r="C24" s="65">
        <v>1</v>
      </c>
      <c r="D24" s="65" t="e">
        <f t="shared" ref="D24:D29" si="9">AVERAGE(G24:AA24)/AVERAGE(AC24:AV24)</f>
        <v>#DIV/0!</v>
      </c>
      <c r="E24" s="65">
        <f t="shared" si="8"/>
        <v>4.3664540337711069</v>
      </c>
      <c r="F24" s="65" t="e">
        <f t="shared" ref="F24:F29" si="10">AVERAGE(G24:AA24)/AVERAGE(BS24:CL24)</f>
        <v>#DIV/0!</v>
      </c>
      <c r="G24" s="61">
        <v>2909.15</v>
      </c>
      <c r="AW24" s="307">
        <v>850</v>
      </c>
      <c r="AX24" s="231">
        <v>1016</v>
      </c>
      <c r="AY24" s="231">
        <v>596</v>
      </c>
      <c r="AZ24" s="231">
        <v>568</v>
      </c>
      <c r="BA24" s="229">
        <v>852</v>
      </c>
      <c r="BB24" s="229">
        <v>1238</v>
      </c>
      <c r="BC24" s="230">
        <v>830</v>
      </c>
      <c r="BD24" s="229">
        <v>218</v>
      </c>
      <c r="BE24" s="229">
        <v>462</v>
      </c>
      <c r="BF24" s="229">
        <v>764</v>
      </c>
      <c r="BG24" s="229">
        <v>823</v>
      </c>
      <c r="BH24" s="229">
        <v>655</v>
      </c>
      <c r="BI24" s="229">
        <v>472</v>
      </c>
      <c r="BJ24" s="229">
        <v>636</v>
      </c>
      <c r="BK24" s="229">
        <v>492</v>
      </c>
      <c r="BL24" s="61">
        <v>557</v>
      </c>
      <c r="BM24" s="61">
        <v>481</v>
      </c>
      <c r="CM24" s="348">
        <v>22984</v>
      </c>
      <c r="CN24" s="348">
        <v>1587</v>
      </c>
      <c r="CO24" s="170">
        <f t="shared" si="1"/>
        <v>6.904803341454925</v>
      </c>
      <c r="CP24" s="62">
        <f t="shared" si="6"/>
        <v>213.63579080025204</v>
      </c>
      <c r="CQ24" s="64"/>
      <c r="CR24" s="79">
        <f t="shared" si="2"/>
        <v>279007.09212382446</v>
      </c>
      <c r="CS24" s="65">
        <f>((0.5*AW24)+(0.3*AX24)+(0.15*AY24)+(0.05*AZ24))*4</f>
        <v>3390.3999999999996</v>
      </c>
      <c r="CT24" s="110">
        <f t="shared" si="3"/>
        <v>1.2151662433352508</v>
      </c>
      <c r="CU24" s="110">
        <f t="shared" si="4"/>
        <v>1.2186070160865541</v>
      </c>
      <c r="CW24" s="62">
        <f t="shared" si="5"/>
        <v>1.2151662433352508</v>
      </c>
      <c r="CX24" s="65">
        <f t="shared" si="7"/>
        <v>0</v>
      </c>
      <c r="CY24" s="65">
        <f>SUM(BC24:BF24)</f>
        <v>2274</v>
      </c>
      <c r="CZ24" s="65" t="e">
        <f>CY24/CX24%</f>
        <v>#DIV/0!</v>
      </c>
      <c r="DA24" s="342">
        <v>2552</v>
      </c>
      <c r="DB24" s="342">
        <v>244754</v>
      </c>
    </row>
    <row r="25" spans="1:112" ht="14.25" customHeight="1">
      <c r="A25" s="426" t="s">
        <v>8</v>
      </c>
      <c r="B25" s="76" t="s">
        <v>268</v>
      </c>
      <c r="C25" s="65">
        <v>1</v>
      </c>
      <c r="D25" s="65">
        <f t="shared" si="9"/>
        <v>3.573802714122619</v>
      </c>
      <c r="E25" s="65">
        <f t="shared" si="8"/>
        <v>99.096308867204087</v>
      </c>
      <c r="F25" s="65">
        <f t="shared" si="10"/>
        <v>2.1006830001216814</v>
      </c>
      <c r="G25" s="76">
        <v>229.6</v>
      </c>
      <c r="H25" s="65">
        <v>80</v>
      </c>
      <c r="I25" s="65">
        <v>144.6</v>
      </c>
      <c r="J25" s="65">
        <v>168.3</v>
      </c>
      <c r="K25" s="65">
        <v>171</v>
      </c>
      <c r="L25" s="65">
        <v>192</v>
      </c>
      <c r="M25" s="65">
        <v>264.2</v>
      </c>
      <c r="N25" s="65">
        <v>378.45</v>
      </c>
      <c r="O25" s="65">
        <v>508.9</v>
      </c>
      <c r="P25" s="65">
        <v>277.14999999999998</v>
      </c>
      <c r="Q25" s="65">
        <v>204.05</v>
      </c>
      <c r="R25" s="65">
        <v>217.05</v>
      </c>
      <c r="S25" s="65">
        <v>192</v>
      </c>
      <c r="T25" s="65">
        <v>206.8</v>
      </c>
      <c r="U25" s="65">
        <v>269.45</v>
      </c>
      <c r="AB25" s="82">
        <v>57.64</v>
      </c>
      <c r="AC25" s="84">
        <v>55.36</v>
      </c>
      <c r="AD25" s="84">
        <v>67.650000000000006</v>
      </c>
      <c r="AE25" s="84">
        <v>82.05</v>
      </c>
      <c r="AF25" s="84">
        <v>53.48</v>
      </c>
      <c r="AG25" s="84">
        <v>69.239999999999995</v>
      </c>
      <c r="AH25" s="84">
        <v>70.87</v>
      </c>
      <c r="AI25" s="84">
        <v>82.69</v>
      </c>
      <c r="AJ25" s="84">
        <v>66.599999999999994</v>
      </c>
      <c r="AK25" s="84">
        <v>60.78</v>
      </c>
      <c r="AL25" s="84">
        <v>72.05</v>
      </c>
      <c r="AM25" s="84">
        <v>78.19</v>
      </c>
      <c r="AN25" s="84">
        <v>49.01</v>
      </c>
      <c r="AO25" s="84">
        <v>41.66</v>
      </c>
      <c r="AV25" s="89"/>
      <c r="AW25" s="308">
        <v>4.76</v>
      </c>
      <c r="AX25" s="191">
        <v>8.9600000000000009</v>
      </c>
      <c r="AY25" s="191">
        <v>5.79</v>
      </c>
      <c r="AZ25" s="308">
        <v>0.34</v>
      </c>
      <c r="BA25" s="191">
        <v>2.34</v>
      </c>
      <c r="BB25" s="191">
        <v>5.79</v>
      </c>
      <c r="BC25" s="188">
        <v>2.02</v>
      </c>
      <c r="BD25" s="189">
        <v>-2.37</v>
      </c>
      <c r="BE25" s="188">
        <v>1.61</v>
      </c>
      <c r="BF25" s="188">
        <v>2.2200000000000002</v>
      </c>
      <c r="BG25" s="189">
        <v>-1.4</v>
      </c>
      <c r="BH25" s="189">
        <v>-2.85</v>
      </c>
      <c r="BI25" s="188">
        <v>6.07</v>
      </c>
      <c r="BJ25" s="189">
        <v>7.5</v>
      </c>
      <c r="BK25" s="189">
        <v>-5.12</v>
      </c>
      <c r="BL25" s="189">
        <v>-1.1399999999999999</v>
      </c>
      <c r="BM25" s="92">
        <v>4.18</v>
      </c>
      <c r="BN25" s="86">
        <v>5.14</v>
      </c>
      <c r="BO25" s="86">
        <v>2.36</v>
      </c>
      <c r="BP25" s="96">
        <v>7.09</v>
      </c>
      <c r="BQ25" s="84">
        <v>-1.39</v>
      </c>
      <c r="BR25" s="87">
        <v>131.51</v>
      </c>
      <c r="BS25" s="87">
        <v>131.51</v>
      </c>
      <c r="BT25" s="87">
        <v>121.03</v>
      </c>
      <c r="BU25" s="87">
        <v>121.03</v>
      </c>
      <c r="BV25" s="87">
        <v>121.03</v>
      </c>
      <c r="BW25" s="87">
        <v>121.03</v>
      </c>
      <c r="BX25" s="87">
        <v>110.85</v>
      </c>
      <c r="BY25" s="87">
        <v>110.85</v>
      </c>
      <c r="BZ25" s="87">
        <v>110.85</v>
      </c>
      <c r="CA25" s="87">
        <v>110.85</v>
      </c>
      <c r="CB25" s="87">
        <v>104.94</v>
      </c>
      <c r="CC25" s="87">
        <v>104.94</v>
      </c>
      <c r="CD25" s="87">
        <v>104.94</v>
      </c>
      <c r="CE25" s="87">
        <v>104.94</v>
      </c>
      <c r="CF25" s="87">
        <v>102.85</v>
      </c>
      <c r="CG25" s="87">
        <v>102.85</v>
      </c>
      <c r="CH25" s="87">
        <v>102.85</v>
      </c>
      <c r="CI25" s="87">
        <v>102.85</v>
      </c>
      <c r="CM25" s="349">
        <v>240</v>
      </c>
      <c r="CN25" s="349">
        <v>24</v>
      </c>
      <c r="CO25" s="63">
        <f t="shared" si="1"/>
        <v>10</v>
      </c>
      <c r="CP25" s="62">
        <f t="shared" si="6"/>
        <v>99.225000000000009</v>
      </c>
      <c r="CQ25" s="76">
        <v>0</v>
      </c>
      <c r="CR25" s="79">
        <f t="shared" si="2"/>
        <v>179.03333333333333</v>
      </c>
      <c r="CS25" s="65">
        <f>((0.5*AW25)+(0.3*AX25)+(0.15*AY25)+(0.05*AZ25))*4</f>
        <v>23.814</v>
      </c>
      <c r="CT25" s="80">
        <f t="shared" si="3"/>
        <v>13.301433625023273</v>
      </c>
      <c r="CU25" s="110">
        <f t="shared" si="4"/>
        <v>10.634891081735244</v>
      </c>
      <c r="CV25" s="83">
        <v>2.21</v>
      </c>
      <c r="CW25" s="65">
        <f t="shared" si="5"/>
        <v>15.511433625023272</v>
      </c>
      <c r="CX25" s="65">
        <f t="shared" si="7"/>
        <v>289.22870950468547</v>
      </c>
      <c r="CY25" s="65">
        <f>SUM(BB25:BE25)</f>
        <v>7.0500000000000007</v>
      </c>
      <c r="CZ25" s="65">
        <f>CY25/CX25%</f>
        <v>2.4375173585199676</v>
      </c>
      <c r="DA25" s="365">
        <v>168</v>
      </c>
      <c r="DB25" s="379">
        <v>131</v>
      </c>
      <c r="DC25" s="61" t="s">
        <v>401</v>
      </c>
      <c r="DD25" s="81">
        <f>CR25/CS25</f>
        <v>7.5179866185157191</v>
      </c>
      <c r="DE25" s="65">
        <v>704.92431284026031</v>
      </c>
    </row>
    <row r="26" spans="1:112" ht="14.25" customHeight="1" thickBot="1">
      <c r="A26" s="392" t="s">
        <v>9</v>
      </c>
      <c r="B26" s="65" t="s">
        <v>165</v>
      </c>
      <c r="C26" s="65">
        <v>1</v>
      </c>
      <c r="D26" s="65">
        <f t="shared" si="9"/>
        <v>25.527927495708362</v>
      </c>
      <c r="E26" s="65">
        <f t="shared" si="8"/>
        <v>74.751953639476667</v>
      </c>
      <c r="F26" s="65">
        <f t="shared" si="10"/>
        <v>9.6816930879978127</v>
      </c>
      <c r="G26" s="76">
        <v>413.65</v>
      </c>
      <c r="H26" s="76">
        <v>200</v>
      </c>
      <c r="I26" s="76">
        <v>300.2</v>
      </c>
      <c r="J26" s="65">
        <v>206</v>
      </c>
      <c r="K26" s="65">
        <v>211</v>
      </c>
      <c r="L26" s="65">
        <v>241.7</v>
      </c>
      <c r="M26" s="65">
        <v>226.4</v>
      </c>
      <c r="N26" s="65">
        <v>215.45</v>
      </c>
      <c r="O26" s="65">
        <v>211.8</v>
      </c>
      <c r="P26" s="65">
        <v>311.75</v>
      </c>
      <c r="Q26" s="65">
        <v>541.54999999999995</v>
      </c>
      <c r="R26" s="65">
        <v>538.9</v>
      </c>
      <c r="S26" s="65">
        <v>282.2</v>
      </c>
      <c r="T26" s="65">
        <v>241.35</v>
      </c>
      <c r="U26" s="65">
        <v>204.9</v>
      </c>
      <c r="V26" s="65">
        <v>131.75</v>
      </c>
      <c r="W26" s="65">
        <v>118.65</v>
      </c>
      <c r="X26" s="65">
        <v>130.05000000000001</v>
      </c>
      <c r="Y26" s="65">
        <v>140.1</v>
      </c>
      <c r="Z26" s="65">
        <v>147.69999999999999</v>
      </c>
      <c r="AA26" s="65">
        <v>93</v>
      </c>
      <c r="AB26" s="134">
        <v>21.69</v>
      </c>
      <c r="AC26" s="97">
        <v>13.48</v>
      </c>
      <c r="AD26" s="83">
        <v>8.06</v>
      </c>
      <c r="AE26" s="83">
        <v>8.68</v>
      </c>
      <c r="AF26" s="84">
        <v>14.48</v>
      </c>
      <c r="AG26" s="84">
        <v>14.11</v>
      </c>
      <c r="AH26" s="84">
        <v>10.08</v>
      </c>
      <c r="AI26" s="84">
        <v>12.18</v>
      </c>
      <c r="AJ26" s="84">
        <v>14.28</v>
      </c>
      <c r="AK26" s="84">
        <v>11.67</v>
      </c>
      <c r="AL26" s="86">
        <v>11.67</v>
      </c>
      <c r="AM26" s="84">
        <v>9.48</v>
      </c>
      <c r="AN26" s="84">
        <v>10.039999999999999</v>
      </c>
      <c r="AO26" s="84">
        <v>8.3000000000000007</v>
      </c>
      <c r="AP26" s="84">
        <v>7.37</v>
      </c>
      <c r="AQ26" s="84">
        <v>7.88</v>
      </c>
      <c r="AR26" s="84">
        <v>13.21</v>
      </c>
      <c r="AS26" s="84">
        <v>3.82</v>
      </c>
      <c r="AT26" s="84">
        <v>3.84</v>
      </c>
      <c r="AU26" s="84">
        <v>3.72</v>
      </c>
      <c r="AV26" s="84">
        <v>4.22</v>
      </c>
      <c r="AW26" s="328">
        <v>6.99</v>
      </c>
      <c r="AX26" s="281">
        <v>5.62</v>
      </c>
      <c r="AY26" s="281">
        <v>3.5</v>
      </c>
      <c r="AZ26" s="281">
        <v>3.07</v>
      </c>
      <c r="BA26" s="281">
        <v>5.69</v>
      </c>
      <c r="BB26" s="281">
        <v>4.97</v>
      </c>
      <c r="BC26" s="281">
        <v>3.29</v>
      </c>
      <c r="BD26" s="78">
        <v>1.45</v>
      </c>
      <c r="BE26" s="94">
        <v>4.12</v>
      </c>
      <c r="BF26" s="85">
        <v>2.92</v>
      </c>
      <c r="BG26" s="86">
        <v>2.38</v>
      </c>
      <c r="BH26" s="86">
        <v>1.36</v>
      </c>
      <c r="BI26" s="86">
        <v>3.15</v>
      </c>
      <c r="BJ26" s="86">
        <v>3.31</v>
      </c>
      <c r="BK26" s="95">
        <v>0.62</v>
      </c>
      <c r="BL26" s="84">
        <v>2.42</v>
      </c>
      <c r="BM26" s="84">
        <v>-1.29</v>
      </c>
      <c r="BN26" s="86">
        <v>3.13</v>
      </c>
      <c r="BO26" s="92">
        <v>3.25</v>
      </c>
      <c r="BP26" s="86">
        <v>12.22</v>
      </c>
      <c r="BQ26" s="84">
        <v>-0.1</v>
      </c>
      <c r="BR26" s="87">
        <v>43.05</v>
      </c>
      <c r="BS26" s="87">
        <v>43.05</v>
      </c>
      <c r="BT26" s="87">
        <v>43.05</v>
      </c>
      <c r="BU26" s="87">
        <v>36.96</v>
      </c>
      <c r="BV26" s="87">
        <v>36.96</v>
      </c>
      <c r="BW26" s="87">
        <v>36.96</v>
      </c>
      <c r="BX26" s="87">
        <v>36.96</v>
      </c>
      <c r="BY26" s="87">
        <v>20.63</v>
      </c>
      <c r="BZ26" s="87">
        <v>20.63</v>
      </c>
      <c r="CA26" s="87">
        <v>20.63</v>
      </c>
      <c r="CB26" s="100">
        <v>20.63</v>
      </c>
      <c r="CC26" s="100">
        <v>18.48</v>
      </c>
      <c r="CD26" s="100">
        <v>18.48</v>
      </c>
      <c r="CE26" s="100">
        <v>18.48</v>
      </c>
      <c r="CF26" s="87">
        <v>18.48</v>
      </c>
      <c r="CG26" s="87">
        <v>18.38</v>
      </c>
      <c r="CH26" s="87">
        <v>18.38</v>
      </c>
      <c r="CI26" s="87">
        <v>18.38</v>
      </c>
      <c r="CJ26" s="87">
        <v>18.38</v>
      </c>
      <c r="CK26" s="87">
        <v>19.29</v>
      </c>
      <c r="CL26" s="87">
        <v>19.29</v>
      </c>
      <c r="CM26" s="344">
        <v>110</v>
      </c>
      <c r="CN26" s="345">
        <v>16</v>
      </c>
      <c r="CO26" s="63">
        <f t="shared" si="1"/>
        <v>14.545454545454545</v>
      </c>
      <c r="CP26" s="62">
        <f t="shared" si="6"/>
        <v>146.48750000000001</v>
      </c>
      <c r="CQ26" s="89"/>
      <c r="CR26" s="79">
        <f t="shared" si="2"/>
        <v>167.71225800711744</v>
      </c>
      <c r="CS26" s="65">
        <f>((0.5*AW26)+(0.3*AX26)+(0.15*AY26)+(0.05*AZ26))*4</f>
        <v>23.438000000000002</v>
      </c>
      <c r="CT26" s="80">
        <f t="shared" si="3"/>
        <v>13.975126373294271</v>
      </c>
      <c r="CU26" s="110">
        <f t="shared" si="4"/>
        <v>16.671411101514966</v>
      </c>
      <c r="CV26" s="83">
        <v>2.5</v>
      </c>
      <c r="CW26" s="65">
        <f t="shared" si="5"/>
        <v>16.475126373294273</v>
      </c>
      <c r="CX26" s="65">
        <f t="shared" si="7"/>
        <v>133.9706214227503</v>
      </c>
      <c r="CY26" s="65">
        <f>SUM(BB26:BE26)</f>
        <v>13.829999999999998</v>
      </c>
      <c r="CZ26" s="65">
        <f>CY26/CX26%</f>
        <v>10.323158803868509</v>
      </c>
      <c r="DA26" s="365">
        <v>281</v>
      </c>
      <c r="DB26" s="379">
        <v>113.93</v>
      </c>
      <c r="DD26" s="81">
        <f>CR26/CS26</f>
        <v>7.1555703561360788</v>
      </c>
      <c r="DE26" s="172">
        <v>0.54</v>
      </c>
      <c r="DF26" s="61" t="s">
        <v>225</v>
      </c>
      <c r="DG26" s="61" t="s">
        <v>225</v>
      </c>
    </row>
    <row r="27" spans="1:112" ht="14.25" customHeight="1">
      <c r="A27" s="393" t="s">
        <v>671</v>
      </c>
      <c r="B27" s="76" t="s">
        <v>44</v>
      </c>
      <c r="C27" s="65">
        <v>1</v>
      </c>
      <c r="D27" s="65" t="e">
        <f t="shared" si="9"/>
        <v>#DIV/0!</v>
      </c>
      <c r="E27" s="65">
        <f t="shared" si="8"/>
        <v>4.9035874439461891</v>
      </c>
      <c r="F27" s="65" t="e">
        <f t="shared" si="10"/>
        <v>#DIV/0!</v>
      </c>
      <c r="G27" s="61">
        <v>5977.8</v>
      </c>
      <c r="AW27" s="407">
        <v>2420</v>
      </c>
      <c r="AX27" s="411">
        <v>2125</v>
      </c>
      <c r="AY27" s="407">
        <v>1481</v>
      </c>
      <c r="AZ27" s="411">
        <v>1002</v>
      </c>
      <c r="BA27" s="413">
        <v>1347</v>
      </c>
      <c r="BB27" s="413">
        <v>1146</v>
      </c>
      <c r="BC27" s="417">
        <v>965</v>
      </c>
      <c r="BD27" s="246">
        <v>962</v>
      </c>
      <c r="BE27" s="246">
        <v>948</v>
      </c>
      <c r="BF27" s="413">
        <v>1614</v>
      </c>
      <c r="BG27" s="247">
        <v>1506</v>
      </c>
      <c r="BH27" s="248">
        <v>1195</v>
      </c>
      <c r="BI27" s="247">
        <v>1176</v>
      </c>
      <c r="BJ27" s="247">
        <v>1060</v>
      </c>
      <c r="BK27" s="246">
        <v>923</v>
      </c>
      <c r="BL27" s="246">
        <v>836</v>
      </c>
      <c r="BQ27" s="91"/>
      <c r="CM27" s="348">
        <v>171527</v>
      </c>
      <c r="CN27" s="348">
        <v>131645</v>
      </c>
      <c r="CO27" s="170">
        <f t="shared" si="1"/>
        <v>76.748850035271417</v>
      </c>
      <c r="CP27" s="62">
        <f t="shared" si="6"/>
        <v>6.4408067150290549</v>
      </c>
      <c r="CQ27" s="64">
        <v>0</v>
      </c>
      <c r="CR27" s="79">
        <f t="shared" si="2"/>
        <v>360843.46834640414</v>
      </c>
      <c r="CS27" s="65">
        <f>((0.5*AW27)+(0.3*AX27)+(0.15*AY27)+(0.05*AZ27))*4</f>
        <v>8479</v>
      </c>
      <c r="CT27" s="80">
        <f t="shared" si="3"/>
        <v>2.3497723372563009</v>
      </c>
      <c r="CU27" s="110">
        <f t="shared" si="4"/>
        <v>2.6826036354099529</v>
      </c>
      <c r="CW27" s="65">
        <f t="shared" si="5"/>
        <v>2.3497723372563009</v>
      </c>
      <c r="CX27" s="62"/>
      <c r="CZ27" s="62"/>
      <c r="DA27" s="342">
        <v>5993</v>
      </c>
      <c r="DB27" s="342">
        <v>361761</v>
      </c>
    </row>
    <row r="28" spans="1:112" ht="14.25" customHeight="1">
      <c r="A28" s="392" t="s">
        <v>194</v>
      </c>
      <c r="B28" s="65" t="s">
        <v>44</v>
      </c>
      <c r="C28" s="65">
        <v>1</v>
      </c>
      <c r="D28" s="65">
        <f t="shared" si="9"/>
        <v>16.730114905008985</v>
      </c>
      <c r="E28" s="65">
        <f t="shared" si="8"/>
        <v>3.0792890520694258</v>
      </c>
      <c r="F28" s="65">
        <f t="shared" si="10"/>
        <v>1.2978640839937401</v>
      </c>
      <c r="G28" s="61">
        <v>1391.15</v>
      </c>
      <c r="H28" s="62">
        <v>4200</v>
      </c>
      <c r="I28" s="62">
        <v>7037.05</v>
      </c>
      <c r="J28" s="62">
        <v>6476.95</v>
      </c>
      <c r="K28" s="62">
        <v>6006.2</v>
      </c>
      <c r="L28" s="62">
        <v>5821.1</v>
      </c>
      <c r="M28" s="62">
        <v>5171.55</v>
      </c>
      <c r="N28" s="62">
        <v>5230.3999999999996</v>
      </c>
      <c r="O28" s="62">
        <v>5154.45</v>
      </c>
      <c r="P28" s="62">
        <v>4118.7</v>
      </c>
      <c r="Q28" s="62">
        <v>4098.3999999999996</v>
      </c>
      <c r="R28" s="62">
        <v>2894.85</v>
      </c>
      <c r="S28" s="62">
        <v>3069.55</v>
      </c>
      <c r="T28" s="62">
        <v>2321.6</v>
      </c>
      <c r="U28" s="62">
        <v>1711.1</v>
      </c>
      <c r="V28" s="62">
        <v>1987.9</v>
      </c>
      <c r="W28" s="62">
        <v>1729.5</v>
      </c>
      <c r="X28" s="62">
        <v>1532.1</v>
      </c>
      <c r="Y28" s="62">
        <v>1414.55</v>
      </c>
      <c r="Z28" s="62">
        <v>1307.6500000000001</v>
      </c>
      <c r="AA28" s="62">
        <v>1129.6500000000001</v>
      </c>
      <c r="AB28" s="84">
        <v>423.05</v>
      </c>
      <c r="AC28" s="84">
        <v>423.05</v>
      </c>
      <c r="AD28" s="84">
        <v>239.76</v>
      </c>
      <c r="AE28" s="84">
        <v>239.76</v>
      </c>
      <c r="AF28" s="84">
        <v>239.76</v>
      </c>
      <c r="AG28" s="84">
        <v>239.76</v>
      </c>
      <c r="AH28" s="84">
        <v>153.9</v>
      </c>
      <c r="AI28" s="84">
        <v>153.9</v>
      </c>
      <c r="AJ28" s="84">
        <v>153.9</v>
      </c>
      <c r="AK28" s="86">
        <v>153.9</v>
      </c>
      <c r="AL28" s="84">
        <v>242.32</v>
      </c>
      <c r="AM28" s="84">
        <v>242.32</v>
      </c>
      <c r="AN28" s="84">
        <v>242.32</v>
      </c>
      <c r="AO28" s="84">
        <v>242.32</v>
      </c>
      <c r="AP28" s="84">
        <v>200.24</v>
      </c>
      <c r="AQ28" s="84">
        <v>200.24</v>
      </c>
      <c r="AR28" s="84">
        <v>200.24</v>
      </c>
      <c r="AS28" s="84">
        <v>200.24</v>
      </c>
      <c r="AT28" s="84">
        <v>144.49</v>
      </c>
      <c r="AU28" s="84">
        <v>144.49</v>
      </c>
      <c r="AV28" s="84">
        <v>144.49</v>
      </c>
      <c r="AW28" s="310">
        <v>1346</v>
      </c>
      <c r="AX28" s="193">
        <v>1256</v>
      </c>
      <c r="AY28" s="193">
        <v>1222</v>
      </c>
      <c r="AZ28" s="193">
        <v>833</v>
      </c>
      <c r="BA28" s="193">
        <v>1744</v>
      </c>
      <c r="BB28" s="193">
        <v>2081</v>
      </c>
      <c r="BC28" s="193">
        <v>1618</v>
      </c>
      <c r="BD28" s="185">
        <v>1922</v>
      </c>
      <c r="BE28" s="186">
        <v>538</v>
      </c>
      <c r="BF28" s="419">
        <v>1204</v>
      </c>
      <c r="BG28" s="186">
        <v>845</v>
      </c>
      <c r="BH28" s="186">
        <v>839</v>
      </c>
      <c r="BI28" s="186">
        <v>851</v>
      </c>
      <c r="BJ28" s="186">
        <v>704</v>
      </c>
      <c r="BK28" s="100">
        <v>826</v>
      </c>
      <c r="BL28" s="100">
        <v>637</v>
      </c>
      <c r="BM28" s="100"/>
      <c r="BN28" s="100"/>
      <c r="BO28" s="100"/>
      <c r="BP28" s="100"/>
      <c r="BQ28" s="100"/>
      <c r="BR28" s="101">
        <v>3160.91</v>
      </c>
      <c r="BS28" s="101">
        <v>3160.91</v>
      </c>
      <c r="BT28" s="101">
        <v>2879.73</v>
      </c>
      <c r="BU28" s="101">
        <v>2879.73</v>
      </c>
      <c r="BV28" s="101">
        <v>2879.73</v>
      </c>
      <c r="BW28" s="101">
        <v>2879.73</v>
      </c>
      <c r="BX28" s="101">
        <v>2766.02</v>
      </c>
      <c r="BY28" s="101">
        <v>2766.02</v>
      </c>
      <c r="BZ28" s="101">
        <v>2766.02</v>
      </c>
      <c r="CA28" s="101">
        <v>2766.02</v>
      </c>
      <c r="CB28" s="101">
        <v>2695.98</v>
      </c>
      <c r="CC28" s="101">
        <v>2695.98</v>
      </c>
      <c r="CD28" s="101">
        <v>2695.98</v>
      </c>
      <c r="CE28" s="101">
        <v>2695.98</v>
      </c>
      <c r="CF28" s="101">
        <v>2560.29</v>
      </c>
      <c r="CG28" s="101">
        <v>2560.29</v>
      </c>
      <c r="CH28" s="101">
        <v>2560.29</v>
      </c>
      <c r="CI28" s="101">
        <v>2560.29</v>
      </c>
      <c r="CJ28" s="101">
        <v>2463.0500000000002</v>
      </c>
      <c r="CK28" s="101">
        <v>2463.0500000000002</v>
      </c>
      <c r="CL28" s="101">
        <v>2463.0500000000002</v>
      </c>
      <c r="CM28" s="350">
        <v>3160.91</v>
      </c>
      <c r="CN28" s="351">
        <v>0.1</v>
      </c>
      <c r="CO28" s="63">
        <f t="shared" si="1"/>
        <v>3.1636459120949353E-3</v>
      </c>
      <c r="CP28" s="62">
        <f t="shared" si="6"/>
        <v>5055000</v>
      </c>
      <c r="CQ28" s="89"/>
      <c r="CR28" s="79">
        <f t="shared" si="2"/>
        <v>22125.155605873246</v>
      </c>
      <c r="CS28" s="65">
        <f>SUM(AX28:BA28)</f>
        <v>5055</v>
      </c>
      <c r="CT28" s="80">
        <f t="shared" si="3"/>
        <v>22.847296941306581</v>
      </c>
      <c r="CU28" s="110">
        <f t="shared" si="4"/>
        <v>24.334292132936625</v>
      </c>
      <c r="CW28" s="65">
        <f t="shared" si="5"/>
        <v>22.847296941306581</v>
      </c>
      <c r="CX28" s="65">
        <f>SUM(K28:N28)/SUM(G28:J28)*CR28</f>
        <v>25743.091012206543</v>
      </c>
      <c r="CY28" s="65">
        <f>SUM(BB28:BE28)</f>
        <v>6159</v>
      </c>
      <c r="CZ28" s="65">
        <f>CY28/CX28%</f>
        <v>23.924865887626318</v>
      </c>
      <c r="DA28" s="342">
        <v>9623.2999999999993</v>
      </c>
      <c r="DB28" s="380">
        <v>153051.07999999999</v>
      </c>
      <c r="DD28" s="81">
        <f>CR28/CS28</f>
        <v>4.3768853819729472</v>
      </c>
      <c r="DE28" s="102" t="e">
        <f>#REF!/#REF!*DD28=#REF!/#REF!*DD28=#REF!/#REF!*DD28</f>
        <v>#REF!</v>
      </c>
    </row>
    <row r="29" spans="1:112" ht="14.25" customHeight="1">
      <c r="A29" s="392" t="s">
        <v>10</v>
      </c>
      <c r="B29" s="76" t="s">
        <v>268</v>
      </c>
      <c r="C29" s="65">
        <v>1</v>
      </c>
      <c r="D29" s="65">
        <f t="shared" si="9"/>
        <v>4.9302045224260099E-2</v>
      </c>
      <c r="E29" s="65">
        <f>AVERAGE(G29:AA29)/AVERAGE(AX29:BQ29)</f>
        <v>0.24878864965773206</v>
      </c>
      <c r="F29" s="65">
        <f t="shared" si="10"/>
        <v>1.4579879463631189E-2</v>
      </c>
      <c r="G29" s="61">
        <v>108.95</v>
      </c>
      <c r="H29" s="65">
        <v>112.5</v>
      </c>
      <c r="I29" s="65">
        <v>93.25</v>
      </c>
      <c r="J29" s="65">
        <v>87.95</v>
      </c>
      <c r="K29" s="65">
        <v>80.3</v>
      </c>
      <c r="L29" s="65">
        <v>108.65</v>
      </c>
      <c r="M29" s="65">
        <v>141.44999999999999</v>
      </c>
      <c r="N29" s="65">
        <v>182.15</v>
      </c>
      <c r="O29" s="65">
        <v>162.80000000000001</v>
      </c>
      <c r="P29" s="65">
        <v>146.86000000000001</v>
      </c>
      <c r="Q29" s="65">
        <v>142.5</v>
      </c>
      <c r="R29" s="65">
        <v>125</v>
      </c>
      <c r="S29" s="65">
        <v>113.16</v>
      </c>
      <c r="T29" s="65">
        <v>115.19</v>
      </c>
      <c r="U29" s="65">
        <v>111.3</v>
      </c>
      <c r="V29" s="65">
        <v>124.65</v>
      </c>
      <c r="W29" s="65">
        <v>103.22</v>
      </c>
      <c r="X29" s="65">
        <v>102.01</v>
      </c>
      <c r="Y29" s="65">
        <v>101.53</v>
      </c>
      <c r="Z29" s="65">
        <v>89.32</v>
      </c>
      <c r="AA29" s="65">
        <v>60.31</v>
      </c>
      <c r="AB29" s="105">
        <v>2179.04</v>
      </c>
      <c r="AC29" s="105">
        <v>2661.25</v>
      </c>
      <c r="AD29" s="107">
        <v>2041.98</v>
      </c>
      <c r="AE29" s="107">
        <v>3772.6</v>
      </c>
      <c r="AF29" s="107">
        <v>2656.38</v>
      </c>
      <c r="AG29" s="107">
        <v>3282.4</v>
      </c>
      <c r="AH29" s="107">
        <v>2077.84</v>
      </c>
      <c r="AI29" s="107">
        <v>3427.97</v>
      </c>
      <c r="AJ29" s="107">
        <v>2452.31</v>
      </c>
      <c r="AK29" s="108">
        <v>2431.73</v>
      </c>
      <c r="AL29" s="107">
        <v>1694.55</v>
      </c>
      <c r="AM29" s="109">
        <v>3835.2</v>
      </c>
      <c r="AN29" s="107">
        <v>1942.25</v>
      </c>
      <c r="AO29" s="107">
        <v>1755.89</v>
      </c>
      <c r="AP29" s="84">
        <v>854.3</v>
      </c>
      <c r="AQ29" s="107">
        <v>3144.4</v>
      </c>
      <c r="AR29" s="107">
        <v>1573.53</v>
      </c>
      <c r="AS29" s="107">
        <v>1524.98</v>
      </c>
      <c r="AT29" s="107">
        <v>1070.8900000000001</v>
      </c>
      <c r="AU29" s="107">
        <v>2831.43</v>
      </c>
      <c r="AV29" s="107">
        <v>1581.66</v>
      </c>
      <c r="AW29" s="311">
        <v>1154</v>
      </c>
      <c r="AX29" s="145">
        <v>596</v>
      </c>
      <c r="AY29" s="145">
        <v>624</v>
      </c>
      <c r="AZ29" s="145">
        <v>24</v>
      </c>
      <c r="BA29" s="145">
        <v>1368</v>
      </c>
      <c r="BB29" s="145">
        <v>262</v>
      </c>
      <c r="BC29" s="145">
        <v>397.05</v>
      </c>
      <c r="BD29" s="94">
        <v>54.13</v>
      </c>
      <c r="BE29" s="94">
        <v>1034.52</v>
      </c>
      <c r="BF29" s="86">
        <v>215.09</v>
      </c>
      <c r="BG29" s="86">
        <v>339.49</v>
      </c>
      <c r="BH29" s="86">
        <v>204.73</v>
      </c>
      <c r="BI29" s="86">
        <v>668.62</v>
      </c>
      <c r="BJ29" s="84">
        <v>507.63</v>
      </c>
      <c r="BK29" s="86">
        <v>571.30999999999995</v>
      </c>
      <c r="BL29" s="86">
        <v>179.73</v>
      </c>
      <c r="BM29" s="86">
        <v>558.74</v>
      </c>
      <c r="BN29" s="86">
        <v>302.83999999999997</v>
      </c>
      <c r="BO29" s="86">
        <v>412.39</v>
      </c>
      <c r="BP29" s="84">
        <v>125.32</v>
      </c>
      <c r="BQ29" s="86">
        <v>791.74</v>
      </c>
      <c r="BR29" s="101">
        <v>9018.91</v>
      </c>
      <c r="BS29" s="101">
        <v>9018.91</v>
      </c>
      <c r="BT29" s="101">
        <v>7761.01</v>
      </c>
      <c r="BU29" s="101">
        <v>7761.01</v>
      </c>
      <c r="BV29" s="101">
        <v>7761.01</v>
      </c>
      <c r="BW29" s="101">
        <v>7761.01</v>
      </c>
      <c r="BX29" s="101">
        <v>7508.54</v>
      </c>
      <c r="BY29" s="101">
        <v>7508.54</v>
      </c>
      <c r="BZ29" s="101">
        <v>7508.54</v>
      </c>
      <c r="CA29" s="101">
        <v>7508.54</v>
      </c>
      <c r="CB29" s="101">
        <v>8733.83</v>
      </c>
      <c r="CC29" s="101">
        <v>8733.83</v>
      </c>
      <c r="CD29" s="101">
        <v>8733.83</v>
      </c>
      <c r="CE29" s="101">
        <v>8733.83</v>
      </c>
      <c r="CF29" s="101">
        <v>7885.03</v>
      </c>
      <c r="CG29" s="101">
        <v>7885.03</v>
      </c>
      <c r="CH29" s="101">
        <v>7885.03</v>
      </c>
      <c r="CI29" s="101">
        <v>7885.03</v>
      </c>
      <c r="CJ29" s="101">
        <v>7017.24</v>
      </c>
      <c r="CK29" s="101">
        <v>7017.24</v>
      </c>
      <c r="CL29" s="101">
        <v>7017.24</v>
      </c>
      <c r="CM29" s="353">
        <v>9018.91</v>
      </c>
      <c r="CN29" s="353">
        <v>1</v>
      </c>
      <c r="CO29" s="63">
        <f t="shared" si="1"/>
        <v>1.1087814381117009E-2</v>
      </c>
      <c r="CP29" s="62">
        <f t="shared" si="6"/>
        <v>340240</v>
      </c>
      <c r="CQ29" s="114">
        <v>0</v>
      </c>
      <c r="CR29" s="79">
        <f t="shared" si="2"/>
        <v>26546.675895781635</v>
      </c>
      <c r="CS29" s="65">
        <f t="shared" ref="CS29:CS60" si="11">((0.5*AW29)+(0.3*AX29)+(0.15*AY29)+(0.05*AZ29))*4</f>
        <v>3402.4</v>
      </c>
      <c r="CT29" s="110">
        <f t="shared" si="3"/>
        <v>12.816670581873694</v>
      </c>
      <c r="CU29" s="110">
        <f t="shared" si="4"/>
        <v>17.388241066873082</v>
      </c>
      <c r="CV29" s="65">
        <v>3.47</v>
      </c>
      <c r="CW29" s="65">
        <f t="shared" si="5"/>
        <v>16.286670581873693</v>
      </c>
      <c r="CX29" s="65">
        <f>SUM(K29:N29)/SUM(G29:J29)*CR29</f>
        <v>33792.372359078297</v>
      </c>
      <c r="CY29" s="65">
        <f>SUM(BB29:BE29)</f>
        <v>1747.6999999999998</v>
      </c>
      <c r="CZ29" s="65">
        <f>CY29/CX29%</f>
        <v>5.1718771959213496</v>
      </c>
      <c r="DA29" s="342">
        <v>100.75</v>
      </c>
      <c r="DB29" s="370">
        <v>24548.67</v>
      </c>
      <c r="DC29" s="61" t="s">
        <v>401</v>
      </c>
      <c r="DD29" s="81">
        <f>CR29/CS29</f>
        <v>7.8023383187695847</v>
      </c>
      <c r="DE29" s="61">
        <v>-1.0900000000000001</v>
      </c>
      <c r="DF29" s="61" t="s">
        <v>225</v>
      </c>
      <c r="DG29" s="61" t="s">
        <v>440</v>
      </c>
    </row>
    <row r="30" spans="1:112" ht="14.25" customHeight="1">
      <c r="A30" s="386" t="s">
        <v>743</v>
      </c>
      <c r="B30" s="61" t="s">
        <v>44</v>
      </c>
      <c r="C30" s="65">
        <v>1</v>
      </c>
      <c r="D30" s="65" t="e">
        <f>AVERAGE(G30:AA30)/AVERAGE(AD30:AV30)</f>
        <v>#DIV/0!</v>
      </c>
      <c r="E30" s="65">
        <f>AVERAGE(G30:AA30)/AVERAGE(AY30:BQ30)</f>
        <v>3.9159999999999999</v>
      </c>
      <c r="F30" s="65" t="e">
        <f>AVERAGE(G30:AA30)/AVERAGE(BT30:CL30)</f>
        <v>#DIV/0!</v>
      </c>
      <c r="G30" s="61">
        <v>293.7</v>
      </c>
      <c r="AW30" s="312">
        <v>133</v>
      </c>
      <c r="AX30" s="274">
        <v>114</v>
      </c>
      <c r="AY30" s="274">
        <v>103</v>
      </c>
      <c r="AZ30" s="89">
        <v>114</v>
      </c>
      <c r="BA30" s="89">
        <v>99</v>
      </c>
      <c r="BB30" s="89">
        <v>96</v>
      </c>
      <c r="BC30" s="61">
        <v>69</v>
      </c>
      <c r="BD30" s="89">
        <v>56</v>
      </c>
      <c r="BE30" s="61">
        <v>69</v>
      </c>
      <c r="BF30" s="61">
        <v>73</v>
      </c>
      <c r="BG30" s="61">
        <v>41</v>
      </c>
      <c r="BH30" s="61">
        <v>42</v>
      </c>
      <c r="BI30" s="61">
        <v>66</v>
      </c>
      <c r="BJ30" s="61">
        <v>64</v>
      </c>
      <c r="BK30" s="61">
        <v>83</v>
      </c>
      <c r="BO30" s="89"/>
      <c r="BP30" s="89"/>
      <c r="CM30" s="342">
        <v>3383</v>
      </c>
      <c r="CN30" s="342">
        <v>123</v>
      </c>
      <c r="CO30" s="63">
        <f t="shared" si="1"/>
        <v>3.6358261897723914</v>
      </c>
      <c r="CP30" s="62">
        <f t="shared" si="6"/>
        <v>396.26016260162601</v>
      </c>
      <c r="CQ30" s="64"/>
      <c r="CR30" s="79">
        <f t="shared" si="2"/>
        <v>8147.6179104477606</v>
      </c>
      <c r="CS30" s="65">
        <f t="shared" si="11"/>
        <v>487.4</v>
      </c>
      <c r="CT30" s="110">
        <f t="shared" si="3"/>
        <v>5.9821165567300687</v>
      </c>
      <c r="CU30" s="110">
        <f t="shared" si="4"/>
        <v>6.5295158148961772</v>
      </c>
      <c r="CW30" s="65">
        <f t="shared" si="5"/>
        <v>5.9821165567300687</v>
      </c>
      <c r="CX30" s="62"/>
      <c r="CZ30" s="62"/>
      <c r="DA30" s="342">
        <v>402</v>
      </c>
      <c r="DB30" s="342">
        <v>11152</v>
      </c>
    </row>
    <row r="31" spans="1:112" ht="14.25" customHeight="1">
      <c r="A31" s="386" t="s">
        <v>969</v>
      </c>
      <c r="B31" s="61" t="s">
        <v>165</v>
      </c>
      <c r="C31" s="65">
        <v>9</v>
      </c>
      <c r="D31" s="65" t="e">
        <f>AVERAGE(G31:AA31)/AVERAGE(AC31:AV31)</f>
        <v>#DIV/0!</v>
      </c>
      <c r="E31" s="65">
        <f>AVERAGE(G31:AA31)/AVERAGE(AZ31:BQ31)</f>
        <v>52.268292682926827</v>
      </c>
      <c r="F31" s="65" t="e">
        <f>AVERAGE(G31:AA31)/AVERAGE(BS31:CL31)</f>
        <v>#DIV/0!</v>
      </c>
      <c r="G31" s="61">
        <v>1071.5</v>
      </c>
      <c r="AW31" s="315">
        <v>23</v>
      </c>
      <c r="AX31" s="61">
        <v>19</v>
      </c>
      <c r="AY31" s="61">
        <v>25</v>
      </c>
      <c r="AZ31" s="61">
        <v>19</v>
      </c>
      <c r="BA31" s="61">
        <v>22</v>
      </c>
      <c r="CM31" s="342">
        <v>517</v>
      </c>
      <c r="CN31" s="342">
        <v>16</v>
      </c>
      <c r="CO31" s="170">
        <f t="shared" si="1"/>
        <v>3.0947775628626695</v>
      </c>
      <c r="CP31" s="62">
        <f t="shared" si="6"/>
        <v>547.5</v>
      </c>
      <c r="CQ31" s="64"/>
      <c r="CR31" s="79">
        <f t="shared" si="2"/>
        <v>5705.3054435483873</v>
      </c>
      <c r="CS31" s="65">
        <f t="shared" si="11"/>
        <v>87.6</v>
      </c>
      <c r="CT31" s="110">
        <f t="shared" si="3"/>
        <v>1.5354129742353917</v>
      </c>
      <c r="CU31" s="110">
        <f t="shared" si="4"/>
        <v>1.6125341738545209</v>
      </c>
      <c r="CW31" s="62">
        <f t="shared" si="5"/>
        <v>1.5354129742353917</v>
      </c>
      <c r="CX31" s="65">
        <f>SUM(K31:N31)/SUM(G31:J31)*CR31</f>
        <v>0</v>
      </c>
      <c r="CZ31" s="62"/>
      <c r="DA31" s="342">
        <v>1488</v>
      </c>
      <c r="DB31" s="342">
        <v>7923</v>
      </c>
    </row>
    <row r="32" spans="1:112" ht="14.25" customHeight="1" thickBot="1">
      <c r="A32" s="392" t="s">
        <v>12</v>
      </c>
      <c r="B32" s="76" t="s">
        <v>44</v>
      </c>
      <c r="C32" s="65">
        <v>1</v>
      </c>
      <c r="D32" s="65">
        <f>AVERAGE(G32:AA32)/AVERAGE(AC32:AV32)</f>
        <v>3.7830566501743816</v>
      </c>
      <c r="E32" s="65">
        <f>AVERAGE(G32:AA32)/AVERAGE(AX32:BQ32)</f>
        <v>7.4971527386714989</v>
      </c>
      <c r="F32" s="65">
        <f>AVERAGE(G32:AA32)/AVERAGE(BS32:CL32)</f>
        <v>2.1293011458857301</v>
      </c>
      <c r="G32" s="76">
        <v>712.6</v>
      </c>
      <c r="H32" s="65">
        <v>410.45</v>
      </c>
      <c r="I32" s="65">
        <v>401.7</v>
      </c>
      <c r="J32" s="65">
        <v>382</v>
      </c>
      <c r="K32" s="65">
        <v>410.95</v>
      </c>
      <c r="L32" s="65">
        <v>428.1</v>
      </c>
      <c r="M32" s="65">
        <v>569.54999999999995</v>
      </c>
      <c r="N32" s="65">
        <v>631.45000000000005</v>
      </c>
      <c r="O32" s="65">
        <v>690.8</v>
      </c>
      <c r="P32" s="65">
        <v>552.70000000000005</v>
      </c>
      <c r="Q32" s="65">
        <v>388.35</v>
      </c>
      <c r="R32" s="65">
        <v>343.15</v>
      </c>
      <c r="S32" s="65">
        <v>260.26</v>
      </c>
      <c r="T32" s="65">
        <v>198.77</v>
      </c>
      <c r="U32" s="65">
        <v>202.04</v>
      </c>
      <c r="V32" s="65">
        <v>282.10000000000002</v>
      </c>
      <c r="W32" s="65">
        <v>288.45</v>
      </c>
      <c r="X32" s="65">
        <v>186.17</v>
      </c>
      <c r="Y32" s="65">
        <v>205.06</v>
      </c>
      <c r="Z32" s="65">
        <v>80.78</v>
      </c>
      <c r="AA32" s="65">
        <v>83</v>
      </c>
      <c r="AB32" s="94">
        <v>133.26</v>
      </c>
      <c r="AC32" s="103">
        <v>157.80000000000001</v>
      </c>
      <c r="AD32" s="84">
        <v>140.74</v>
      </c>
      <c r="AE32" s="84">
        <v>139.76</v>
      </c>
      <c r="AF32" s="84">
        <v>131.24</v>
      </c>
      <c r="AG32" s="84">
        <v>125.16</v>
      </c>
      <c r="AH32" s="84">
        <v>110.44</v>
      </c>
      <c r="AI32" s="84">
        <v>110.83</v>
      </c>
      <c r="AJ32" s="84">
        <v>103.41</v>
      </c>
      <c r="AK32" s="84">
        <v>101.89</v>
      </c>
      <c r="AL32" s="84">
        <v>96.24</v>
      </c>
      <c r="AM32" s="84">
        <v>89.31</v>
      </c>
      <c r="AN32" s="84">
        <v>82.62</v>
      </c>
      <c r="AO32" s="84">
        <v>79.55</v>
      </c>
      <c r="AP32" s="84">
        <v>78.64</v>
      </c>
      <c r="AQ32" s="84">
        <v>77.16</v>
      </c>
      <c r="AR32" s="84">
        <v>75.489999999999995</v>
      </c>
      <c r="AS32" s="84">
        <v>67.55</v>
      </c>
      <c r="AT32" s="84">
        <v>60.92</v>
      </c>
      <c r="AU32" s="84">
        <v>57.46</v>
      </c>
      <c r="AV32" s="86">
        <v>54.38</v>
      </c>
      <c r="AW32" s="313">
        <v>79</v>
      </c>
      <c r="AX32" s="232">
        <v>75</v>
      </c>
      <c r="AY32" s="232">
        <v>75</v>
      </c>
      <c r="AZ32" s="232">
        <v>71</v>
      </c>
      <c r="BA32" s="232">
        <v>66</v>
      </c>
      <c r="BB32" s="414">
        <v>64</v>
      </c>
      <c r="BC32" s="232">
        <v>57</v>
      </c>
      <c r="BD32" s="232">
        <v>55</v>
      </c>
      <c r="BE32" s="414">
        <v>49</v>
      </c>
      <c r="BF32" s="233">
        <v>59</v>
      </c>
      <c r="BG32" s="232">
        <v>57</v>
      </c>
      <c r="BH32" s="232">
        <v>50</v>
      </c>
      <c r="BI32" s="232">
        <v>50</v>
      </c>
      <c r="BJ32" s="229">
        <v>46</v>
      </c>
      <c r="BK32" s="86">
        <v>44</v>
      </c>
      <c r="BL32" s="86">
        <v>37</v>
      </c>
      <c r="BM32" s="84">
        <v>21.58</v>
      </c>
      <c r="BN32" s="86">
        <v>23.59</v>
      </c>
      <c r="BO32" s="86">
        <v>32.75</v>
      </c>
      <c r="BP32" s="86">
        <v>24.4</v>
      </c>
      <c r="BQ32" s="86">
        <v>21.9</v>
      </c>
      <c r="BR32" s="87">
        <v>432.05</v>
      </c>
      <c r="BS32" s="87">
        <v>432.05</v>
      </c>
      <c r="BT32" s="87">
        <v>295.60000000000002</v>
      </c>
      <c r="BU32" s="87">
        <v>295.60000000000002</v>
      </c>
      <c r="BV32" s="87">
        <v>295.60000000000002</v>
      </c>
      <c r="BW32" s="87">
        <v>295.60000000000002</v>
      </c>
      <c r="BX32" s="87">
        <v>200.12</v>
      </c>
      <c r="BY32" s="87">
        <v>200.12</v>
      </c>
      <c r="BZ32" s="87">
        <v>200.12</v>
      </c>
      <c r="CA32" s="87">
        <v>200.12</v>
      </c>
      <c r="CB32" s="87">
        <v>124.4</v>
      </c>
      <c r="CC32" s="87">
        <v>124.4</v>
      </c>
      <c r="CD32" s="87">
        <v>124.4</v>
      </c>
      <c r="CE32" s="87">
        <v>124.4</v>
      </c>
      <c r="CF32" s="87">
        <v>89.9</v>
      </c>
      <c r="CG32" s="87">
        <v>89.9</v>
      </c>
      <c r="CH32" s="87">
        <v>89.9</v>
      </c>
      <c r="CI32" s="87">
        <v>89.9</v>
      </c>
      <c r="CJ32" s="87">
        <v>58.55</v>
      </c>
      <c r="CK32" s="87">
        <v>58.55</v>
      </c>
      <c r="CL32" s="87">
        <v>58.55</v>
      </c>
      <c r="CM32" s="354">
        <v>1736</v>
      </c>
      <c r="CN32" s="352">
        <v>2</v>
      </c>
      <c r="CO32" s="63">
        <f t="shared" si="1"/>
        <v>0.1152073732718894</v>
      </c>
      <c r="CP32" s="62">
        <f t="shared" si="6"/>
        <v>15360</v>
      </c>
      <c r="CQ32" s="76">
        <v>0</v>
      </c>
      <c r="CR32" s="79">
        <f t="shared" si="2"/>
        <v>5571.3088805970156</v>
      </c>
      <c r="CS32" s="65">
        <f t="shared" si="11"/>
        <v>307.2</v>
      </c>
      <c r="CT32" s="80">
        <f t="shared" si="3"/>
        <v>5.5139646101811675</v>
      </c>
      <c r="CU32" s="110">
        <f t="shared" si="4"/>
        <v>5.671916721410315</v>
      </c>
      <c r="CV32" s="65">
        <v>0.55000000000000004</v>
      </c>
      <c r="CW32" s="65">
        <f t="shared" si="5"/>
        <v>6.0639646101811673</v>
      </c>
      <c r="CX32" s="65">
        <f>SUM(K32:N32)/SUM(G32:J32)*CR32</f>
        <v>5960.7964766550103</v>
      </c>
      <c r="CY32" s="65">
        <f>SUM(BB32:BE32)</f>
        <v>225</v>
      </c>
      <c r="CZ32" s="65">
        <f>CY32/CX32%</f>
        <v>3.7746633504632268</v>
      </c>
      <c r="DA32" s="342">
        <v>268</v>
      </c>
      <c r="DB32" s="380">
        <v>2095.3000000000002</v>
      </c>
      <c r="DD32" s="81">
        <f>CR32/CS32</f>
        <v>18.135771095693411</v>
      </c>
    </row>
    <row r="33" spans="1:111" ht="14.25" customHeight="1">
      <c r="A33" s="386" t="s">
        <v>783</v>
      </c>
      <c r="B33" s="76" t="s">
        <v>268</v>
      </c>
      <c r="C33" s="65">
        <v>1</v>
      </c>
      <c r="D33" s="65">
        <v>0.02</v>
      </c>
      <c r="E33" s="65">
        <v>0.9</v>
      </c>
      <c r="F33" s="65">
        <v>0.02</v>
      </c>
      <c r="G33" s="76">
        <v>465.05</v>
      </c>
      <c r="AW33" s="337">
        <v>-26</v>
      </c>
      <c r="AX33" s="273">
        <v>-23</v>
      </c>
      <c r="AY33" s="61">
        <v>-38</v>
      </c>
      <c r="AZ33" s="61">
        <v>-45</v>
      </c>
      <c r="BA33" s="61">
        <v>13</v>
      </c>
      <c r="BB33" s="61">
        <v>18</v>
      </c>
      <c r="BC33" s="61">
        <v>7</v>
      </c>
      <c r="CM33" s="61">
        <v>2281</v>
      </c>
      <c r="CN33" s="61">
        <v>77</v>
      </c>
      <c r="CO33" s="170">
        <f t="shared" si="1"/>
        <v>3.375712406839106</v>
      </c>
      <c r="CP33" s="62">
        <f>CS34/CN33%</f>
        <v>125.45454545454544</v>
      </c>
      <c r="CQ33" s="64">
        <v>0</v>
      </c>
      <c r="CR33" s="79">
        <f t="shared" si="2"/>
        <v>2168.0951724137931</v>
      </c>
      <c r="CS33" s="65">
        <f t="shared" si="11"/>
        <v>-111.39999999999999</v>
      </c>
      <c r="CT33" s="110">
        <f t="shared" si="3"/>
        <v>-5.1381508255458943</v>
      </c>
      <c r="CU33" s="110">
        <f t="shared" si="4"/>
        <v>-4.7968373954827026</v>
      </c>
      <c r="CW33" s="62">
        <f t="shared" si="5"/>
        <v>-5.1381508255458943</v>
      </c>
      <c r="CX33" s="65">
        <f>SUM(K33:N33)/SUM(G33:J33)*CR33</f>
        <v>0</v>
      </c>
      <c r="CY33" s="65">
        <f>SUM(BC33:BF33)</f>
        <v>7</v>
      </c>
      <c r="CZ33" s="65" t="e">
        <f>CY33/CX33%</f>
        <v>#DIV/0!</v>
      </c>
      <c r="DA33" s="61">
        <v>580</v>
      </c>
      <c r="DB33" s="61">
        <v>2704</v>
      </c>
    </row>
    <row r="34" spans="1:111" ht="14.25" customHeight="1">
      <c r="A34" s="421" t="s">
        <v>13</v>
      </c>
      <c r="B34" s="65" t="s">
        <v>44</v>
      </c>
      <c r="C34" s="65">
        <v>1</v>
      </c>
      <c r="D34" s="65" t="e">
        <f>AVERAGE(G34:AA34)/AVERAGE(AC34:AV34)</f>
        <v>#DIV/0!</v>
      </c>
      <c r="E34" s="65">
        <f>AVERAGE(G34:AA34)/AVERAGE(AX34:BQ34)</f>
        <v>43.275133572537847</v>
      </c>
      <c r="F34" s="65" t="e">
        <f>AVERAGE(G34:AA34)/AVERAGE(BS34:CL34)</f>
        <v>#DIV/0!</v>
      </c>
      <c r="G34" s="65">
        <v>1157</v>
      </c>
      <c r="H34" s="65">
        <v>380</v>
      </c>
      <c r="I34" s="65">
        <v>450</v>
      </c>
      <c r="J34" s="65">
        <v>598</v>
      </c>
      <c r="K34" s="65">
        <v>660.6</v>
      </c>
      <c r="L34" s="65">
        <v>730.05</v>
      </c>
      <c r="M34" s="65">
        <v>763.4</v>
      </c>
      <c r="N34" s="65">
        <v>820.1</v>
      </c>
      <c r="O34" s="65">
        <v>913.83</v>
      </c>
      <c r="P34" s="62">
        <v>1003.17</v>
      </c>
      <c r="Q34" s="65">
        <v>739.37</v>
      </c>
      <c r="R34" s="65">
        <v>711.23</v>
      </c>
      <c r="S34" s="65">
        <v>589.92999999999995</v>
      </c>
      <c r="T34" s="65">
        <v>678.83</v>
      </c>
      <c r="U34" s="65">
        <v>460.23</v>
      </c>
      <c r="V34" s="65">
        <v>479.67</v>
      </c>
      <c r="W34" s="65">
        <v>665.5</v>
      </c>
      <c r="X34" s="65">
        <v>359</v>
      </c>
      <c r="Y34" s="65">
        <v>361.73</v>
      </c>
      <c r="Z34" s="65">
        <v>224.8</v>
      </c>
      <c r="AA34" s="65">
        <v>225</v>
      </c>
      <c r="AB34" s="89"/>
      <c r="AC34" s="89"/>
      <c r="AK34" s="89"/>
      <c r="AW34" s="314">
        <v>25</v>
      </c>
      <c r="AX34" s="144">
        <v>22</v>
      </c>
      <c r="AY34" s="144">
        <v>26</v>
      </c>
      <c r="AZ34" s="144">
        <v>23</v>
      </c>
      <c r="BA34" s="144">
        <v>14.36</v>
      </c>
      <c r="BB34" s="144">
        <v>12.38</v>
      </c>
      <c r="BC34" s="416">
        <v>3.5</v>
      </c>
      <c r="BD34" s="78">
        <v>15.54</v>
      </c>
      <c r="BE34" s="78">
        <v>17.079999999999998</v>
      </c>
      <c r="BF34" s="86">
        <v>11.99</v>
      </c>
      <c r="BG34" s="98">
        <v>11.99</v>
      </c>
      <c r="BH34" s="86">
        <v>12.43</v>
      </c>
      <c r="BI34" s="86">
        <v>12.68</v>
      </c>
      <c r="BJ34" s="86">
        <v>13.08</v>
      </c>
      <c r="BK34" s="84">
        <v>8.67</v>
      </c>
      <c r="BL34" s="84">
        <v>18.47</v>
      </c>
      <c r="BM34" s="84">
        <v>14.42</v>
      </c>
      <c r="BN34" s="86">
        <v>12.52</v>
      </c>
      <c r="BO34" s="86">
        <v>12.65</v>
      </c>
      <c r="BP34" s="86">
        <v>11.46</v>
      </c>
      <c r="BQ34" s="86">
        <v>11.25</v>
      </c>
      <c r="CB34" s="89"/>
      <c r="CC34" s="89"/>
      <c r="CD34" s="89"/>
      <c r="CE34" s="89"/>
      <c r="CM34" s="355">
        <v>606</v>
      </c>
      <c r="CN34" s="342">
        <v>9</v>
      </c>
      <c r="CO34" s="63">
        <f t="shared" si="1"/>
        <v>1.4851485148514851</v>
      </c>
      <c r="CP34" s="62">
        <f t="shared" ref="CP34:CP65" si="12">CS34/CN34%</f>
        <v>1073.3333333333333</v>
      </c>
      <c r="CQ34" s="89">
        <v>0</v>
      </c>
      <c r="CR34" s="79">
        <f t="shared" si="2"/>
        <v>748.21421740883682</v>
      </c>
      <c r="CS34" s="65">
        <f t="shared" si="11"/>
        <v>96.6</v>
      </c>
      <c r="CT34" s="77">
        <f t="shared" si="3"/>
        <v>12.91074103544014</v>
      </c>
      <c r="CU34" s="110">
        <f t="shared" si="4"/>
        <v>13.365156351387309</v>
      </c>
      <c r="CW34" s="65">
        <f t="shared" si="5"/>
        <v>12.91074103544014</v>
      </c>
      <c r="CX34" s="65">
        <f>SUM(K34:N34)/SUM(G34:J34)*CR34</f>
        <v>860.85157242030652</v>
      </c>
      <c r="CY34" s="65">
        <f>SUM(BB34:BE34)</f>
        <v>48.5</v>
      </c>
      <c r="CZ34" s="65">
        <f>CY34/CX34%</f>
        <v>5.6339561376000029</v>
      </c>
      <c r="DA34" s="365">
        <v>867.95</v>
      </c>
      <c r="DB34" s="379">
        <v>561.29</v>
      </c>
      <c r="DD34" s="81">
        <f>CR34/CS34</f>
        <v>7.7454887930521412</v>
      </c>
      <c r="DE34" s="65">
        <v>0.3</v>
      </c>
      <c r="DF34" s="61" t="s">
        <v>225</v>
      </c>
      <c r="DG34" s="61" t="s">
        <v>224</v>
      </c>
    </row>
    <row r="35" spans="1:111" ht="14.25" customHeight="1">
      <c r="A35" s="392" t="s">
        <v>14</v>
      </c>
      <c r="B35" s="65" t="s">
        <v>268</v>
      </c>
      <c r="C35" s="65">
        <v>1</v>
      </c>
      <c r="D35" s="65" t="e">
        <f>AVERAGE(G35:AA35)/AVERAGE(AC35:AV35)</f>
        <v>#DIV/0!</v>
      </c>
      <c r="E35" s="65">
        <f>AVERAGE(G35:AA35)/AVERAGE(AX35:BQ35)</f>
        <v>1.8410260387205075</v>
      </c>
      <c r="F35" s="65" t="e">
        <f>AVERAGE(G35:AA35)/AVERAGE(BS35:CL35)</f>
        <v>#DIV/0!</v>
      </c>
      <c r="G35" s="65">
        <v>1035.45</v>
      </c>
      <c r="H35" s="65">
        <v>370</v>
      </c>
      <c r="I35" s="65">
        <v>402.35</v>
      </c>
      <c r="J35" s="65">
        <v>555</v>
      </c>
      <c r="K35" s="65">
        <v>335.6</v>
      </c>
      <c r="L35" s="65">
        <v>411.85</v>
      </c>
      <c r="M35" s="65">
        <v>329.85</v>
      </c>
      <c r="N35" s="65">
        <v>332.5</v>
      </c>
      <c r="O35" s="65">
        <v>572.79999999999995</v>
      </c>
      <c r="P35" s="65">
        <v>523.79999999999995</v>
      </c>
      <c r="Q35" s="65">
        <v>369.05</v>
      </c>
      <c r="R35" s="65">
        <v>354.7</v>
      </c>
      <c r="S35" s="65">
        <v>265.10000000000002</v>
      </c>
      <c r="T35" s="65">
        <v>261.5</v>
      </c>
      <c r="U35" s="65">
        <v>237.3</v>
      </c>
      <c r="V35" s="65">
        <v>157.75</v>
      </c>
      <c r="W35" s="65">
        <v>126.55</v>
      </c>
      <c r="X35" s="65">
        <v>128.94999999999999</v>
      </c>
      <c r="Y35" s="65">
        <v>124.9</v>
      </c>
      <c r="Z35" s="65">
        <v>146.44999999999999</v>
      </c>
      <c r="AA35" s="65">
        <v>222.9</v>
      </c>
      <c r="AB35" s="89"/>
      <c r="AK35" s="89"/>
      <c r="AL35" s="89"/>
      <c r="AQ35" s="65"/>
      <c r="AW35" s="314">
        <v>401</v>
      </c>
      <c r="AX35" s="144">
        <v>350</v>
      </c>
      <c r="AY35" s="144">
        <v>158</v>
      </c>
      <c r="AZ35" s="144">
        <v>158</v>
      </c>
      <c r="BA35" s="144">
        <v>231</v>
      </c>
      <c r="BB35" s="78">
        <v>251</v>
      </c>
      <c r="BC35" s="78">
        <v>115</v>
      </c>
      <c r="BD35" s="78">
        <v>62.48</v>
      </c>
      <c r="BE35" s="86">
        <v>212.1</v>
      </c>
      <c r="BF35" s="86">
        <v>191.44</v>
      </c>
      <c r="BG35" s="86">
        <v>125.37</v>
      </c>
      <c r="BH35" s="86">
        <v>214.15</v>
      </c>
      <c r="BI35" s="86">
        <v>288.48</v>
      </c>
      <c r="BJ35" s="86">
        <v>223.9</v>
      </c>
      <c r="BK35" s="86">
        <v>175.37</v>
      </c>
      <c r="BL35" s="86">
        <v>219.08</v>
      </c>
      <c r="BM35" s="84">
        <v>61.86</v>
      </c>
      <c r="BN35" s="86">
        <v>221.14</v>
      </c>
      <c r="BO35" s="86">
        <v>172.44</v>
      </c>
      <c r="BP35" s="86">
        <v>233</v>
      </c>
      <c r="BQ35" s="86">
        <v>94.11</v>
      </c>
      <c r="CB35" s="89"/>
      <c r="CC35" s="89"/>
      <c r="CD35" s="89"/>
      <c r="CE35" s="89"/>
      <c r="CM35" s="356">
        <v>9371</v>
      </c>
      <c r="CN35" s="357">
        <v>1577</v>
      </c>
      <c r="CO35" s="170">
        <f t="shared" si="1"/>
        <v>16.828513499092946</v>
      </c>
      <c r="CP35" s="62">
        <f t="shared" si="12"/>
        <v>85.504121750158518</v>
      </c>
      <c r="CQ35" s="89">
        <v>0</v>
      </c>
      <c r="CR35" s="79">
        <f t="shared" si="2"/>
        <v>14271.642683294504</v>
      </c>
      <c r="CS35" s="65">
        <f t="shared" si="11"/>
        <v>1348.3999999999999</v>
      </c>
      <c r="CT35" s="80">
        <f t="shared" si="3"/>
        <v>9.4481064998800228</v>
      </c>
      <c r="CU35" s="110">
        <f t="shared" si="4"/>
        <v>11.239070621334589</v>
      </c>
      <c r="CV35" s="65">
        <v>2.62</v>
      </c>
      <c r="CW35" s="65">
        <f t="shared" si="5"/>
        <v>12.068106499880024</v>
      </c>
      <c r="CX35" s="65">
        <f>SUM(K35:N35)/SUM(G35:J35)*CR35</f>
        <v>8515.3893071392376</v>
      </c>
      <c r="CY35" s="65">
        <f>SUM(BB35:BE35)</f>
        <v>640.58000000000004</v>
      </c>
      <c r="CZ35" s="65">
        <f>CY35/CX35%</f>
        <v>7.5226155480988126</v>
      </c>
      <c r="DA35" s="342">
        <v>364.85</v>
      </c>
      <c r="DB35" s="350">
        <v>5028.74</v>
      </c>
      <c r="DD35" s="81">
        <f>CR35/CS35</f>
        <v>10.584131328459289</v>
      </c>
      <c r="DE35" s="65">
        <v>-0.27</v>
      </c>
      <c r="DF35" s="61" t="s">
        <v>224</v>
      </c>
      <c r="DG35" s="61" t="s">
        <v>224</v>
      </c>
    </row>
    <row r="36" spans="1:111" ht="14.25" customHeight="1">
      <c r="A36" s="386" t="s">
        <v>771</v>
      </c>
      <c r="B36" s="61" t="s">
        <v>268</v>
      </c>
      <c r="G36" s="61">
        <v>825.75</v>
      </c>
      <c r="AW36" s="315">
        <v>10</v>
      </c>
      <c r="AX36" s="61">
        <v>2</v>
      </c>
      <c r="AY36" s="260">
        <v>3.76</v>
      </c>
      <c r="AZ36" s="61">
        <v>-0.81</v>
      </c>
      <c r="BA36" s="261">
        <v>3.35</v>
      </c>
      <c r="BB36" s="61">
        <v>0.34</v>
      </c>
      <c r="BC36" s="61">
        <v>0.15</v>
      </c>
      <c r="BD36" s="61">
        <v>1.81</v>
      </c>
      <c r="BE36" s="61">
        <v>2.2000000000000002</v>
      </c>
      <c r="BF36" s="61">
        <v>3.57</v>
      </c>
      <c r="BG36" s="61">
        <v>1.81</v>
      </c>
      <c r="BH36" s="61">
        <v>0.55000000000000004</v>
      </c>
      <c r="BI36" s="61">
        <v>-3.9</v>
      </c>
      <c r="BJ36" s="61">
        <v>0.51</v>
      </c>
      <c r="CM36" s="342">
        <v>94</v>
      </c>
      <c r="CN36" s="342">
        <v>0.1</v>
      </c>
      <c r="CO36" s="170">
        <f t="shared" si="1"/>
        <v>0.10638297872340427</v>
      </c>
      <c r="CP36" s="62">
        <f t="shared" si="12"/>
        <v>24494</v>
      </c>
      <c r="CQ36" s="64"/>
      <c r="CR36" s="79">
        <f t="shared" si="2"/>
        <v>438.53389830508479</v>
      </c>
      <c r="CS36" s="65">
        <f t="shared" si="11"/>
        <v>24.494</v>
      </c>
      <c r="CT36" s="110">
        <f t="shared" si="3"/>
        <v>5.5854291070013717</v>
      </c>
      <c r="CU36" s="110">
        <f t="shared" si="4"/>
        <v>9.1213017179739886</v>
      </c>
      <c r="CX36" s="62"/>
      <c r="CZ36" s="62"/>
      <c r="DA36" s="342">
        <v>354</v>
      </c>
      <c r="DB36" s="342">
        <v>188</v>
      </c>
    </row>
    <row r="37" spans="1:111" ht="14.25" customHeight="1">
      <c r="A37" s="393" t="s">
        <v>786</v>
      </c>
      <c r="B37" s="76" t="s">
        <v>268</v>
      </c>
      <c r="C37" s="65">
        <v>1</v>
      </c>
      <c r="D37" s="65" t="e">
        <f>AVERAGE(G37:AA37)/AVERAGE(AC37:AV37)</f>
        <v>#DIV/0!</v>
      </c>
      <c r="E37" s="65">
        <f>AVERAGE(G37:AA37)/AVERAGE(AX37:BQ37)</f>
        <v>57.769230769230766</v>
      </c>
      <c r="F37" s="65" t="e">
        <f>AVERAGE(G37:AA37)/AVERAGE(BS37:CL37)</f>
        <v>#DIV/0!</v>
      </c>
      <c r="G37" s="61">
        <v>187.75</v>
      </c>
      <c r="AW37" s="315">
        <v>76</v>
      </c>
      <c r="AX37" s="315">
        <v>63</v>
      </c>
      <c r="AY37" s="61">
        <v>46</v>
      </c>
      <c r="AZ37" s="61">
        <v>-29</v>
      </c>
      <c r="BA37" s="61">
        <v>-67</v>
      </c>
      <c r="CM37" s="342">
        <v>1944</v>
      </c>
      <c r="CN37" s="342">
        <v>1122</v>
      </c>
      <c r="CO37" s="170">
        <f t="shared" si="1"/>
        <v>57.716049382716044</v>
      </c>
      <c r="CP37" s="62">
        <f t="shared" si="12"/>
        <v>22.22816399286987</v>
      </c>
      <c r="CQ37" s="64"/>
      <c r="CR37" s="79">
        <f t="shared" si="2"/>
        <v>22654.738013698632</v>
      </c>
      <c r="CS37" s="65">
        <f t="shared" si="11"/>
        <v>249.39999999999998</v>
      </c>
      <c r="CT37" s="80">
        <f t="shared" si="3"/>
        <v>1.1008734678335073</v>
      </c>
      <c r="CU37" s="110">
        <f t="shared" si="4"/>
        <v>1.3418826552581646</v>
      </c>
      <c r="CV37" s="87">
        <v>2.31</v>
      </c>
      <c r="CW37" s="65">
        <f t="shared" ref="CW37:CW42" si="13">CT37+CV37</f>
        <v>3.4108734678335075</v>
      </c>
      <c r="CX37" s="65">
        <f>SUM(K37:N37)/SUM(G37:J37)*CR37</f>
        <v>0</v>
      </c>
      <c r="CZ37" s="62"/>
      <c r="DA37" s="342">
        <v>146</v>
      </c>
      <c r="DB37" s="342">
        <v>17617</v>
      </c>
    </row>
    <row r="38" spans="1:111" ht="14.25" customHeight="1">
      <c r="A38" s="400" t="s">
        <v>483</v>
      </c>
      <c r="B38" s="61" t="s">
        <v>268</v>
      </c>
      <c r="C38" s="65">
        <v>2</v>
      </c>
      <c r="D38" s="65" t="e">
        <f>AVERAGE(G38:AA38)/AVERAGE(AC38:AV38)</f>
        <v>#DIV/0!</v>
      </c>
      <c r="E38" s="65">
        <f>AVERAGE(G38:AA38)/AVERAGE(AX38:BQ38)</f>
        <v>262.48765727026597</v>
      </c>
      <c r="F38" s="65" t="e">
        <f>AVERAGE(G38:AA38)/AVERAGE(BS38:CL38)</f>
        <v>#DIV/0!</v>
      </c>
      <c r="G38" s="61">
        <v>1030.0999999999999</v>
      </c>
      <c r="AW38" s="316">
        <v>12</v>
      </c>
      <c r="AX38" s="267">
        <v>8</v>
      </c>
      <c r="AY38" s="267">
        <v>11.31</v>
      </c>
      <c r="AZ38" s="187">
        <v>4.37</v>
      </c>
      <c r="BA38" s="187">
        <v>8.0500000000000007</v>
      </c>
      <c r="BB38" s="187">
        <v>3.94</v>
      </c>
      <c r="BC38" s="199">
        <v>4.51</v>
      </c>
      <c r="BD38" s="187">
        <v>6.63</v>
      </c>
      <c r="BE38" s="182">
        <v>-3.34</v>
      </c>
      <c r="BF38" s="199">
        <v>2.6</v>
      </c>
      <c r="BG38" s="187">
        <v>2.2400000000000002</v>
      </c>
      <c r="BH38" s="187">
        <v>1.6</v>
      </c>
      <c r="BI38" s="182">
        <v>2.69</v>
      </c>
      <c r="BJ38" s="182">
        <v>1.76</v>
      </c>
      <c r="BK38" s="182">
        <v>4.0599999999999996</v>
      </c>
      <c r="BL38" s="61">
        <v>1.58</v>
      </c>
      <c r="BM38" s="61">
        <v>2.79</v>
      </c>
      <c r="BN38" s="89"/>
      <c r="BO38" s="89"/>
      <c r="CM38" s="356">
        <v>162</v>
      </c>
      <c r="CN38" s="355">
        <v>0.1</v>
      </c>
      <c r="CO38" s="170">
        <f t="shared" si="1"/>
        <v>6.1728395061728392E-2</v>
      </c>
      <c r="CP38" s="62">
        <f t="shared" si="12"/>
        <v>41260.000000000007</v>
      </c>
      <c r="CQ38" s="61">
        <v>0</v>
      </c>
      <c r="CR38" s="79">
        <f t="shared" si="2"/>
        <v>309.51361502347413</v>
      </c>
      <c r="CS38" s="65">
        <f t="shared" si="11"/>
        <v>41.260000000000005</v>
      </c>
      <c r="CT38" s="77">
        <f t="shared" si="3"/>
        <v>13.330592903601596</v>
      </c>
      <c r="CU38" s="110">
        <f t="shared" si="4"/>
        <v>15.508203087078927</v>
      </c>
      <c r="CV38" s="61">
        <v>0.59</v>
      </c>
      <c r="CW38" s="65">
        <f t="shared" si="13"/>
        <v>13.920592903601596</v>
      </c>
      <c r="CX38" s="65">
        <f>SUM(K38:N38)/SUM(G38:J38)*CR38</f>
        <v>0</v>
      </c>
      <c r="CY38" s="65">
        <f>SUM(BB38:BE38)</f>
        <v>11.739999999999998</v>
      </c>
      <c r="CZ38" s="65" t="e">
        <f>CY38/CX38%</f>
        <v>#DIV/0!</v>
      </c>
      <c r="DA38" s="342">
        <v>426</v>
      </c>
      <c r="DB38" s="380">
        <v>128</v>
      </c>
      <c r="DD38" s="81">
        <f>CR38/CS38</f>
        <v>7.5015418086154648</v>
      </c>
    </row>
    <row r="39" spans="1:111" ht="14.25" customHeight="1">
      <c r="A39" s="394" t="s">
        <v>668</v>
      </c>
      <c r="B39" s="76" t="s">
        <v>44</v>
      </c>
      <c r="C39" s="65">
        <v>1</v>
      </c>
      <c r="D39" s="65" t="e">
        <f>AVERAGE(G39:AA39)/AVERAGE(AC39:AV39)</f>
        <v>#DIV/0!</v>
      </c>
      <c r="E39" s="65">
        <f>AVERAGE(G39:AA39)/AVERAGE(AX39:BQ39)</f>
        <v>7.4163593450361409</v>
      </c>
      <c r="F39" s="65" t="e">
        <f>AVERAGE(G39:AA39)/AVERAGE(BS39:CL39)</f>
        <v>#DIV/0!</v>
      </c>
      <c r="G39" s="61">
        <v>3351.7</v>
      </c>
      <c r="AW39" s="317">
        <v>895</v>
      </c>
      <c r="AX39" s="246">
        <v>902</v>
      </c>
      <c r="AY39" s="246">
        <v>606</v>
      </c>
      <c r="AZ39" s="246">
        <v>557</v>
      </c>
      <c r="BA39" s="246">
        <v>502</v>
      </c>
      <c r="BB39" s="246">
        <v>471</v>
      </c>
      <c r="BC39" s="246">
        <v>520</v>
      </c>
      <c r="BD39" s="246">
        <v>492</v>
      </c>
      <c r="BE39" s="246">
        <v>388</v>
      </c>
      <c r="BF39" s="246">
        <v>359</v>
      </c>
      <c r="BG39" s="246">
        <v>357</v>
      </c>
      <c r="BH39" s="246">
        <v>272</v>
      </c>
      <c r="BI39" s="246">
        <v>292</v>
      </c>
      <c r="BJ39" s="246">
        <v>389</v>
      </c>
      <c r="BK39" s="61">
        <v>404</v>
      </c>
      <c r="BL39" s="61">
        <v>268</v>
      </c>
      <c r="CM39" s="342">
        <v>13375</v>
      </c>
      <c r="CN39" s="342">
        <v>4</v>
      </c>
      <c r="CO39" s="170">
        <f t="shared" si="1"/>
        <v>2.9906542056074768E-2</v>
      </c>
      <c r="CP39" s="62">
        <f t="shared" si="12"/>
        <v>83684.999999999985</v>
      </c>
      <c r="CQ39" s="64">
        <v>0</v>
      </c>
      <c r="CR39" s="79">
        <f t="shared" si="2"/>
        <v>88968.682402627863</v>
      </c>
      <c r="CS39" s="65">
        <f t="shared" si="11"/>
        <v>3347.3999999999996</v>
      </c>
      <c r="CT39" s="80">
        <f t="shared" si="3"/>
        <v>3.7624475372708539</v>
      </c>
      <c r="CU39" s="110">
        <f t="shared" si="4"/>
        <v>4.0238878483090339</v>
      </c>
      <c r="CW39" s="65">
        <f t="shared" si="13"/>
        <v>3.7624475372708539</v>
      </c>
      <c r="CX39" s="62"/>
      <c r="CZ39" s="62"/>
      <c r="DA39" s="342">
        <v>4262</v>
      </c>
      <c r="DB39" s="348">
        <v>113132</v>
      </c>
    </row>
    <row r="40" spans="1:111" ht="14.25" customHeight="1">
      <c r="A40" s="393" t="s">
        <v>665</v>
      </c>
      <c r="B40" s="76" t="s">
        <v>268</v>
      </c>
      <c r="C40" s="65">
        <v>1</v>
      </c>
      <c r="D40" s="65" t="e">
        <f>AVERAGE(G40:AA40)/AVERAGE(AC40:AV40)</f>
        <v>#DIV/0!</v>
      </c>
      <c r="E40" s="65">
        <f>AVERAGE(G40:AA40)/AVERAGE(AX40:BQ40)</f>
        <v>32.681795386158477</v>
      </c>
      <c r="F40" s="65" t="e">
        <f>AVERAGE(G40:AA40)/AVERAGE(BS40:CL40)</f>
        <v>#DIV/0!</v>
      </c>
      <c r="G40" s="76">
        <v>2172.25</v>
      </c>
      <c r="AW40" s="318">
        <v>61</v>
      </c>
      <c r="AX40" s="253">
        <v>57</v>
      </c>
      <c r="AY40" s="253">
        <v>95</v>
      </c>
      <c r="AZ40" s="253">
        <v>131</v>
      </c>
      <c r="BA40" s="253">
        <v>83</v>
      </c>
      <c r="BB40" s="246">
        <v>94</v>
      </c>
      <c r="BC40" s="246">
        <v>85</v>
      </c>
      <c r="BD40" s="246">
        <v>28</v>
      </c>
      <c r="BE40" s="246">
        <v>32</v>
      </c>
      <c r="BF40" s="246">
        <v>54</v>
      </c>
      <c r="BG40" s="246">
        <v>80</v>
      </c>
      <c r="BH40" s="246">
        <v>59</v>
      </c>
      <c r="BI40" s="246">
        <v>47</v>
      </c>
      <c r="BJ40" s="246">
        <v>46</v>
      </c>
      <c r="BK40" s="61">
        <v>57</v>
      </c>
      <c r="BL40" s="61">
        <v>49</v>
      </c>
      <c r="CM40" s="348">
        <v>2353</v>
      </c>
      <c r="CN40" s="342">
        <v>394</v>
      </c>
      <c r="CO40" s="170">
        <f t="shared" si="1"/>
        <v>16.744581385465363</v>
      </c>
      <c r="CP40" s="62">
        <f t="shared" si="12"/>
        <v>69.441624365482227</v>
      </c>
      <c r="CQ40" s="64">
        <v>0</v>
      </c>
      <c r="CR40" s="79">
        <f t="shared" si="2"/>
        <v>18105.112970711296</v>
      </c>
      <c r="CS40" s="65">
        <f t="shared" si="11"/>
        <v>273.59999999999997</v>
      </c>
      <c r="CT40" s="80">
        <f t="shared" si="3"/>
        <v>1.5111753262330019</v>
      </c>
      <c r="CU40" s="110">
        <f t="shared" si="4"/>
        <v>1.3476855979563322</v>
      </c>
      <c r="CW40" s="65">
        <f t="shared" si="13"/>
        <v>1.5111753262330019</v>
      </c>
      <c r="CX40" s="65">
        <f>SUM(K40:N40)/SUM(G40:J40)*CR40</f>
        <v>0</v>
      </c>
      <c r="CZ40" s="62"/>
      <c r="DA40" s="342">
        <v>2868</v>
      </c>
      <c r="DB40" s="342">
        <v>23904</v>
      </c>
      <c r="DD40" s="81">
        <f>CR40/CS40</f>
        <v>66.173658518681648</v>
      </c>
    </row>
    <row r="41" spans="1:111" ht="14.25" customHeight="1">
      <c r="A41" s="431" t="s">
        <v>424</v>
      </c>
      <c r="B41" s="76" t="s">
        <v>165</v>
      </c>
      <c r="C41" s="65">
        <v>3</v>
      </c>
      <c r="D41" s="65" t="e">
        <f>AVERAGE(G41:AA41)/AVERAGE(AC41:AV41)</f>
        <v>#DIV/0!</v>
      </c>
      <c r="E41" s="65">
        <f>AVERAGE(G41:AA41)/AVERAGE(AX41:BQ41)</f>
        <v>6.1475019069412662</v>
      </c>
      <c r="F41" s="65" t="e">
        <f>AVERAGE(G41:AA41)/AVERAGE(BS41:CL41)</f>
        <v>#DIV/0!</v>
      </c>
      <c r="G41" s="61">
        <v>128.94999999999999</v>
      </c>
      <c r="AW41" s="320">
        <v>33</v>
      </c>
      <c r="AX41" s="182">
        <v>38</v>
      </c>
      <c r="AY41" s="182">
        <v>33.64</v>
      </c>
      <c r="AZ41" s="182">
        <v>33</v>
      </c>
      <c r="BA41" s="182">
        <v>46</v>
      </c>
      <c r="BB41" s="187">
        <v>29</v>
      </c>
      <c r="BC41" s="187">
        <v>37</v>
      </c>
      <c r="BD41" s="187">
        <v>19</v>
      </c>
      <c r="BE41" s="182">
        <v>19</v>
      </c>
      <c r="BF41" s="187">
        <v>24</v>
      </c>
      <c r="BG41" s="187">
        <v>8</v>
      </c>
      <c r="BH41" s="199">
        <v>8</v>
      </c>
      <c r="BI41" s="199">
        <v>7</v>
      </c>
      <c r="BJ41" s="61">
        <v>7</v>
      </c>
      <c r="BK41" s="61">
        <v>6</v>
      </c>
      <c r="BL41" s="61">
        <v>0</v>
      </c>
      <c r="BM41" s="89"/>
      <c r="CM41" s="356">
        <v>1428</v>
      </c>
      <c r="CN41" s="355">
        <v>639</v>
      </c>
      <c r="CO41" s="170">
        <f t="shared" si="1"/>
        <v>44.747899159663866</v>
      </c>
      <c r="CP41" s="62">
        <f t="shared" si="12"/>
        <v>21.656338028169014</v>
      </c>
      <c r="CQ41" s="61">
        <v>9.36</v>
      </c>
      <c r="CR41" s="79">
        <f t="shared" si="2"/>
        <v>1074.21906779661</v>
      </c>
      <c r="CS41" s="65">
        <f t="shared" si="11"/>
        <v>138.38399999999999</v>
      </c>
      <c r="CT41" s="77">
        <f t="shared" si="3"/>
        <v>12.882288552543296</v>
      </c>
      <c r="CU41" s="110">
        <f t="shared" si="4"/>
        <v>12.287996364722186</v>
      </c>
      <c r="CW41" s="65">
        <f t="shared" si="13"/>
        <v>12.882288552543296</v>
      </c>
      <c r="CX41" s="65">
        <f>SUM(K41:N41)/SUM(G41:J41)*CR41</f>
        <v>0</v>
      </c>
      <c r="CY41" s="65">
        <f>SUM(BB41:BE41)</f>
        <v>104</v>
      </c>
      <c r="CZ41" s="65" t="e">
        <f>CY41/CX41%</f>
        <v>#DIV/0!</v>
      </c>
      <c r="DA41" s="342">
        <v>118</v>
      </c>
      <c r="DB41" s="380">
        <v>983</v>
      </c>
      <c r="DD41" s="81">
        <f>CR41/CS41</f>
        <v>7.7625958766664507</v>
      </c>
    </row>
    <row r="42" spans="1:111" ht="14.25" customHeight="1" thickBot="1">
      <c r="A42" s="386" t="s">
        <v>740</v>
      </c>
      <c r="B42" s="61" t="s">
        <v>44</v>
      </c>
      <c r="C42" s="65">
        <v>1</v>
      </c>
      <c r="D42" s="65" t="e">
        <f>AVERAGE(G42:AA42)/AVERAGE(AD42:AV42)</f>
        <v>#DIV/0!</v>
      </c>
      <c r="E42" s="65">
        <f>AVERAGE(G42:AA42)/AVERAGE(AY42:BQ42)</f>
        <v>4.2782845164579912</v>
      </c>
      <c r="F42" s="65" t="e">
        <f>AVERAGE(G42:AA42)/AVERAGE(BT42:CL42)</f>
        <v>#DIV/0!</v>
      </c>
      <c r="G42" s="61">
        <v>269.7</v>
      </c>
      <c r="AW42" s="403">
        <v>10</v>
      </c>
      <c r="AX42" s="408">
        <v>36</v>
      </c>
      <c r="AY42" s="408">
        <v>73.55</v>
      </c>
      <c r="AZ42" s="275">
        <v>98</v>
      </c>
      <c r="BA42" s="61">
        <v>47</v>
      </c>
      <c r="BB42" s="61">
        <v>75</v>
      </c>
      <c r="BC42" s="61">
        <v>88</v>
      </c>
      <c r="BD42" s="61">
        <v>92</v>
      </c>
      <c r="BE42" s="275">
        <v>55</v>
      </c>
      <c r="BF42" s="275">
        <v>74</v>
      </c>
      <c r="BG42" s="61">
        <v>54</v>
      </c>
      <c r="BH42" s="61">
        <v>56</v>
      </c>
      <c r="BI42" s="61">
        <v>35</v>
      </c>
      <c r="BJ42" s="61">
        <v>46</v>
      </c>
      <c r="BK42" s="89">
        <v>40</v>
      </c>
      <c r="BL42" s="61">
        <v>49</v>
      </c>
      <c r="CM42" s="342">
        <v>1956</v>
      </c>
      <c r="CN42" s="342">
        <v>14</v>
      </c>
      <c r="CO42" s="63">
        <f t="shared" si="1"/>
        <v>0.71574642126789367</v>
      </c>
      <c r="CP42" s="62">
        <f t="shared" si="12"/>
        <v>906.64285714285688</v>
      </c>
      <c r="CQ42" s="64">
        <v>0</v>
      </c>
      <c r="CR42" s="79">
        <f t="shared" si="2"/>
        <v>4555.1750000000002</v>
      </c>
      <c r="CS42" s="65">
        <f t="shared" si="11"/>
        <v>126.92999999999998</v>
      </c>
      <c r="CT42" s="110">
        <f t="shared" si="3"/>
        <v>2.786501067467221</v>
      </c>
      <c r="CU42" s="110">
        <f t="shared" si="4"/>
        <v>0.87812213581256482</v>
      </c>
      <c r="CW42" s="65">
        <f t="shared" si="13"/>
        <v>2.786501067467221</v>
      </c>
      <c r="CX42" s="65">
        <f>SUM(K42:N42)/SUM(G42:J42)*CR42</f>
        <v>0</v>
      </c>
      <c r="CZ42" s="62"/>
      <c r="DA42" s="342">
        <v>372</v>
      </c>
      <c r="DB42" s="342">
        <v>6283</v>
      </c>
    </row>
    <row r="43" spans="1:111" ht="14.25" customHeight="1">
      <c r="A43" s="430" t="s">
        <v>635</v>
      </c>
      <c r="B43" s="61" t="s">
        <v>44</v>
      </c>
      <c r="C43" s="65">
        <v>1</v>
      </c>
      <c r="D43" s="65" t="e">
        <f t="shared" ref="D43:D49" si="14">AVERAGE(G43:AA43)/AVERAGE(AC43:AV43)</f>
        <v>#DIV/0!</v>
      </c>
      <c r="E43" s="65">
        <f>AVERAGE(G43:AA43)/AVERAGE(AZ43:BQ43)</f>
        <v>158.9073752711497</v>
      </c>
      <c r="F43" s="65" t="e">
        <f t="shared" ref="F43:F49" si="15">AVERAGE(G43:AA43)/AVERAGE(BS43:CL43)</f>
        <v>#DIV/0!</v>
      </c>
      <c r="G43" s="61">
        <v>5635.1</v>
      </c>
      <c r="AW43" s="322">
        <v>122</v>
      </c>
      <c r="AX43" s="235">
        <v>52</v>
      </c>
      <c r="AY43" s="235">
        <v>50</v>
      </c>
      <c r="AZ43" s="235">
        <v>36</v>
      </c>
      <c r="BA43" s="235">
        <v>32</v>
      </c>
      <c r="BB43" s="235">
        <v>29</v>
      </c>
      <c r="BC43" s="235">
        <v>31</v>
      </c>
      <c r="BD43" s="235">
        <v>29</v>
      </c>
      <c r="BE43" s="235">
        <v>34</v>
      </c>
      <c r="BF43" s="235">
        <v>36</v>
      </c>
      <c r="BG43" s="235">
        <v>57</v>
      </c>
      <c r="BH43" s="235">
        <v>38</v>
      </c>
      <c r="BI43" s="235">
        <v>27</v>
      </c>
      <c r="BJ43" s="235">
        <v>34</v>
      </c>
      <c r="BK43" s="61">
        <v>33</v>
      </c>
      <c r="BL43" s="61">
        <v>45</v>
      </c>
      <c r="BP43" s="91"/>
      <c r="CM43" s="358">
        <v>1236</v>
      </c>
      <c r="CN43" s="342">
        <v>59</v>
      </c>
      <c r="CO43" s="170">
        <f t="shared" si="1"/>
        <v>4.7734627831715208</v>
      </c>
      <c r="CP43" s="62">
        <f t="shared" si="12"/>
        <v>582.37288135593212</v>
      </c>
      <c r="CQ43" s="64">
        <v>0</v>
      </c>
      <c r="CR43" s="62">
        <v>9962</v>
      </c>
      <c r="CS43" s="65">
        <f t="shared" si="11"/>
        <v>343.59999999999997</v>
      </c>
      <c r="CT43" s="110">
        <f t="shared" si="3"/>
        <v>3.4491066050993773</v>
      </c>
      <c r="CU43" s="110">
        <f t="shared" si="4"/>
        <v>4.8986147359967873</v>
      </c>
      <c r="CX43" s="62"/>
      <c r="CZ43" s="62"/>
      <c r="DA43" s="342"/>
      <c r="DB43" s="342"/>
    </row>
    <row r="44" spans="1:111" ht="14.25" customHeight="1">
      <c r="A44" s="394" t="s">
        <v>689</v>
      </c>
      <c r="B44" s="61" t="s">
        <v>44</v>
      </c>
      <c r="C44" s="65">
        <v>1</v>
      </c>
      <c r="D44" s="65" t="e">
        <f t="shared" si="14"/>
        <v>#DIV/0!</v>
      </c>
      <c r="E44" s="65">
        <f>AVERAGE(G44:AA44)/AVERAGE(AX44:BQ44)</f>
        <v>39.875019686368034</v>
      </c>
      <c r="F44" s="65" t="e">
        <f t="shared" si="15"/>
        <v>#DIV/0!</v>
      </c>
      <c r="G44" s="61">
        <v>2363.1</v>
      </c>
      <c r="AW44" s="323">
        <v>98</v>
      </c>
      <c r="AX44" s="251">
        <v>46</v>
      </c>
      <c r="AY44" s="251">
        <v>41.94</v>
      </c>
      <c r="AZ44" s="251">
        <v>77</v>
      </c>
      <c r="BA44" s="251">
        <v>79</v>
      </c>
      <c r="BB44" s="251">
        <v>85</v>
      </c>
      <c r="BC44" s="251">
        <v>82</v>
      </c>
      <c r="BD44" s="251">
        <v>56</v>
      </c>
      <c r="BE44" s="251">
        <v>63</v>
      </c>
      <c r="BF44" s="251">
        <v>48</v>
      </c>
      <c r="BG44" s="251">
        <v>67</v>
      </c>
      <c r="BH44" s="251">
        <v>53</v>
      </c>
      <c r="BI44" s="251">
        <v>57</v>
      </c>
      <c r="BJ44" s="251">
        <v>42</v>
      </c>
      <c r="BK44" s="61">
        <v>46</v>
      </c>
      <c r="BL44" s="61">
        <v>46</v>
      </c>
      <c r="CM44" s="359">
        <v>2049</v>
      </c>
      <c r="CN44" s="360">
        <v>259</v>
      </c>
      <c r="CO44" s="170">
        <f t="shared" si="1"/>
        <v>12.64031234748658</v>
      </c>
      <c r="CP44" s="62">
        <f t="shared" si="12"/>
        <v>112.65019305019304</v>
      </c>
      <c r="CQ44" s="64">
        <v>0</v>
      </c>
      <c r="CR44" s="79">
        <f t="shared" ref="CR44:CR58" si="16">( G44/DA44) * DB44</f>
        <v>8378.4063787375417</v>
      </c>
      <c r="CS44" s="65">
        <f t="shared" si="11"/>
        <v>291.76399999999995</v>
      </c>
      <c r="CT44" s="110">
        <f t="shared" si="3"/>
        <v>3.4823328782479392</v>
      </c>
      <c r="CU44" s="110">
        <f t="shared" si="4"/>
        <v>4.6786940413251541</v>
      </c>
      <c r="CX44" s="62"/>
      <c r="CZ44" s="62"/>
      <c r="DA44" s="342">
        <v>3010</v>
      </c>
      <c r="DB44" s="342">
        <v>10672</v>
      </c>
    </row>
    <row r="45" spans="1:111" ht="14.25" customHeight="1" thickBot="1">
      <c r="A45" s="393" t="s">
        <v>630</v>
      </c>
      <c r="B45" s="61" t="s">
        <v>44</v>
      </c>
      <c r="C45" s="65">
        <v>1</v>
      </c>
      <c r="D45" s="65" t="e">
        <f t="shared" si="14"/>
        <v>#DIV/0!</v>
      </c>
      <c r="E45" s="65">
        <f>AVERAGE(G45:AA45)/AVERAGE(AZ45:BQ45)</f>
        <v>85.852625820568932</v>
      </c>
      <c r="F45" s="65" t="e">
        <f t="shared" si="15"/>
        <v>#DIV/0!</v>
      </c>
      <c r="G45" s="61">
        <v>3018.05</v>
      </c>
      <c r="AL45" s="89"/>
      <c r="AW45" s="405">
        <v>54</v>
      </c>
      <c r="AX45" s="409">
        <v>38</v>
      </c>
      <c r="AY45" s="409">
        <v>40.9</v>
      </c>
      <c r="AZ45" s="409">
        <v>32</v>
      </c>
      <c r="BA45" s="409">
        <v>53</v>
      </c>
      <c r="BB45" s="280">
        <v>43</v>
      </c>
      <c r="BC45" s="280">
        <v>44</v>
      </c>
      <c r="BD45" s="280">
        <v>18</v>
      </c>
      <c r="BE45" s="280">
        <v>36</v>
      </c>
      <c r="BF45" s="235">
        <v>29</v>
      </c>
      <c r="BG45" s="235">
        <v>46</v>
      </c>
      <c r="BH45" s="234">
        <v>30</v>
      </c>
      <c r="BI45" s="235">
        <v>37</v>
      </c>
      <c r="BJ45" s="235">
        <v>25</v>
      </c>
      <c r="BK45" s="61">
        <v>33</v>
      </c>
      <c r="BL45" s="61">
        <v>31</v>
      </c>
      <c r="CB45" s="89"/>
      <c r="CC45" s="89"/>
      <c r="CD45" s="89"/>
      <c r="CE45" s="89"/>
      <c r="CM45" s="361">
        <v>1415</v>
      </c>
      <c r="CN45" s="342">
        <v>80</v>
      </c>
      <c r="CO45" s="170">
        <f t="shared" si="1"/>
        <v>5.6537102473498235</v>
      </c>
      <c r="CP45" s="62">
        <f t="shared" si="12"/>
        <v>230.67499999999998</v>
      </c>
      <c r="CQ45" s="64">
        <v>0</v>
      </c>
      <c r="CR45" s="79">
        <f t="shared" si="16"/>
        <v>6319.2091150442475</v>
      </c>
      <c r="CS45" s="65">
        <f t="shared" si="11"/>
        <v>184.54</v>
      </c>
      <c r="CT45" s="110">
        <f t="shared" si="3"/>
        <v>2.9203021555444733</v>
      </c>
      <c r="CU45" s="110">
        <f t="shared" si="4"/>
        <v>3.4181492662707611</v>
      </c>
      <c r="CX45" s="62"/>
      <c r="CZ45" s="62"/>
      <c r="DA45" s="382">
        <v>2825</v>
      </c>
      <c r="DB45" s="382">
        <v>5915</v>
      </c>
    </row>
    <row r="46" spans="1:111" ht="14.25" customHeight="1">
      <c r="A46" s="424" t="s">
        <v>453</v>
      </c>
      <c r="B46" s="61" t="s">
        <v>165</v>
      </c>
      <c r="C46" s="65">
        <v>4</v>
      </c>
      <c r="D46" s="65" t="e">
        <f t="shared" si="14"/>
        <v>#DIV/0!</v>
      </c>
      <c r="E46" s="65">
        <f>AVERAGE(G46:AA46)/AVERAGE(AX46:BQ46)</f>
        <v>7.3964267483409909</v>
      </c>
      <c r="F46" s="65" t="e">
        <f t="shared" si="15"/>
        <v>#DIV/0!</v>
      </c>
      <c r="G46" s="61">
        <v>1811.2</v>
      </c>
      <c r="AW46" s="305">
        <v>286</v>
      </c>
      <c r="AX46" s="187">
        <v>273</v>
      </c>
      <c r="AY46" s="187">
        <v>351</v>
      </c>
      <c r="AZ46" s="187">
        <v>260</v>
      </c>
      <c r="BA46" s="187">
        <v>204</v>
      </c>
      <c r="BB46" s="182">
        <v>219</v>
      </c>
      <c r="BC46" s="187">
        <v>314</v>
      </c>
      <c r="BD46" s="61">
        <v>154</v>
      </c>
      <c r="BE46" s="89">
        <v>184</v>
      </c>
      <c r="BF46" s="89"/>
      <c r="BK46" s="91"/>
      <c r="CM46" s="362">
        <v>4691</v>
      </c>
      <c r="CN46" s="355">
        <v>4.07</v>
      </c>
      <c r="CO46" s="170">
        <f t="shared" si="1"/>
        <v>8.6761884459603505E-2</v>
      </c>
      <c r="CP46" s="62">
        <f t="shared" si="12"/>
        <v>28555.282555282552</v>
      </c>
      <c r="CQ46" s="61">
        <v>0</v>
      </c>
      <c r="CR46" s="79">
        <f t="shared" si="16"/>
        <v>29617.742155009451</v>
      </c>
      <c r="CS46" s="65">
        <f t="shared" si="11"/>
        <v>1162.1999999999998</v>
      </c>
      <c r="CT46" s="77">
        <f t="shared" si="3"/>
        <v>3.9239993174274734</v>
      </c>
      <c r="CU46" s="110">
        <f t="shared" si="4"/>
        <v>3.8625496636869991</v>
      </c>
      <c r="CW46" s="65">
        <f>CT46+CV46</f>
        <v>3.9239993174274734</v>
      </c>
      <c r="CX46" s="65">
        <f>SUM(K46:N46)/SUM(G46:J46)*CR46</f>
        <v>0</v>
      </c>
      <c r="CY46" s="65">
        <f>SUM(BB46:BE46)</f>
        <v>871</v>
      </c>
      <c r="CZ46" s="65" t="e">
        <f>CY46/CX46%</f>
        <v>#DIV/0!</v>
      </c>
      <c r="DA46" s="342">
        <v>2116</v>
      </c>
      <c r="DB46" s="380">
        <v>34602</v>
      </c>
      <c r="DD46" s="81">
        <f>CR46/CS46</f>
        <v>25.484204229056491</v>
      </c>
    </row>
    <row r="47" spans="1:111" ht="14.25" customHeight="1">
      <c r="A47" s="394" t="s">
        <v>536</v>
      </c>
      <c r="B47" s="61" t="s">
        <v>44</v>
      </c>
      <c r="C47" s="65">
        <v>1</v>
      </c>
      <c r="D47" s="65" t="e">
        <f t="shared" si="14"/>
        <v>#DIV/0!</v>
      </c>
      <c r="E47" s="65">
        <f>AVERAGE(G47:AA47)/AVERAGE(AX47:BQ47)</f>
        <v>95.466431525176333</v>
      </c>
      <c r="F47" s="65" t="e">
        <f t="shared" si="15"/>
        <v>#DIV/0!</v>
      </c>
      <c r="G47" s="61">
        <v>1569.85</v>
      </c>
      <c r="AW47" s="325">
        <v>16</v>
      </c>
      <c r="AX47" s="229">
        <v>32</v>
      </c>
      <c r="AY47" s="229">
        <v>35</v>
      </c>
      <c r="AZ47" s="229">
        <v>2.92</v>
      </c>
      <c r="BA47" s="229">
        <v>2.59</v>
      </c>
      <c r="BB47" s="229">
        <v>4.1500000000000004</v>
      </c>
      <c r="BC47" s="229">
        <v>23</v>
      </c>
      <c r="BD47" s="229">
        <v>27</v>
      </c>
      <c r="BE47" s="229">
        <v>19</v>
      </c>
      <c r="BF47" s="229">
        <v>12</v>
      </c>
      <c r="BG47" s="229">
        <v>21</v>
      </c>
      <c r="BH47" s="229">
        <v>18</v>
      </c>
      <c r="BI47" s="229">
        <v>13</v>
      </c>
      <c r="BJ47" s="61">
        <v>12</v>
      </c>
      <c r="BK47" s="61">
        <v>14</v>
      </c>
      <c r="BL47" s="61">
        <v>11</v>
      </c>
      <c r="BP47" s="89"/>
      <c r="CM47" s="342">
        <v>2728</v>
      </c>
      <c r="CN47" s="342">
        <v>636</v>
      </c>
      <c r="CO47" s="170">
        <f t="shared" si="1"/>
        <v>23.313782991202345</v>
      </c>
      <c r="CP47" s="62">
        <f t="shared" si="12"/>
        <v>14.462893081761006</v>
      </c>
      <c r="CQ47" s="64"/>
      <c r="CR47" s="79">
        <f t="shared" si="16"/>
        <v>2294.9045443288755</v>
      </c>
      <c r="CS47" s="65">
        <f t="shared" si="11"/>
        <v>91.984000000000009</v>
      </c>
      <c r="CT47" s="110">
        <f t="shared" si="3"/>
        <v>4.0081841411360273</v>
      </c>
      <c r="CU47" s="110">
        <f t="shared" si="4"/>
        <v>2.7887870176629166</v>
      </c>
      <c r="CX47" s="62"/>
      <c r="CZ47" s="62"/>
      <c r="DA47" s="342">
        <v>4038</v>
      </c>
      <c r="DB47" s="342">
        <v>5903</v>
      </c>
    </row>
    <row r="48" spans="1:111" ht="14.25" customHeight="1">
      <c r="A48" s="392" t="s">
        <v>15</v>
      </c>
      <c r="B48" s="76" t="s">
        <v>268</v>
      </c>
      <c r="C48" s="65">
        <v>1</v>
      </c>
      <c r="D48" s="65">
        <f t="shared" si="14"/>
        <v>0.18131914814299457</v>
      </c>
      <c r="E48" s="65">
        <f>AVERAGE(G48:AA48)/AVERAGE(AY48:BQ48)</f>
        <v>1.3038256121939236</v>
      </c>
      <c r="F48" s="65">
        <f t="shared" si="15"/>
        <v>6.9076901199115581E-2</v>
      </c>
      <c r="G48" s="76">
        <v>573.85</v>
      </c>
      <c r="H48" s="65">
        <v>180</v>
      </c>
      <c r="I48" s="65">
        <v>261.35000000000002</v>
      </c>
      <c r="J48" s="65">
        <v>344.75</v>
      </c>
      <c r="K48" s="65">
        <v>394</v>
      </c>
      <c r="L48" s="65">
        <v>477</v>
      </c>
      <c r="M48" s="65">
        <v>434.9</v>
      </c>
      <c r="N48" s="65">
        <v>450</v>
      </c>
      <c r="O48" s="65">
        <v>300.95</v>
      </c>
      <c r="P48" s="65">
        <v>295</v>
      </c>
      <c r="Q48" s="65">
        <v>270.7</v>
      </c>
      <c r="R48" s="65">
        <v>219</v>
      </c>
      <c r="S48" s="65">
        <v>153.6</v>
      </c>
      <c r="T48" s="65">
        <v>139.25</v>
      </c>
      <c r="U48" s="65">
        <v>69.55</v>
      </c>
      <c r="V48" s="65">
        <v>77.3</v>
      </c>
      <c r="W48" s="65">
        <v>59</v>
      </c>
      <c r="X48" s="65">
        <v>64.650000000000006</v>
      </c>
      <c r="Y48" s="65">
        <v>80.05</v>
      </c>
      <c r="Z48" s="65">
        <v>88.45</v>
      </c>
      <c r="AA48" s="65">
        <v>86.1</v>
      </c>
      <c r="AB48" s="111">
        <v>1332.35</v>
      </c>
      <c r="AC48" s="62">
        <v>1209.94</v>
      </c>
      <c r="AD48" s="62">
        <v>1430.94</v>
      </c>
      <c r="AE48" s="62">
        <v>1641.16</v>
      </c>
      <c r="AF48" s="62">
        <v>1641.16</v>
      </c>
      <c r="AG48" s="62">
        <v>1604.76</v>
      </c>
      <c r="AH48" s="62">
        <v>1764.37</v>
      </c>
      <c r="AI48" s="62">
        <v>1590.89</v>
      </c>
      <c r="AJ48" s="62">
        <v>1506.75</v>
      </c>
      <c r="AK48" s="111">
        <v>975.3</v>
      </c>
      <c r="AL48" s="62">
        <v>1203.42</v>
      </c>
      <c r="AM48" s="62">
        <v>1217.5899999999999</v>
      </c>
      <c r="AN48" s="62">
        <v>1456.41</v>
      </c>
      <c r="AO48" s="62">
        <v>945.44</v>
      </c>
      <c r="AP48" s="62">
        <v>1308.31</v>
      </c>
      <c r="AQ48" s="62">
        <v>1101.2</v>
      </c>
      <c r="AR48" s="111">
        <v>1151.57</v>
      </c>
      <c r="AS48" s="62">
        <v>987.22</v>
      </c>
      <c r="AT48" s="111">
        <v>1192.8900000000001</v>
      </c>
      <c r="AU48" s="111">
        <v>1141.82</v>
      </c>
      <c r="AV48" s="62">
        <v>1293.58</v>
      </c>
      <c r="AW48" s="314">
        <v>643</v>
      </c>
      <c r="AX48" s="144">
        <v>538</v>
      </c>
      <c r="AY48" s="144">
        <v>285</v>
      </c>
      <c r="AZ48" s="144">
        <v>242</v>
      </c>
      <c r="BA48" s="144">
        <v>308</v>
      </c>
      <c r="BB48" s="144">
        <v>240</v>
      </c>
      <c r="BC48" s="144">
        <v>138.68</v>
      </c>
      <c r="BD48" s="90">
        <v>1.5</v>
      </c>
      <c r="BE48" s="175">
        <v>238.77</v>
      </c>
      <c r="BF48" s="85">
        <v>111.79</v>
      </c>
      <c r="BG48" s="77">
        <v>81.86</v>
      </c>
      <c r="BH48" s="77">
        <v>66.430000000000007</v>
      </c>
      <c r="BI48" s="77">
        <v>93.6</v>
      </c>
      <c r="BJ48" s="77">
        <v>165.72</v>
      </c>
      <c r="BK48" s="77">
        <v>296.33</v>
      </c>
      <c r="BL48" s="77">
        <v>185.52</v>
      </c>
      <c r="BM48" s="65">
        <v>328.98</v>
      </c>
      <c r="BN48" s="65">
        <v>227.88</v>
      </c>
      <c r="BO48" s="65">
        <v>166.11</v>
      </c>
      <c r="BP48" s="77">
        <v>66.55</v>
      </c>
      <c r="BQ48" s="65">
        <v>238.42</v>
      </c>
      <c r="BR48" s="63">
        <v>5000</v>
      </c>
      <c r="BS48" s="63">
        <v>4997</v>
      </c>
      <c r="BT48" s="63">
        <v>4457</v>
      </c>
      <c r="BU48" s="63">
        <v>4457</v>
      </c>
      <c r="BV48" s="63">
        <v>4457</v>
      </c>
      <c r="BW48" s="63">
        <v>4457</v>
      </c>
      <c r="BX48" s="63">
        <v>3801</v>
      </c>
      <c r="BY48" s="63">
        <v>3801</v>
      </c>
      <c r="BZ48" s="63">
        <v>3801</v>
      </c>
      <c r="CA48" s="63">
        <v>3801</v>
      </c>
      <c r="CB48" s="63">
        <v>2660</v>
      </c>
      <c r="CC48" s="63">
        <v>2660</v>
      </c>
      <c r="CD48" s="63">
        <v>2660</v>
      </c>
      <c r="CE48" s="63" t="s">
        <v>402</v>
      </c>
      <c r="CF48" s="63">
        <v>2480</v>
      </c>
      <c r="CG48" s="63">
        <v>2480</v>
      </c>
      <c r="CH48" s="63" t="s">
        <v>403</v>
      </c>
      <c r="CI48" s="63">
        <v>2480</v>
      </c>
      <c r="CJ48" s="63">
        <v>2945</v>
      </c>
      <c r="CK48" s="63">
        <v>2945</v>
      </c>
      <c r="CL48" s="63">
        <v>2945</v>
      </c>
      <c r="CM48" s="363">
        <v>10627</v>
      </c>
      <c r="CN48" s="347">
        <v>2</v>
      </c>
      <c r="CO48" s="170">
        <f t="shared" si="1"/>
        <v>1.8819986826009223E-2</v>
      </c>
      <c r="CP48" s="62">
        <f t="shared" si="12"/>
        <v>107550</v>
      </c>
      <c r="CQ48" s="94">
        <v>0</v>
      </c>
      <c r="CR48" s="79">
        <f t="shared" si="16"/>
        <v>8906.1065979090145</v>
      </c>
      <c r="CS48" s="65">
        <f t="shared" si="11"/>
        <v>2151</v>
      </c>
      <c r="CT48" s="80">
        <f t="shared" si="3"/>
        <v>24.151967825143863</v>
      </c>
      <c r="CU48" s="110">
        <f t="shared" si="4"/>
        <v>28.879061481297079</v>
      </c>
      <c r="CV48" s="65">
        <v>3.56</v>
      </c>
      <c r="CW48" s="65">
        <f t="shared" ref="CW48:CW73" si="17">CT48+CV48</f>
        <v>27.711967825143862</v>
      </c>
      <c r="CX48" s="65">
        <f>SUM(K48:N48)/SUM(G48:J48)*CR48</f>
        <v>11499.123184873297</v>
      </c>
      <c r="CY48" s="65">
        <f>SUM(BC48:BF48)</f>
        <v>490.74000000000007</v>
      </c>
      <c r="CZ48" s="65">
        <f>CY48/CX48%</f>
        <v>4.2676297323743064</v>
      </c>
      <c r="DA48" s="365">
        <v>176.95</v>
      </c>
      <c r="DB48" s="364">
        <v>2746.25</v>
      </c>
      <c r="DD48" s="81">
        <f>CR48/CS48</f>
        <v>4.1404493714128376</v>
      </c>
      <c r="DE48" s="61">
        <v>-0.24</v>
      </c>
      <c r="DF48" s="61" t="s">
        <v>224</v>
      </c>
      <c r="DG48" s="61" t="s">
        <v>225</v>
      </c>
    </row>
    <row r="49" spans="1:111" ht="14.25" customHeight="1">
      <c r="A49" s="393" t="s">
        <v>649</v>
      </c>
      <c r="B49" s="76" t="s">
        <v>44</v>
      </c>
      <c r="C49" s="65">
        <v>1</v>
      </c>
      <c r="D49" s="65" t="e">
        <f t="shared" si="14"/>
        <v>#DIV/0!</v>
      </c>
      <c r="E49" s="65">
        <f>AVERAGE(G49:AA49)/AVERAGE(AZ49:BQ49)</f>
        <v>11.108359133126937</v>
      </c>
      <c r="F49" s="65" t="e">
        <f t="shared" si="15"/>
        <v>#DIV/0!</v>
      </c>
      <c r="G49" s="61">
        <v>165.6</v>
      </c>
      <c r="AW49" s="304">
        <v>23</v>
      </c>
      <c r="AX49" s="89">
        <v>40</v>
      </c>
      <c r="AY49" s="89">
        <v>19.690000000000001</v>
      </c>
      <c r="AZ49" s="89">
        <v>24</v>
      </c>
      <c r="BA49" s="89">
        <v>9.6199999999999992</v>
      </c>
      <c r="BB49" s="61">
        <v>50.44</v>
      </c>
      <c r="BC49" s="61">
        <v>11.1</v>
      </c>
      <c r="BD49" s="61">
        <v>2.16</v>
      </c>
      <c r="BE49" s="61">
        <v>3</v>
      </c>
      <c r="BF49" s="89">
        <v>22.6</v>
      </c>
      <c r="BG49" s="61">
        <v>10.28</v>
      </c>
      <c r="BH49" s="89">
        <v>11</v>
      </c>
      <c r="BI49" s="61">
        <v>7.23</v>
      </c>
      <c r="BJ49" s="61">
        <v>23</v>
      </c>
      <c r="BK49" s="61">
        <v>9.98</v>
      </c>
      <c r="BL49" s="61">
        <v>9.39</v>
      </c>
      <c r="BP49" s="89"/>
      <c r="BQ49" s="89"/>
      <c r="CM49" s="342">
        <v>632</v>
      </c>
      <c r="CN49" s="342">
        <v>4</v>
      </c>
      <c r="CO49" s="170">
        <f t="shared" si="1"/>
        <v>0.63291139240506322</v>
      </c>
      <c r="CP49" s="62">
        <f t="shared" si="12"/>
        <v>2765.35</v>
      </c>
      <c r="CQ49" s="64"/>
      <c r="CR49" s="79">
        <f t="shared" si="16"/>
        <v>1803.6</v>
      </c>
      <c r="CS49" s="65">
        <f t="shared" si="11"/>
        <v>110.61399999999999</v>
      </c>
      <c r="CT49" s="110">
        <f t="shared" si="3"/>
        <v>6.1329563096030162</v>
      </c>
      <c r="CU49" s="110">
        <f t="shared" si="4"/>
        <v>5.10090929252606</v>
      </c>
      <c r="CW49" s="62">
        <f t="shared" si="17"/>
        <v>6.1329563096030162</v>
      </c>
      <c r="CX49" s="65">
        <f>SUM(K49:N49)/SUM(G49:J49)*CR49</f>
        <v>0</v>
      </c>
      <c r="CY49" s="65">
        <f>SUM(BC49:BF49)</f>
        <v>38.86</v>
      </c>
      <c r="CZ49" s="65" t="e">
        <f>CY49/CX49%</f>
        <v>#DIV/0!</v>
      </c>
      <c r="DA49" s="342">
        <v>138</v>
      </c>
      <c r="DB49" s="342">
        <v>1503</v>
      </c>
    </row>
    <row r="50" spans="1:111" ht="14.25" customHeight="1">
      <c r="A50" s="392" t="s">
        <v>18</v>
      </c>
      <c r="B50" s="65" t="s">
        <v>44</v>
      </c>
      <c r="C50" s="65">
        <v>1</v>
      </c>
      <c r="D50" s="65">
        <f t="shared" ref="D50:D63" si="18">AVERAGE(G50:AA50)/AVERAGE(AC50:AV50)</f>
        <v>8.6541712603808302E-2</v>
      </c>
      <c r="E50" s="65">
        <f t="shared" ref="E50:E55" si="19">AVERAGE(G50:AA50)/AVERAGE(AX50:BQ50)</f>
        <v>0.2137976192394844</v>
      </c>
      <c r="F50" s="65">
        <f t="shared" ref="F50:F63" si="20">AVERAGE(G50:AA50)/AVERAGE(BS50:CL50)</f>
        <v>2.1553415784413443E-2</v>
      </c>
      <c r="G50" s="61">
        <v>1077.95</v>
      </c>
      <c r="H50" s="67">
        <v>532.32500000000005</v>
      </c>
      <c r="I50" s="67">
        <v>532.32500000000005</v>
      </c>
      <c r="J50" s="67">
        <v>591.67499999999995</v>
      </c>
      <c r="K50" s="76">
        <v>482.17500000000001</v>
      </c>
      <c r="L50" s="67">
        <v>543.9</v>
      </c>
      <c r="M50" s="76">
        <v>463.125</v>
      </c>
      <c r="N50" s="76">
        <v>484.3</v>
      </c>
      <c r="O50" s="76">
        <v>445.25</v>
      </c>
      <c r="P50" s="76">
        <v>437.4</v>
      </c>
      <c r="Q50" s="76">
        <v>425.45</v>
      </c>
      <c r="R50" s="76">
        <v>437.375</v>
      </c>
      <c r="S50" s="76">
        <v>413.97500000000002</v>
      </c>
      <c r="T50" s="76">
        <v>399.95</v>
      </c>
      <c r="U50" s="76">
        <v>365.22500000000002</v>
      </c>
      <c r="V50" s="76">
        <v>407.05</v>
      </c>
      <c r="W50" s="76">
        <v>427.55</v>
      </c>
      <c r="X50" s="76">
        <v>491.07499999999999</v>
      </c>
      <c r="Y50" s="76">
        <v>459.875</v>
      </c>
      <c r="Z50" s="76">
        <v>490.2</v>
      </c>
      <c r="AA50" s="76">
        <v>399.22500000000002</v>
      </c>
      <c r="AB50" s="106">
        <v>9057</v>
      </c>
      <c r="AC50" s="107">
        <v>8654</v>
      </c>
      <c r="AD50" s="106">
        <v>8130</v>
      </c>
      <c r="AE50" s="107">
        <v>6958</v>
      </c>
      <c r="AF50" s="107">
        <v>6958</v>
      </c>
      <c r="AG50" s="107">
        <v>6556</v>
      </c>
      <c r="AH50" s="107">
        <v>6485</v>
      </c>
      <c r="AI50" s="107">
        <v>6013</v>
      </c>
      <c r="AJ50" s="107">
        <v>5711</v>
      </c>
      <c r="AK50" s="107">
        <v>5723</v>
      </c>
      <c r="AL50" s="107">
        <v>5460</v>
      </c>
      <c r="AM50" s="107">
        <v>5179</v>
      </c>
      <c r="AN50" s="107">
        <v>5114.4799999999996</v>
      </c>
      <c r="AO50" s="107">
        <v>4889.26</v>
      </c>
      <c r="AP50" s="107">
        <v>4705.7700000000004</v>
      </c>
      <c r="AQ50" s="107">
        <v>4608.8</v>
      </c>
      <c r="AR50" s="107">
        <v>4612.6400000000003</v>
      </c>
      <c r="AS50" s="107">
        <v>4471.8500000000004</v>
      </c>
      <c r="AT50" s="107">
        <v>4350.1499999999996</v>
      </c>
      <c r="AU50" s="107">
        <v>4465.5</v>
      </c>
      <c r="AV50" s="108">
        <v>4385.95</v>
      </c>
      <c r="AW50" s="326">
        <v>3593</v>
      </c>
      <c r="AX50" s="136">
        <v>3442</v>
      </c>
      <c r="AY50" s="136">
        <v>3259</v>
      </c>
      <c r="AZ50" s="136">
        <v>3205</v>
      </c>
      <c r="BA50" s="136">
        <v>1102</v>
      </c>
      <c r="BB50" s="145">
        <v>3397</v>
      </c>
      <c r="BC50" s="145">
        <v>2530</v>
      </c>
      <c r="BD50" s="145">
        <v>2360</v>
      </c>
      <c r="BE50" s="105">
        <v>2500</v>
      </c>
      <c r="BF50" s="108">
        <v>2444</v>
      </c>
      <c r="BG50" s="108">
        <v>2232</v>
      </c>
      <c r="BH50" s="108">
        <v>2031</v>
      </c>
      <c r="BI50" s="108">
        <v>2031</v>
      </c>
      <c r="BJ50" s="108">
        <v>2014</v>
      </c>
      <c r="BK50" s="107">
        <v>2154</v>
      </c>
      <c r="BL50" s="108">
        <v>1986</v>
      </c>
      <c r="BM50" s="108">
        <v>1986</v>
      </c>
      <c r="BN50" s="108">
        <v>1969</v>
      </c>
      <c r="BO50" s="108">
        <v>1790</v>
      </c>
      <c r="BP50" s="107">
        <v>1762</v>
      </c>
      <c r="BQ50" s="107">
        <v>1721.14</v>
      </c>
      <c r="BR50" s="101">
        <v>30439</v>
      </c>
      <c r="BS50" s="101">
        <v>30439</v>
      </c>
      <c r="BT50" s="101">
        <v>27563</v>
      </c>
      <c r="BU50" s="101">
        <v>27563</v>
      </c>
      <c r="BV50" s="101">
        <v>27563</v>
      </c>
      <c r="BW50" s="101">
        <v>27563</v>
      </c>
      <c r="BX50" s="101">
        <v>25973</v>
      </c>
      <c r="BY50" s="101">
        <v>25973</v>
      </c>
      <c r="BZ50" s="101">
        <v>25973</v>
      </c>
      <c r="CA50" s="101">
        <v>25973</v>
      </c>
      <c r="CB50" s="101">
        <v>21496.57</v>
      </c>
      <c r="CC50" s="101">
        <v>21496.57</v>
      </c>
      <c r="CD50" s="101">
        <v>21496.57</v>
      </c>
      <c r="CE50" s="101">
        <v>21496.57</v>
      </c>
      <c r="CF50" s="101">
        <v>19405.75</v>
      </c>
      <c r="CG50" s="101">
        <v>19405.75</v>
      </c>
      <c r="CH50" s="101">
        <v>19405.75</v>
      </c>
      <c r="CI50" s="101">
        <v>19405.75</v>
      </c>
      <c r="CJ50" s="101">
        <v>15753.26</v>
      </c>
      <c r="CK50" s="101">
        <v>15753.26</v>
      </c>
      <c r="CL50" s="101">
        <v>15753.26</v>
      </c>
      <c r="CM50" s="353">
        <v>89033</v>
      </c>
      <c r="CN50" s="353">
        <v>6343</v>
      </c>
      <c r="CO50" s="63">
        <f t="shared" ref="CO50:CO81" si="21">CN50/CM50%</f>
        <v>7.1243246885986089</v>
      </c>
      <c r="CP50" s="62">
        <f t="shared" si="12"/>
        <v>219.34100583320193</v>
      </c>
      <c r="CQ50" s="76">
        <v>0</v>
      </c>
      <c r="CR50" s="79">
        <f t="shared" si="16"/>
        <v>292519.52666639211</v>
      </c>
      <c r="CS50" s="65">
        <f t="shared" si="11"/>
        <v>13912.8</v>
      </c>
      <c r="CT50" s="80">
        <f t="shared" ref="CT50:CT81" si="22">CS50/CR50%</f>
        <v>4.7561953072168901</v>
      </c>
      <c r="CU50" s="110">
        <f t="shared" ref="CU50:CU81" si="23">(4*AW50)/CR50%</f>
        <v>4.9131762804986163</v>
      </c>
      <c r="CV50" s="65">
        <v>0.75</v>
      </c>
      <c r="CW50" s="65">
        <f t="shared" si="17"/>
        <v>5.5061953072168901</v>
      </c>
      <c r="CX50" s="65">
        <f>SUM(K50:N50)/SUM(G50:J50)*CR50</f>
        <v>211129.92872923339</v>
      </c>
      <c r="CY50" s="62">
        <f>SUM(BB50:BE50)</f>
        <v>10787</v>
      </c>
      <c r="CZ50" s="65">
        <f>CY50/CX50%</f>
        <v>5.1091761669819649</v>
      </c>
      <c r="DA50" s="342">
        <v>607</v>
      </c>
      <c r="DB50" s="370">
        <v>164719.47</v>
      </c>
      <c r="DC50" s="61" t="s">
        <v>401</v>
      </c>
      <c r="DD50" s="81">
        <f>CR50/CS50</f>
        <v>21.02520892030304</v>
      </c>
      <c r="DE50" s="65">
        <v>704.92431284026031</v>
      </c>
    </row>
    <row r="51" spans="1:111" ht="14.25" customHeight="1" thickBot="1">
      <c r="A51" s="392" t="s">
        <v>441</v>
      </c>
      <c r="B51" s="65" t="s">
        <v>44</v>
      </c>
      <c r="C51" s="65">
        <v>1</v>
      </c>
      <c r="D51" s="65" t="e">
        <f t="shared" si="18"/>
        <v>#DIV/0!</v>
      </c>
      <c r="E51" s="65">
        <f t="shared" si="19"/>
        <v>0.12436339373690435</v>
      </c>
      <c r="F51" s="65" t="e">
        <f t="shared" si="20"/>
        <v>#DIV/0!</v>
      </c>
      <c r="G51" s="62">
        <v>1600.65</v>
      </c>
      <c r="H51" s="62">
        <v>857.7</v>
      </c>
      <c r="I51" s="62">
        <v>1160.95</v>
      </c>
      <c r="J51" s="62">
        <v>1144.4000000000001</v>
      </c>
      <c r="K51" s="62">
        <v>1218.05</v>
      </c>
      <c r="L51" s="62">
        <v>1502.4</v>
      </c>
      <c r="M51" s="62">
        <v>1285.8499999999999</v>
      </c>
      <c r="N51" s="62">
        <v>1101.3</v>
      </c>
      <c r="O51" s="62">
        <v>1397</v>
      </c>
      <c r="P51" s="65">
        <v>915.4</v>
      </c>
      <c r="Q51" s="65">
        <v>759.4</v>
      </c>
      <c r="R51" s="65">
        <v>749.75</v>
      </c>
      <c r="S51" s="65">
        <v>932.05</v>
      </c>
      <c r="T51" s="65">
        <v>878.25</v>
      </c>
      <c r="U51" s="65">
        <v>856.3</v>
      </c>
      <c r="V51" s="65">
        <v>579.4</v>
      </c>
      <c r="W51" s="65">
        <v>543.20000000000005</v>
      </c>
      <c r="X51" s="65">
        <v>624.45000000000005</v>
      </c>
      <c r="Y51" s="65">
        <v>704.15</v>
      </c>
      <c r="Z51" s="65">
        <v>576.75</v>
      </c>
      <c r="AA51" s="65">
        <v>668.1</v>
      </c>
      <c r="AL51" s="89"/>
      <c r="AV51" s="89"/>
      <c r="AW51" s="327">
        <v>10443</v>
      </c>
      <c r="AX51" s="276">
        <v>10591</v>
      </c>
      <c r="AY51" s="327">
        <v>9096</v>
      </c>
      <c r="AZ51" s="276">
        <v>7922</v>
      </c>
      <c r="BA51" s="412">
        <v>8758</v>
      </c>
      <c r="BB51" s="276">
        <v>7513</v>
      </c>
      <c r="BC51" s="276">
        <v>6658</v>
      </c>
      <c r="BD51" s="276">
        <v>6927</v>
      </c>
      <c r="BE51" s="276">
        <v>7416</v>
      </c>
      <c r="BF51" s="276">
        <v>6344</v>
      </c>
      <c r="BG51" s="276">
        <v>5568</v>
      </c>
      <c r="BH51" s="84"/>
      <c r="BI51" s="86"/>
      <c r="BJ51" s="92"/>
      <c r="BK51" s="92"/>
      <c r="BL51" s="86"/>
      <c r="BM51" s="86"/>
      <c r="BN51" s="86"/>
      <c r="BO51" s="92"/>
      <c r="BP51" s="92"/>
      <c r="BQ51" s="92"/>
      <c r="CB51" s="89"/>
      <c r="CC51" s="89"/>
      <c r="CD51" s="89"/>
      <c r="CE51" s="89"/>
      <c r="CM51" s="355">
        <v>951.27</v>
      </c>
      <c r="CN51" s="355">
        <v>199.31</v>
      </c>
      <c r="CO51" s="65">
        <f t="shared" si="21"/>
        <v>20.95199049691465</v>
      </c>
      <c r="CP51" s="62">
        <f t="shared" si="12"/>
        <v>20388.941849380361</v>
      </c>
      <c r="CR51" s="79">
        <f t="shared" si="16"/>
        <v>880950.40799374483</v>
      </c>
      <c r="CS51" s="65">
        <f t="shared" si="11"/>
        <v>40637.199999999997</v>
      </c>
      <c r="CT51" s="77">
        <f t="shared" si="22"/>
        <v>4.6128816822443133</v>
      </c>
      <c r="CU51" s="110">
        <f t="shared" si="23"/>
        <v>4.741697105871209</v>
      </c>
      <c r="CW51" s="65">
        <f t="shared" si="17"/>
        <v>4.6128816822443133</v>
      </c>
      <c r="CX51" s="65">
        <f>SUM(K51:N51)/SUM(G51:J51)*CR51</f>
        <v>944547.78929589386</v>
      </c>
      <c r="CY51" s="65">
        <f>SUM(BB51:BE51)</f>
        <v>28514</v>
      </c>
      <c r="CZ51" s="65">
        <f>CY51/CX51%</f>
        <v>3.0187990828135387</v>
      </c>
      <c r="DA51" s="342">
        <v>1199</v>
      </c>
      <c r="DB51" s="383">
        <v>659894.13</v>
      </c>
      <c r="DD51" s="81">
        <f>CR51/CS51</f>
        <v>21.678422922685247</v>
      </c>
      <c r="DE51" s="65"/>
    </row>
    <row r="52" spans="1:111" ht="14.25" customHeight="1" thickBot="1">
      <c r="A52" s="393" t="s">
        <v>674</v>
      </c>
      <c r="B52" s="76" t="s">
        <v>44</v>
      </c>
      <c r="C52" s="65">
        <v>1</v>
      </c>
      <c r="D52" s="65" t="e">
        <f t="shared" si="18"/>
        <v>#DIV/0!</v>
      </c>
      <c r="E52" s="65">
        <f t="shared" si="19"/>
        <v>1.9057377049180328</v>
      </c>
      <c r="F52" s="65" t="e">
        <f t="shared" si="20"/>
        <v>#DIV/0!</v>
      </c>
      <c r="G52" s="61">
        <v>604.5</v>
      </c>
      <c r="AW52" s="318">
        <v>358</v>
      </c>
      <c r="AX52" s="253">
        <v>274</v>
      </c>
      <c r="AY52" s="253">
        <v>276</v>
      </c>
      <c r="AZ52" s="253">
        <v>270</v>
      </c>
      <c r="BA52" s="282">
        <v>319</v>
      </c>
      <c r="BB52" s="283">
        <v>263</v>
      </c>
      <c r="BC52" s="277">
        <v>328</v>
      </c>
      <c r="BD52" s="253">
        <v>451</v>
      </c>
      <c r="BE52" s="277">
        <v>312</v>
      </c>
      <c r="BF52" s="253">
        <v>251</v>
      </c>
      <c r="BG52" s="246">
        <v>309</v>
      </c>
      <c r="BH52" s="246">
        <v>426</v>
      </c>
      <c r="BI52" s="246">
        <v>365</v>
      </c>
      <c r="BJ52" s="246">
        <v>245</v>
      </c>
      <c r="BK52" s="61">
        <v>288</v>
      </c>
      <c r="BL52" s="61">
        <v>381</v>
      </c>
      <c r="CM52" s="348">
        <v>210389</v>
      </c>
      <c r="CN52" s="360">
        <v>600</v>
      </c>
      <c r="CO52" s="170">
        <f t="shared" si="21"/>
        <v>0.28518601257670317</v>
      </c>
      <c r="CP52" s="62">
        <f t="shared" si="12"/>
        <v>210.73333333333332</v>
      </c>
      <c r="CQ52" s="64"/>
      <c r="CR52" s="62">
        <f t="shared" si="16"/>
        <v>122191.55286343613</v>
      </c>
      <c r="CS52" s="65">
        <f t="shared" si="11"/>
        <v>1264.3999999999999</v>
      </c>
      <c r="CT52" s="80">
        <f t="shared" si="22"/>
        <v>1.0347687465868611</v>
      </c>
      <c r="CU52" s="110">
        <f t="shared" si="23"/>
        <v>1.1719304374504789</v>
      </c>
      <c r="CW52" s="65">
        <f t="shared" si="17"/>
        <v>1.0347687465868611</v>
      </c>
      <c r="CX52" s="62"/>
      <c r="CZ52" s="62"/>
      <c r="DA52" s="342">
        <v>681</v>
      </c>
      <c r="DB52" s="342">
        <v>137655</v>
      </c>
    </row>
    <row r="53" spans="1:111" ht="14.25" customHeight="1">
      <c r="A53" s="400" t="s">
        <v>527</v>
      </c>
      <c r="B53" s="61" t="s">
        <v>44</v>
      </c>
      <c r="C53" s="65">
        <v>1</v>
      </c>
      <c r="D53" s="65" t="e">
        <f t="shared" si="18"/>
        <v>#DIV/0!</v>
      </c>
      <c r="E53" s="65">
        <f t="shared" si="19"/>
        <v>11.084745762711863</v>
      </c>
      <c r="F53" s="65" t="e">
        <f t="shared" si="20"/>
        <v>#DIV/0!</v>
      </c>
      <c r="G53" s="61">
        <v>479.6</v>
      </c>
      <c r="AW53" s="319">
        <v>43</v>
      </c>
      <c r="AX53" s="250">
        <v>53</v>
      </c>
      <c r="AY53" s="250">
        <v>45.6</v>
      </c>
      <c r="AZ53" s="250">
        <v>47</v>
      </c>
      <c r="BA53" s="250">
        <v>43</v>
      </c>
      <c r="BB53" s="89">
        <v>45</v>
      </c>
      <c r="BC53" s="61">
        <v>26</v>
      </c>
      <c r="BD53" s="89"/>
      <c r="CM53" s="366">
        <v>1069</v>
      </c>
      <c r="CN53" s="342">
        <v>54</v>
      </c>
      <c r="CO53" s="170">
        <f t="shared" si="21"/>
        <v>5.0514499532273156</v>
      </c>
      <c r="CP53" s="62">
        <f t="shared" si="12"/>
        <v>345.11111111111109</v>
      </c>
      <c r="CQ53" s="64"/>
      <c r="CR53" s="79">
        <f t="shared" si="16"/>
        <v>1919.7548022598871</v>
      </c>
      <c r="CS53" s="65">
        <f t="shared" si="11"/>
        <v>186.35999999999999</v>
      </c>
      <c r="CT53" s="110">
        <f t="shared" si="22"/>
        <v>9.7074897159065152</v>
      </c>
      <c r="CU53" s="110">
        <f t="shared" si="23"/>
        <v>8.9594775227297738</v>
      </c>
      <c r="CW53" s="62">
        <f t="shared" si="17"/>
        <v>9.7074897159065152</v>
      </c>
      <c r="CX53" s="62"/>
      <c r="CZ53" s="62"/>
      <c r="DA53" s="342">
        <v>708</v>
      </c>
      <c r="DB53" s="342">
        <v>2834</v>
      </c>
    </row>
    <row r="54" spans="1:111" ht="14.25" customHeight="1">
      <c r="A54" s="401" t="s">
        <v>19</v>
      </c>
      <c r="B54" s="76" t="s">
        <v>268</v>
      </c>
      <c r="C54" s="65">
        <v>1</v>
      </c>
      <c r="D54" s="65">
        <f t="shared" si="18"/>
        <v>4.6589093693092803E-2</v>
      </c>
      <c r="E54" s="65">
        <f t="shared" si="19"/>
        <v>0.10419293118880399</v>
      </c>
      <c r="F54" s="65">
        <f t="shared" si="20"/>
        <v>5.8988848671370862E-3</v>
      </c>
      <c r="G54" s="61">
        <v>349.7</v>
      </c>
      <c r="H54" s="76">
        <v>160</v>
      </c>
      <c r="I54" s="76">
        <v>210.9</v>
      </c>
      <c r="J54" s="65">
        <v>208</v>
      </c>
      <c r="K54" s="65">
        <v>276.85000000000002</v>
      </c>
      <c r="L54" s="65">
        <v>278.64999999999998</v>
      </c>
      <c r="M54" s="65">
        <v>269.14999999999998</v>
      </c>
      <c r="N54" s="65">
        <v>274.5</v>
      </c>
      <c r="O54" s="65">
        <v>300.55</v>
      </c>
      <c r="P54" s="65">
        <v>295.89999999999998</v>
      </c>
      <c r="Q54" s="65">
        <v>263.64999999999998</v>
      </c>
      <c r="R54" s="65">
        <v>288.8</v>
      </c>
      <c r="S54" s="65">
        <v>233.86</v>
      </c>
      <c r="T54" s="65">
        <v>213.67</v>
      </c>
      <c r="U54" s="65">
        <v>165.32</v>
      </c>
      <c r="V54" s="65">
        <v>146.51</v>
      </c>
      <c r="W54" s="65">
        <v>116.82</v>
      </c>
      <c r="X54" s="65">
        <v>110.25</v>
      </c>
      <c r="Y54" s="65">
        <v>131.78</v>
      </c>
      <c r="Z54" s="65">
        <v>127.88</v>
      </c>
      <c r="AA54" s="65">
        <v>134.41999999999999</v>
      </c>
      <c r="AB54" s="136">
        <v>4391</v>
      </c>
      <c r="AC54" s="105">
        <v>4461</v>
      </c>
      <c r="AD54" s="108">
        <v>4924</v>
      </c>
      <c r="AE54" s="107">
        <v>5384</v>
      </c>
      <c r="AF54" s="107">
        <v>5540</v>
      </c>
      <c r="AG54" s="107">
        <v>4777</v>
      </c>
      <c r="AH54" s="107">
        <v>5310</v>
      </c>
      <c r="AI54" s="107">
        <v>6277</v>
      </c>
      <c r="AJ54" s="107">
        <v>5922</v>
      </c>
      <c r="AK54" s="107">
        <v>5309</v>
      </c>
      <c r="AL54" s="107">
        <v>5013</v>
      </c>
      <c r="AM54" s="107">
        <v>6756.15</v>
      </c>
      <c r="AN54" s="108">
        <v>4943.8900000000003</v>
      </c>
      <c r="AO54" s="107">
        <v>3819.91</v>
      </c>
      <c r="AP54" s="107">
        <v>2501.4699999999998</v>
      </c>
      <c r="AQ54" s="107">
        <v>3453.59</v>
      </c>
      <c r="AR54" s="107">
        <v>3385.19</v>
      </c>
      <c r="AS54" s="108">
        <v>3908.28</v>
      </c>
      <c r="AT54" s="107">
        <v>3595.8</v>
      </c>
      <c r="AU54" s="108">
        <v>4073.11</v>
      </c>
      <c r="AV54" s="108">
        <v>3803.73</v>
      </c>
      <c r="AW54" s="311">
        <v>2929</v>
      </c>
      <c r="AX54" s="145">
        <v>2701</v>
      </c>
      <c r="AY54" s="145">
        <v>2017</v>
      </c>
      <c r="AZ54" s="145">
        <v>1983</v>
      </c>
      <c r="BA54" s="145">
        <v>2481</v>
      </c>
      <c r="BB54" s="145">
        <v>2200</v>
      </c>
      <c r="BC54" s="145">
        <v>1940</v>
      </c>
      <c r="BD54" s="108">
        <v>1359</v>
      </c>
      <c r="BE54" s="108">
        <v>1339</v>
      </c>
      <c r="BF54" s="108">
        <v>1620</v>
      </c>
      <c r="BG54" s="108">
        <v>2081</v>
      </c>
      <c r="BH54" s="108">
        <v>1765</v>
      </c>
      <c r="BI54" s="108">
        <v>2012</v>
      </c>
      <c r="BJ54" s="108">
        <v>2211</v>
      </c>
      <c r="BK54" s="108">
        <v>1815</v>
      </c>
      <c r="BL54" s="108">
        <v>1918</v>
      </c>
      <c r="BM54" s="108">
        <v>2505</v>
      </c>
      <c r="BN54" s="108">
        <v>2230</v>
      </c>
      <c r="BO54" s="108">
        <v>2545</v>
      </c>
      <c r="BP54" s="108">
        <v>1876</v>
      </c>
      <c r="BQ54" s="108">
        <v>3056.96</v>
      </c>
      <c r="BR54" s="101">
        <v>33605</v>
      </c>
      <c r="BS54" s="101">
        <v>33605</v>
      </c>
      <c r="BT54" s="113">
        <v>35932</v>
      </c>
      <c r="BU54" s="113">
        <v>35932</v>
      </c>
      <c r="BV54" s="113">
        <v>35932</v>
      </c>
      <c r="BW54" s="113">
        <v>35932</v>
      </c>
      <c r="BX54" s="101">
        <v>30805</v>
      </c>
      <c r="BY54" s="101">
        <v>30805</v>
      </c>
      <c r="BZ54" s="101">
        <v>30805</v>
      </c>
      <c r="CA54" s="101">
        <v>30805</v>
      </c>
      <c r="CB54" s="101">
        <v>37385</v>
      </c>
      <c r="CC54" s="101">
        <v>37385</v>
      </c>
      <c r="CD54" s="101">
        <v>37385</v>
      </c>
      <c r="CE54" s="101">
        <v>37385</v>
      </c>
      <c r="CF54" s="101">
        <v>43353.07</v>
      </c>
      <c r="CG54" s="101">
        <v>43353.07</v>
      </c>
      <c r="CH54" s="101">
        <v>43353.07</v>
      </c>
      <c r="CI54" s="101">
        <v>43353.07</v>
      </c>
      <c r="CJ54" s="101">
        <v>37417.61</v>
      </c>
      <c r="CK54" s="101">
        <v>37417.61</v>
      </c>
      <c r="CL54" s="101">
        <v>37417.61</v>
      </c>
      <c r="CM54" s="363">
        <v>40533</v>
      </c>
      <c r="CN54" s="357">
        <v>2538</v>
      </c>
      <c r="CO54" s="170">
        <f t="shared" si="21"/>
        <v>6.2615646510250906</v>
      </c>
      <c r="CP54" s="62">
        <f t="shared" si="12"/>
        <v>421.82821118991342</v>
      </c>
      <c r="CQ54" s="114">
        <v>0</v>
      </c>
      <c r="CR54" s="79">
        <f t="shared" si="16"/>
        <v>147759.40375963022</v>
      </c>
      <c r="CS54" s="65">
        <f t="shared" si="11"/>
        <v>10706.000000000002</v>
      </c>
      <c r="CT54" s="110">
        <f t="shared" si="22"/>
        <v>7.2455625344943488</v>
      </c>
      <c r="CU54" s="110">
        <f t="shared" si="23"/>
        <v>7.9291061698240028</v>
      </c>
      <c r="CV54" s="65">
        <v>9.61</v>
      </c>
      <c r="CW54" s="62">
        <f t="shared" si="17"/>
        <v>16.855562534494346</v>
      </c>
      <c r="CX54" s="65">
        <f>SUM(K54:N54)/SUM(G54:J54)*CR54</f>
        <v>174897.4247710506</v>
      </c>
      <c r="CY54" s="62">
        <f>SUM(BB54:BE54)</f>
        <v>6838</v>
      </c>
      <c r="CZ54" s="65">
        <f>CY54/CX54%</f>
        <v>3.9097202311304931</v>
      </c>
      <c r="DA54" s="342">
        <v>194.7</v>
      </c>
      <c r="DB54" s="370">
        <v>82266.960000000006</v>
      </c>
      <c r="DC54" s="61" t="s">
        <v>401</v>
      </c>
      <c r="DD54" s="81">
        <f>CR54/CS54</f>
        <v>13.801550883582122</v>
      </c>
      <c r="DE54" s="65">
        <v>704.92431284026031</v>
      </c>
    </row>
    <row r="55" spans="1:111" ht="14.25" customHeight="1" thickBot="1">
      <c r="A55" s="394" t="s">
        <v>463</v>
      </c>
      <c r="B55" s="61" t="s">
        <v>268</v>
      </c>
      <c r="C55" s="65">
        <v>5</v>
      </c>
      <c r="D55" s="65" t="e">
        <f t="shared" si="18"/>
        <v>#DIV/0!</v>
      </c>
      <c r="E55" s="65">
        <f t="shared" si="19"/>
        <v>2.7945745992601729</v>
      </c>
      <c r="F55" s="65" t="e">
        <f t="shared" si="20"/>
        <v>#DIV/0!</v>
      </c>
      <c r="G55" s="61">
        <v>141.65</v>
      </c>
      <c r="AW55" s="324">
        <v>81</v>
      </c>
      <c r="AX55" s="278">
        <v>80</v>
      </c>
      <c r="AY55" s="278">
        <v>78</v>
      </c>
      <c r="AZ55" s="278">
        <v>64</v>
      </c>
      <c r="BA55" s="278">
        <v>64</v>
      </c>
      <c r="BB55" s="187">
        <v>60</v>
      </c>
      <c r="BC55" s="187">
        <v>47</v>
      </c>
      <c r="BD55" s="182">
        <v>43</v>
      </c>
      <c r="BE55" s="199">
        <v>47</v>
      </c>
      <c r="BF55" s="187">
        <v>42</v>
      </c>
      <c r="BG55" s="187">
        <v>49</v>
      </c>
      <c r="BH55" s="182">
        <v>40</v>
      </c>
      <c r="BI55" s="182">
        <v>38</v>
      </c>
      <c r="BJ55" s="182">
        <v>43</v>
      </c>
      <c r="BK55" s="182">
        <v>43</v>
      </c>
      <c r="BL55" s="61">
        <v>42</v>
      </c>
      <c r="BM55" s="61">
        <v>31</v>
      </c>
      <c r="BN55" s="89"/>
      <c r="BO55" s="89"/>
      <c r="CM55" s="356">
        <v>1695</v>
      </c>
      <c r="CN55" s="355">
        <v>10</v>
      </c>
      <c r="CO55" s="170">
        <f t="shared" si="21"/>
        <v>0.58997050147492625</v>
      </c>
      <c r="CP55" s="62">
        <f t="shared" si="12"/>
        <v>3176</v>
      </c>
      <c r="CQ55" s="61">
        <v>0</v>
      </c>
      <c r="CR55" s="79">
        <f t="shared" si="16"/>
        <v>4247.7725609756098</v>
      </c>
      <c r="CS55" s="65">
        <f t="shared" si="11"/>
        <v>317.60000000000002</v>
      </c>
      <c r="CT55" s="77">
        <f t="shared" si="22"/>
        <v>7.4768598233765848</v>
      </c>
      <c r="CU55" s="110">
        <f t="shared" si="23"/>
        <v>7.6275270238476489</v>
      </c>
      <c r="CW55" s="65">
        <f t="shared" si="17"/>
        <v>7.4768598233765848</v>
      </c>
      <c r="CX55" s="65">
        <f>SUM(K55:N55)/SUM(G55:J55)*CR55</f>
        <v>0</v>
      </c>
      <c r="CY55" s="65">
        <f>SUM(BB55:BE55)</f>
        <v>197</v>
      </c>
      <c r="CZ55" s="65" t="e">
        <f>CY55/CX55%</f>
        <v>#DIV/0!</v>
      </c>
      <c r="DA55" s="342">
        <v>246</v>
      </c>
      <c r="DB55" s="380">
        <v>7377</v>
      </c>
      <c r="DD55" s="81">
        <f>CR55/CS55</f>
        <v>13.374598743625974</v>
      </c>
    </row>
    <row r="56" spans="1:111" ht="14.25" customHeight="1">
      <c r="A56" s="393" t="s">
        <v>650</v>
      </c>
      <c r="B56" s="76" t="s">
        <v>44</v>
      </c>
      <c r="C56" s="65">
        <v>1</v>
      </c>
      <c r="D56" s="65" t="e">
        <f t="shared" si="18"/>
        <v>#DIV/0!</v>
      </c>
      <c r="E56" s="65">
        <f>AVERAGE(G56:AA56)/AVERAGE(AZ56:BQ56)</f>
        <v>101.76159695817491</v>
      </c>
      <c r="F56" s="65" t="e">
        <f t="shared" si="20"/>
        <v>#DIV/0!</v>
      </c>
      <c r="G56" s="61">
        <v>4460.55</v>
      </c>
      <c r="AV56" s="89"/>
      <c r="AW56" s="315">
        <v>60</v>
      </c>
      <c r="AX56" s="61">
        <v>74</v>
      </c>
      <c r="AY56" s="315">
        <v>82</v>
      </c>
      <c r="AZ56" s="61">
        <v>88</v>
      </c>
      <c r="BA56" s="61">
        <v>56</v>
      </c>
      <c r="BB56" s="61">
        <v>80</v>
      </c>
      <c r="BC56" s="89">
        <v>70</v>
      </c>
      <c r="BD56" s="61">
        <v>74</v>
      </c>
      <c r="BE56" s="61">
        <v>44</v>
      </c>
      <c r="BF56" s="61">
        <v>62</v>
      </c>
      <c r="BG56" s="61" t="s">
        <v>722</v>
      </c>
      <c r="BH56" s="61">
        <v>32</v>
      </c>
      <c r="BI56" s="61">
        <v>28</v>
      </c>
      <c r="BJ56" s="61">
        <v>28</v>
      </c>
      <c r="BK56" s="61">
        <v>20</v>
      </c>
      <c r="BL56" s="61">
        <v>-56</v>
      </c>
      <c r="CM56" s="342">
        <v>2512</v>
      </c>
      <c r="CN56" s="342">
        <v>64</v>
      </c>
      <c r="CO56" s="170">
        <f t="shared" si="21"/>
        <v>2.5477707006369426</v>
      </c>
      <c r="CP56" s="62">
        <f t="shared" si="12"/>
        <v>430.625</v>
      </c>
      <c r="CQ56" s="64"/>
      <c r="CR56" s="79">
        <f t="shared" si="16"/>
        <v>13543.012015868746</v>
      </c>
      <c r="CS56" s="65">
        <f t="shared" si="11"/>
        <v>275.60000000000002</v>
      </c>
      <c r="CT56" s="110">
        <f t="shared" si="22"/>
        <v>2.0349978252775038</v>
      </c>
      <c r="CU56" s="110">
        <f t="shared" si="23"/>
        <v>1.772131633042819</v>
      </c>
      <c r="CW56" s="62">
        <f t="shared" si="17"/>
        <v>2.0349978252775038</v>
      </c>
      <c r="CX56" s="65">
        <f>SUM(K56:N56)/SUM(G56:J56)*CR56</f>
        <v>0</v>
      </c>
      <c r="CY56" s="65">
        <f>SUM(BC56:BF56)</f>
        <v>250</v>
      </c>
      <c r="CZ56" s="65" t="e">
        <f>CY56/CX56%</f>
        <v>#DIV/0!</v>
      </c>
      <c r="DA56" s="342">
        <v>7436</v>
      </c>
      <c r="DB56" s="342">
        <v>22577</v>
      </c>
    </row>
    <row r="57" spans="1:111" ht="14.25" customHeight="1">
      <c r="A57" s="393" t="s">
        <v>677</v>
      </c>
      <c r="B57" s="76" t="s">
        <v>268</v>
      </c>
      <c r="C57" s="65">
        <v>1</v>
      </c>
      <c r="D57" s="65" t="e">
        <f t="shared" si="18"/>
        <v>#DIV/0!</v>
      </c>
      <c r="E57" s="65">
        <f>AVERAGE(G57:AA57)/AVERAGE(AX57:BQ57)</f>
        <v>4.4552001694556234</v>
      </c>
      <c r="F57" s="65" t="e">
        <f t="shared" si="20"/>
        <v>#DIV/0!</v>
      </c>
      <c r="G57" s="61">
        <v>350.55</v>
      </c>
      <c r="AW57" s="318">
        <v>28</v>
      </c>
      <c r="AX57" s="253">
        <v>40</v>
      </c>
      <c r="AY57" s="253">
        <v>31</v>
      </c>
      <c r="AZ57" s="253">
        <v>67</v>
      </c>
      <c r="BA57" s="253">
        <v>75.25</v>
      </c>
      <c r="BB57" s="253">
        <v>115</v>
      </c>
      <c r="BC57" s="246">
        <v>127</v>
      </c>
      <c r="BD57" s="253">
        <v>128</v>
      </c>
      <c r="BE57" s="246">
        <v>90</v>
      </c>
      <c r="BF57" s="246">
        <v>98</v>
      </c>
      <c r="BG57" s="246">
        <v>88</v>
      </c>
      <c r="BH57" s="253">
        <v>85</v>
      </c>
      <c r="BI57" s="246">
        <v>102</v>
      </c>
      <c r="BJ57" s="246">
        <v>82</v>
      </c>
      <c r="BK57" s="246">
        <v>38</v>
      </c>
      <c r="BL57" s="61">
        <v>14</v>
      </c>
      <c r="CM57" s="367">
        <v>1960</v>
      </c>
      <c r="CN57" s="342">
        <v>44</v>
      </c>
      <c r="CO57" s="170">
        <f t="shared" si="21"/>
        <v>2.2448979591836733</v>
      </c>
      <c r="CP57" s="62">
        <f t="shared" si="12"/>
        <v>309.09090909090907</v>
      </c>
      <c r="CQ57" s="64"/>
      <c r="CR57" s="79">
        <f t="shared" si="16"/>
        <v>2057.293437945792</v>
      </c>
      <c r="CS57" s="65">
        <f t="shared" si="11"/>
        <v>136</v>
      </c>
      <c r="CT57" s="80">
        <f t="shared" si="22"/>
        <v>6.6106272197998184</v>
      </c>
      <c r="CU57" s="110">
        <f t="shared" si="23"/>
        <v>5.4440459457174972</v>
      </c>
      <c r="CW57" s="65">
        <f t="shared" si="17"/>
        <v>6.6106272197998184</v>
      </c>
      <c r="CX57" s="62"/>
      <c r="CZ57" s="62"/>
      <c r="DA57" s="342">
        <v>701</v>
      </c>
      <c r="DB57" s="342">
        <v>4114</v>
      </c>
    </row>
    <row r="58" spans="1:111" ht="14.25" customHeight="1" thickBot="1">
      <c r="A58" s="432" t="s">
        <v>414</v>
      </c>
      <c r="B58" s="61" t="s">
        <v>44</v>
      </c>
      <c r="C58" s="65">
        <v>7</v>
      </c>
      <c r="D58" s="65" t="e">
        <f t="shared" si="18"/>
        <v>#DIV/0!</v>
      </c>
      <c r="E58" s="65">
        <f>AVERAGE(G58:AA58)/AVERAGE(AX58:BQ58)</f>
        <v>6.1583999999999994</v>
      </c>
      <c r="F58" s="65" t="e">
        <f t="shared" si="20"/>
        <v>#DIV/0!</v>
      </c>
      <c r="G58" s="61">
        <v>641.5</v>
      </c>
      <c r="AW58" s="305">
        <v>214</v>
      </c>
      <c r="AX58" s="187">
        <v>209</v>
      </c>
      <c r="AY58" s="187">
        <v>159</v>
      </c>
      <c r="AZ58" s="187">
        <v>83</v>
      </c>
      <c r="BA58" s="187">
        <v>100</v>
      </c>
      <c r="BB58" s="199">
        <v>78</v>
      </c>
      <c r="BC58" s="278">
        <v>33</v>
      </c>
      <c r="BD58" s="278">
        <v>-25</v>
      </c>
      <c r="BE58" s="182">
        <v>151</v>
      </c>
      <c r="BF58" s="278">
        <v>206</v>
      </c>
      <c r="BG58" s="278">
        <v>100</v>
      </c>
      <c r="BH58" s="278">
        <v>72</v>
      </c>
      <c r="BI58" s="275">
        <v>84</v>
      </c>
      <c r="BK58" s="89"/>
      <c r="BN58" s="91"/>
      <c r="BO58" s="89"/>
      <c r="CM58" s="362">
        <v>3193</v>
      </c>
      <c r="CN58" s="355">
        <v>0.1</v>
      </c>
      <c r="CO58" s="170">
        <f t="shared" si="21"/>
        <v>3.1318509238960229E-3</v>
      </c>
      <c r="CP58" s="62">
        <f t="shared" si="12"/>
        <v>790799.99999999988</v>
      </c>
      <c r="CQ58" s="61">
        <v>0</v>
      </c>
      <c r="CR58" s="79">
        <f t="shared" si="16"/>
        <v>51335.608272506084</v>
      </c>
      <c r="CS58" s="65">
        <f t="shared" si="11"/>
        <v>790.8</v>
      </c>
      <c r="CT58" s="77">
        <f t="shared" si="22"/>
        <v>1.5404512123479219</v>
      </c>
      <c r="CU58" s="110">
        <f t="shared" si="23"/>
        <v>1.6674585707762029</v>
      </c>
      <c r="CW58" s="65">
        <f t="shared" si="17"/>
        <v>1.5404512123479219</v>
      </c>
      <c r="CX58" s="65">
        <f t="shared" ref="CX58:CX66" si="24">SUM(K58:N58)/SUM(G58:J58)*CR58</f>
        <v>0</v>
      </c>
      <c r="CY58" s="65">
        <f>SUM(BB58:BE58)</f>
        <v>237</v>
      </c>
      <c r="CZ58" s="65" t="e">
        <f t="shared" ref="CZ58:CZ65" si="25">CY58/CX58%</f>
        <v>#DIV/0!</v>
      </c>
      <c r="DA58" s="342">
        <v>822</v>
      </c>
      <c r="DB58" s="380">
        <v>65780</v>
      </c>
      <c r="DD58" s="81">
        <f>CR58/CS58</f>
        <v>64.916044856482159</v>
      </c>
    </row>
    <row r="59" spans="1:111" ht="14.25" customHeight="1" thickBot="1">
      <c r="A59" s="392" t="s">
        <v>416</v>
      </c>
      <c r="B59" s="76" t="s">
        <v>44</v>
      </c>
      <c r="C59" s="65">
        <v>1</v>
      </c>
      <c r="D59" s="65" t="e">
        <f t="shared" si="18"/>
        <v>#DIV/0!</v>
      </c>
      <c r="E59" s="65">
        <f>AVERAGE(G59:AA59)/AVERAGE(AX59:BQ59)</f>
        <v>7.3534773931066236E-2</v>
      </c>
      <c r="F59" s="65" t="e">
        <f t="shared" si="20"/>
        <v>#DIV/0!</v>
      </c>
      <c r="G59" s="76">
        <v>255.45</v>
      </c>
      <c r="H59" s="65"/>
      <c r="I59" s="65"/>
      <c r="J59" s="65"/>
      <c r="K59" s="65"/>
      <c r="L59" s="65"/>
      <c r="M59" s="65"/>
      <c r="N59" s="65"/>
      <c r="O59" s="65"/>
      <c r="P59" s="65"/>
      <c r="Q59" s="65"/>
      <c r="R59" s="65"/>
      <c r="S59" s="65"/>
      <c r="T59" s="65"/>
      <c r="U59" s="65"/>
      <c r="V59" s="65"/>
      <c r="W59" s="65"/>
      <c r="X59" s="65"/>
      <c r="Y59" s="65"/>
      <c r="Z59" s="65"/>
      <c r="AA59" s="65"/>
      <c r="AB59" s="93"/>
      <c r="AC59" s="106"/>
      <c r="AD59" s="117"/>
      <c r="AE59" s="107"/>
      <c r="AF59" s="107"/>
      <c r="AG59" s="107"/>
      <c r="AH59" s="107"/>
      <c r="AI59" s="107"/>
      <c r="AJ59" s="107"/>
      <c r="AK59" s="107"/>
      <c r="AL59" s="107"/>
      <c r="AM59" s="107"/>
      <c r="AN59" s="109"/>
      <c r="AO59" s="107"/>
      <c r="AP59" s="107"/>
      <c r="AQ59" s="107"/>
      <c r="AR59" s="107"/>
      <c r="AS59" s="107"/>
      <c r="AT59" s="107"/>
      <c r="AU59" s="107"/>
      <c r="AV59" s="107"/>
      <c r="AW59" s="311">
        <v>4196</v>
      </c>
      <c r="AX59" s="145">
        <v>4057</v>
      </c>
      <c r="AY59" s="145">
        <v>3714</v>
      </c>
      <c r="AZ59" s="145">
        <v>3276</v>
      </c>
      <c r="BA59" s="198">
        <v>3755</v>
      </c>
      <c r="BB59" s="415">
        <v>3527</v>
      </c>
      <c r="BC59" s="198">
        <v>3368</v>
      </c>
      <c r="BD59" s="198">
        <v>2511</v>
      </c>
      <c r="BE59" s="197">
        <v>3857</v>
      </c>
      <c r="BF59" s="198">
        <v>3976</v>
      </c>
      <c r="BG59" s="198">
        <v>4119</v>
      </c>
      <c r="BH59" s="198">
        <v>3355</v>
      </c>
      <c r="BI59" s="198">
        <v>3535</v>
      </c>
      <c r="BJ59" s="197">
        <v>3079</v>
      </c>
      <c r="BK59" s="108">
        <v>3004</v>
      </c>
      <c r="BL59" s="107">
        <v>2975</v>
      </c>
      <c r="BM59" s="108"/>
      <c r="BN59" s="108"/>
      <c r="BO59" s="92"/>
      <c r="BP59" s="108"/>
      <c r="BQ59" s="108"/>
      <c r="BR59" s="101"/>
      <c r="BS59" s="101"/>
      <c r="BT59" s="118"/>
      <c r="BU59" s="118"/>
      <c r="BV59" s="118"/>
      <c r="BW59" s="118"/>
      <c r="BX59" s="101"/>
      <c r="BY59" s="101"/>
      <c r="BZ59" s="101"/>
      <c r="CA59" s="101"/>
      <c r="CB59" s="101"/>
      <c r="CC59" s="101"/>
      <c r="CD59" s="101"/>
      <c r="CE59" s="101"/>
      <c r="CF59" s="101"/>
      <c r="CG59" s="101"/>
      <c r="CH59" s="101"/>
      <c r="CI59" s="101"/>
      <c r="CJ59" s="101"/>
      <c r="CK59" s="101"/>
      <c r="CL59" s="101"/>
      <c r="CM59" s="368">
        <v>77260</v>
      </c>
      <c r="CN59" s="353">
        <v>249</v>
      </c>
      <c r="CO59" s="63">
        <f t="shared" si="21"/>
        <v>0.32228837690913797</v>
      </c>
      <c r="CP59" s="62">
        <f t="shared" si="12"/>
        <v>6483.5341365461845</v>
      </c>
      <c r="CQ59" s="76">
        <v>0</v>
      </c>
      <c r="CR59" s="149">
        <v>243886.44</v>
      </c>
      <c r="CS59" s="65">
        <f t="shared" si="11"/>
        <v>16144</v>
      </c>
      <c r="CT59" s="110">
        <f t="shared" si="22"/>
        <v>6.6194742110303473</v>
      </c>
      <c r="CU59" s="110">
        <f t="shared" si="23"/>
        <v>6.8818914245498846</v>
      </c>
      <c r="CV59" s="65">
        <v>5</v>
      </c>
      <c r="CW59" s="65">
        <f t="shared" si="17"/>
        <v>11.619474211030347</v>
      </c>
      <c r="CX59" s="65">
        <f t="shared" si="24"/>
        <v>0</v>
      </c>
      <c r="CY59" s="62">
        <f>SUM(BB59:BE59)</f>
        <v>13263</v>
      </c>
      <c r="CZ59" s="65" t="e">
        <f t="shared" si="25"/>
        <v>#DIV/0!</v>
      </c>
      <c r="DA59" s="365">
        <v>117.15</v>
      </c>
      <c r="DB59" s="380">
        <v>110286.87</v>
      </c>
      <c r="DC59" s="61" t="s">
        <v>401</v>
      </c>
      <c r="DD59" s="81">
        <f>CR59/CS59</f>
        <v>15.106940039643211</v>
      </c>
      <c r="DE59" s="65">
        <v>704.92431284026031</v>
      </c>
    </row>
    <row r="60" spans="1:111" s="132" customFormat="1" ht="14.25" customHeight="1" thickBot="1">
      <c r="A60" s="392" t="s">
        <v>20</v>
      </c>
      <c r="B60" s="76" t="s">
        <v>268</v>
      </c>
      <c r="C60" s="65">
        <v>1</v>
      </c>
      <c r="D60" s="65">
        <f t="shared" si="18"/>
        <v>1.7787210269387845</v>
      </c>
      <c r="E60" s="65">
        <f>AVERAGE(G60:AA60)/AVERAGE(AX60:BQ60)</f>
        <v>24.51628383831774</v>
      </c>
      <c r="F60" s="65">
        <f t="shared" si="20"/>
        <v>1.4327144323128804</v>
      </c>
      <c r="G60" s="76">
        <v>169</v>
      </c>
      <c r="H60" s="65">
        <v>49.85</v>
      </c>
      <c r="I60" s="65">
        <v>49.85</v>
      </c>
      <c r="J60" s="65">
        <v>55.7</v>
      </c>
      <c r="K60" s="65">
        <v>52.85</v>
      </c>
      <c r="L60" s="65">
        <v>56.9</v>
      </c>
      <c r="M60" s="65">
        <v>60.2</v>
      </c>
      <c r="N60" s="65">
        <v>67.3</v>
      </c>
      <c r="O60" s="65">
        <v>70.8</v>
      </c>
      <c r="P60" s="65">
        <v>58.2</v>
      </c>
      <c r="Q60" s="65">
        <v>63.8</v>
      </c>
      <c r="R60" s="65">
        <v>71.75</v>
      </c>
      <c r="S60" s="65">
        <v>47.7</v>
      </c>
      <c r="T60" s="65">
        <v>43.4</v>
      </c>
      <c r="U60" s="65">
        <v>39.049999999999997</v>
      </c>
      <c r="V60" s="65">
        <v>38.549999999999997</v>
      </c>
      <c r="W60" s="65">
        <v>43.7</v>
      </c>
      <c r="X60" s="65">
        <v>26.45</v>
      </c>
      <c r="Y60" s="65">
        <v>19.399999999999999</v>
      </c>
      <c r="Z60" s="65">
        <v>22</v>
      </c>
      <c r="AA60" s="65">
        <v>17.45</v>
      </c>
      <c r="AB60" s="84">
        <v>32.450000000000003</v>
      </c>
      <c r="AC60" s="84">
        <v>30.09</v>
      </c>
      <c r="AD60" s="84">
        <v>34.43</v>
      </c>
      <c r="AE60" s="84">
        <v>34.57</v>
      </c>
      <c r="AF60" s="84">
        <v>38.96</v>
      </c>
      <c r="AG60" s="84">
        <v>39.57</v>
      </c>
      <c r="AH60" s="84">
        <v>39.97</v>
      </c>
      <c r="AI60" s="84">
        <v>38.01</v>
      </c>
      <c r="AJ60" s="84">
        <v>31.46</v>
      </c>
      <c r="AK60" s="86">
        <v>30.08</v>
      </c>
      <c r="AL60" s="98">
        <v>30.76</v>
      </c>
      <c r="AM60" s="86">
        <v>28.24</v>
      </c>
      <c r="AN60" s="84">
        <v>25.77</v>
      </c>
      <c r="AO60" s="84">
        <v>25.6</v>
      </c>
      <c r="AP60" s="84">
        <v>24.73</v>
      </c>
      <c r="AQ60" s="84">
        <v>26.62</v>
      </c>
      <c r="AR60" s="84">
        <v>23.27</v>
      </c>
      <c r="AS60" s="84">
        <v>23.24</v>
      </c>
      <c r="AT60" s="84">
        <v>24.94</v>
      </c>
      <c r="AU60" s="84">
        <v>27.36</v>
      </c>
      <c r="AV60" s="84">
        <v>24.1</v>
      </c>
      <c r="AW60" s="328">
        <v>6.42</v>
      </c>
      <c r="AX60" s="281">
        <v>6.64</v>
      </c>
      <c r="AY60" s="328">
        <v>4.07</v>
      </c>
      <c r="AZ60" s="281">
        <v>3.1</v>
      </c>
      <c r="BA60" s="281">
        <v>4.93</v>
      </c>
      <c r="BB60" s="281">
        <v>3.94</v>
      </c>
      <c r="BC60" s="281">
        <v>1.84</v>
      </c>
      <c r="BD60" s="281">
        <v>0.64</v>
      </c>
      <c r="BE60" s="281">
        <v>1.5</v>
      </c>
      <c r="BF60" s="281">
        <v>1.8</v>
      </c>
      <c r="BG60" s="418">
        <v>-0.61</v>
      </c>
      <c r="BH60" s="103">
        <v>1.85</v>
      </c>
      <c r="BI60" s="86">
        <v>2.3199999999999998</v>
      </c>
      <c r="BJ60" s="86">
        <v>2.37</v>
      </c>
      <c r="BK60" s="92">
        <v>1.57</v>
      </c>
      <c r="BL60" s="86">
        <v>1.59</v>
      </c>
      <c r="BM60" s="86">
        <v>1.98</v>
      </c>
      <c r="BN60" s="86">
        <v>1.44</v>
      </c>
      <c r="BO60" s="86">
        <v>0.82</v>
      </c>
      <c r="BP60" s="86">
        <v>1.1499999999999999</v>
      </c>
      <c r="BQ60" s="86">
        <v>0.72</v>
      </c>
      <c r="BR60" s="83">
        <v>53.36</v>
      </c>
      <c r="BS60" s="87">
        <v>53.36</v>
      </c>
      <c r="BT60" s="100">
        <v>45.51</v>
      </c>
      <c r="BU60" s="100">
        <v>45.51</v>
      </c>
      <c r="BV60" s="100">
        <v>45.51</v>
      </c>
      <c r="BW60" s="100">
        <v>45.51</v>
      </c>
      <c r="BX60" s="87">
        <v>40.14</v>
      </c>
      <c r="BY60" s="87">
        <v>40.14</v>
      </c>
      <c r="BZ60" s="87">
        <v>40.14</v>
      </c>
      <c r="CA60" s="87">
        <v>40.14</v>
      </c>
      <c r="CB60" s="285">
        <v>35.380000000000003</v>
      </c>
      <c r="CC60" s="285">
        <v>35.380000000000003</v>
      </c>
      <c r="CD60" s="285">
        <v>35.380000000000003</v>
      </c>
      <c r="CE60" s="285">
        <v>35.380000000000003</v>
      </c>
      <c r="CF60" s="87">
        <v>31.27</v>
      </c>
      <c r="CG60" s="87">
        <v>31.27</v>
      </c>
      <c r="CH60" s="87">
        <v>31.27</v>
      </c>
      <c r="CI60" s="87">
        <v>31.27</v>
      </c>
      <c r="CJ60" s="87">
        <v>28.18</v>
      </c>
      <c r="CK60" s="87">
        <v>28.18</v>
      </c>
      <c r="CL60" s="87">
        <v>28.18</v>
      </c>
      <c r="CM60" s="355">
        <v>134</v>
      </c>
      <c r="CN60" s="345">
        <v>5</v>
      </c>
      <c r="CO60" s="170">
        <f t="shared" si="21"/>
        <v>3.7313432835820892</v>
      </c>
      <c r="CP60" s="62">
        <f t="shared" si="12"/>
        <v>477.4</v>
      </c>
      <c r="CQ60" s="114">
        <v>0</v>
      </c>
      <c r="CR60" s="79">
        <f t="shared" ref="CR60:CR99" si="26">( G60/DA60) * DB60</f>
        <v>191.47012622720899</v>
      </c>
      <c r="CS60" s="65">
        <f t="shared" si="11"/>
        <v>23.87</v>
      </c>
      <c r="CT60" s="80">
        <f t="shared" si="22"/>
        <v>12.466696748125889</v>
      </c>
      <c r="CU60" s="110">
        <f t="shared" si="23"/>
        <v>13.412013929278292</v>
      </c>
      <c r="CV60" s="87">
        <v>0</v>
      </c>
      <c r="CW60" s="65">
        <f t="shared" si="17"/>
        <v>12.466696748125889</v>
      </c>
      <c r="CX60" s="65">
        <f t="shared" si="24"/>
        <v>140.03171222997946</v>
      </c>
      <c r="CY60" s="65">
        <f>SUM(BB60:BE60)</f>
        <v>7.92</v>
      </c>
      <c r="CZ60" s="65">
        <f t="shared" si="25"/>
        <v>5.6558617143755834</v>
      </c>
      <c r="DA60" s="342">
        <v>35.65</v>
      </c>
      <c r="DB60" s="370">
        <v>40.39</v>
      </c>
      <c r="DC60" s="61" t="s">
        <v>401</v>
      </c>
      <c r="DD60" s="81">
        <f>CR60/CS60</f>
        <v>8.0213710191541256</v>
      </c>
      <c r="DE60" s="65"/>
      <c r="DF60" s="61" t="s">
        <v>224</v>
      </c>
      <c r="DG60" s="61" t="s">
        <v>224</v>
      </c>
    </row>
    <row r="61" spans="1:111" s="132" customFormat="1" ht="14.25" customHeight="1">
      <c r="A61" s="393" t="s">
        <v>651</v>
      </c>
      <c r="B61" s="76" t="s">
        <v>268</v>
      </c>
      <c r="C61" s="65">
        <v>1</v>
      </c>
      <c r="D61" s="65" t="e">
        <f t="shared" si="18"/>
        <v>#DIV/0!</v>
      </c>
      <c r="E61" s="65">
        <f>AVERAGE(G61:AA61)/AVERAGE(AZ61:BQ61)</f>
        <v>11.044192724952136</v>
      </c>
      <c r="F61" s="65" t="e">
        <f t="shared" si="20"/>
        <v>#DIV/0!</v>
      </c>
      <c r="G61" s="61">
        <v>585.75</v>
      </c>
      <c r="H61" s="61"/>
      <c r="I61" s="61"/>
      <c r="J61" s="61"/>
      <c r="K61" s="61"/>
      <c r="L61" s="61"/>
      <c r="M61" s="61"/>
      <c r="N61" s="61"/>
      <c r="O61" s="61"/>
      <c r="P61" s="61"/>
      <c r="Q61" s="61"/>
      <c r="R61" s="61"/>
      <c r="S61" s="61"/>
      <c r="T61" s="61"/>
      <c r="U61" s="61"/>
      <c r="V61" s="61"/>
      <c r="W61" s="61"/>
      <c r="X61" s="61"/>
      <c r="Y61" s="61"/>
      <c r="Z61" s="61"/>
      <c r="AA61" s="61"/>
      <c r="AB61" s="61"/>
      <c r="AC61" s="61"/>
      <c r="AD61" s="61"/>
      <c r="AE61" s="61"/>
      <c r="AF61" s="61"/>
      <c r="AG61" s="61"/>
      <c r="AH61" s="61"/>
      <c r="AI61" s="61"/>
      <c r="AJ61" s="61"/>
      <c r="AK61" s="61"/>
      <c r="AL61" s="61"/>
      <c r="AM61" s="61"/>
      <c r="AN61" s="61"/>
      <c r="AO61" s="61"/>
      <c r="AP61" s="61"/>
      <c r="AQ61" s="61"/>
      <c r="AR61" s="61"/>
      <c r="AS61" s="61"/>
      <c r="AT61" s="61"/>
      <c r="AU61" s="61"/>
      <c r="AV61" s="61"/>
      <c r="AW61" s="315">
        <v>22</v>
      </c>
      <c r="AX61" s="61">
        <v>19</v>
      </c>
      <c r="AY61" s="61">
        <v>33</v>
      </c>
      <c r="AZ61" s="61">
        <v>-3.52</v>
      </c>
      <c r="BA61" s="61">
        <v>34</v>
      </c>
      <c r="BB61" s="61">
        <v>50</v>
      </c>
      <c r="BC61" s="89">
        <v>47</v>
      </c>
      <c r="BD61" s="61">
        <v>83</v>
      </c>
      <c r="BE61" s="89">
        <v>76</v>
      </c>
      <c r="BF61" s="61">
        <v>62</v>
      </c>
      <c r="BG61" s="61">
        <v>77</v>
      </c>
      <c r="BH61" s="61">
        <v>57</v>
      </c>
      <c r="BI61" s="61">
        <v>63</v>
      </c>
      <c r="BJ61" s="61">
        <v>57</v>
      </c>
      <c r="BK61" s="61">
        <v>48</v>
      </c>
      <c r="BL61" s="61">
        <v>39</v>
      </c>
      <c r="BM61" s="61"/>
      <c r="BN61" s="61"/>
      <c r="BO61" s="61"/>
      <c r="BP61" s="61"/>
      <c r="BQ61" s="61"/>
      <c r="BR61" s="61"/>
      <c r="BS61" s="61"/>
      <c r="BT61" s="61"/>
      <c r="BU61" s="61"/>
      <c r="BV61" s="61"/>
      <c r="BW61" s="61"/>
      <c r="BX61" s="61"/>
      <c r="BY61" s="61"/>
      <c r="BZ61" s="61"/>
      <c r="CA61" s="61"/>
      <c r="CB61" s="61"/>
      <c r="CC61" s="61"/>
      <c r="CD61" s="61"/>
      <c r="CE61" s="61"/>
      <c r="CF61" s="61"/>
      <c r="CG61" s="61"/>
      <c r="CH61" s="61"/>
      <c r="CI61" s="61"/>
      <c r="CJ61" s="61"/>
      <c r="CK61" s="61"/>
      <c r="CL61" s="61"/>
      <c r="CM61" s="342">
        <v>4033</v>
      </c>
      <c r="CN61" s="342">
        <v>55</v>
      </c>
      <c r="CO61" s="170">
        <f t="shared" si="21"/>
        <v>1.3637490701710886</v>
      </c>
      <c r="CP61" s="62">
        <f t="shared" si="12"/>
        <v>156.17454545454544</v>
      </c>
      <c r="CQ61" s="64"/>
      <c r="CR61" s="79">
        <f t="shared" si="26"/>
        <v>3647.9137744034711</v>
      </c>
      <c r="CS61" s="65">
        <f t="shared" ref="CS61:CS81" si="27">((0.5*AW61)+(0.3*AX61)+(0.15*AY61)+(0.05*AZ61))*4</f>
        <v>85.896000000000001</v>
      </c>
      <c r="CT61" s="110">
        <f t="shared" si="22"/>
        <v>2.3546609188712591</v>
      </c>
      <c r="CU61" s="110">
        <f t="shared" si="23"/>
        <v>2.4123377207398575</v>
      </c>
      <c r="CV61" s="61"/>
      <c r="CW61" s="62">
        <f t="shared" si="17"/>
        <v>2.3546609188712591</v>
      </c>
      <c r="CX61" s="65">
        <f t="shared" si="24"/>
        <v>0</v>
      </c>
      <c r="CY61" s="65">
        <f>SUM(BC61:BF61)</f>
        <v>268</v>
      </c>
      <c r="CZ61" s="65" t="e">
        <f t="shared" si="25"/>
        <v>#DIV/0!</v>
      </c>
      <c r="DA61" s="342">
        <v>922</v>
      </c>
      <c r="DB61" s="342">
        <v>5742</v>
      </c>
      <c r="DC61" s="61"/>
      <c r="DD61" s="81"/>
      <c r="DE61" s="61"/>
      <c r="DF61" s="61"/>
      <c r="DG61" s="61"/>
    </row>
    <row r="62" spans="1:111" s="132" customFormat="1" ht="14.25" customHeight="1" thickBot="1">
      <c r="A62" s="392" t="s">
        <v>68</v>
      </c>
      <c r="B62" s="76" t="s">
        <v>165</v>
      </c>
      <c r="C62" s="65">
        <v>1</v>
      </c>
      <c r="D62" s="65">
        <f t="shared" si="18"/>
        <v>0.72372785580109633</v>
      </c>
      <c r="E62" s="65">
        <f>AVERAGE(G62:AA62)/AVERAGE(AX62:BQ62)</f>
        <v>6.0679964262106951</v>
      </c>
      <c r="F62" s="65">
        <f t="shared" si="20"/>
        <v>0.38834845391640943</v>
      </c>
      <c r="G62" s="76">
        <v>351.55</v>
      </c>
      <c r="H62" s="65">
        <v>100</v>
      </c>
      <c r="I62" s="65">
        <v>214.7</v>
      </c>
      <c r="J62" s="65">
        <v>224.95</v>
      </c>
      <c r="K62" s="65">
        <v>230.8</v>
      </c>
      <c r="L62" s="65">
        <v>253.4</v>
      </c>
      <c r="M62" s="65">
        <v>297.5</v>
      </c>
      <c r="N62" s="65">
        <v>400.35</v>
      </c>
      <c r="O62" s="65">
        <v>389.1</v>
      </c>
      <c r="P62" s="65">
        <v>420.05</v>
      </c>
      <c r="Q62" s="65">
        <v>361.35</v>
      </c>
      <c r="R62" s="65">
        <v>276.5</v>
      </c>
      <c r="S62" s="65">
        <v>310.3</v>
      </c>
      <c r="T62" s="65">
        <v>189.15</v>
      </c>
      <c r="U62" s="65">
        <v>168.15</v>
      </c>
      <c r="V62" s="65">
        <v>167</v>
      </c>
      <c r="W62" s="65">
        <v>127.8</v>
      </c>
      <c r="X62" s="65">
        <v>107.6</v>
      </c>
      <c r="Y62" s="65">
        <v>134.5</v>
      </c>
      <c r="Z62" s="65">
        <v>157.30000000000001</v>
      </c>
      <c r="AA62" s="65">
        <v>130.19999999999999</v>
      </c>
      <c r="AB62" s="84">
        <v>280.52999999999997</v>
      </c>
      <c r="AC62" s="84">
        <v>303.20999999999998</v>
      </c>
      <c r="AD62" s="84">
        <v>343.45</v>
      </c>
      <c r="AE62" s="84">
        <v>321.98</v>
      </c>
      <c r="AF62" s="84">
        <v>374.04</v>
      </c>
      <c r="AG62" s="84">
        <v>386.01</v>
      </c>
      <c r="AH62" s="84">
        <v>324.56</v>
      </c>
      <c r="AI62" s="84">
        <v>356.32</v>
      </c>
      <c r="AJ62" s="84">
        <v>337.13</v>
      </c>
      <c r="AK62" s="84">
        <v>315.42</v>
      </c>
      <c r="AL62" s="84">
        <v>335.7</v>
      </c>
      <c r="AM62" s="84">
        <v>355.57</v>
      </c>
      <c r="AN62" s="84">
        <v>391.03</v>
      </c>
      <c r="AO62" s="84">
        <v>329.83</v>
      </c>
      <c r="AP62" s="84">
        <v>344.43</v>
      </c>
      <c r="AQ62" s="84">
        <v>301.49</v>
      </c>
      <c r="AR62" s="84">
        <v>258.37</v>
      </c>
      <c r="AS62" s="84">
        <v>318</v>
      </c>
      <c r="AT62" s="84">
        <v>301.33999999999997</v>
      </c>
      <c r="AU62" s="84">
        <v>302.08999999999997</v>
      </c>
      <c r="AV62" s="84">
        <v>295.83999999999997</v>
      </c>
      <c r="AW62" s="404">
        <v>68</v>
      </c>
      <c r="AX62" s="143">
        <v>43</v>
      </c>
      <c r="AY62" s="143">
        <v>62</v>
      </c>
      <c r="AZ62" s="143">
        <v>70</v>
      </c>
      <c r="BA62" s="143">
        <v>76</v>
      </c>
      <c r="BB62" s="143">
        <v>60.4</v>
      </c>
      <c r="BC62" s="281">
        <v>45.17</v>
      </c>
      <c r="BD62" s="281">
        <v>8.77</v>
      </c>
      <c r="BE62" s="284">
        <v>23</v>
      </c>
      <c r="BF62" s="86">
        <v>32.369999999999997</v>
      </c>
      <c r="BG62" s="86">
        <v>45.16</v>
      </c>
      <c r="BH62" s="92">
        <v>36.61</v>
      </c>
      <c r="BI62" s="86">
        <v>40.86</v>
      </c>
      <c r="BJ62" s="86">
        <v>34.61</v>
      </c>
      <c r="BK62" s="86">
        <v>28.55</v>
      </c>
      <c r="BL62" s="86">
        <v>28.04</v>
      </c>
      <c r="BM62" s="86">
        <v>29.98</v>
      </c>
      <c r="BN62" s="86">
        <v>30.8</v>
      </c>
      <c r="BO62" s="86">
        <v>26.67</v>
      </c>
      <c r="BP62" s="86">
        <v>27.44</v>
      </c>
      <c r="BQ62" s="86">
        <v>37.25</v>
      </c>
      <c r="BR62" s="87">
        <v>890.56</v>
      </c>
      <c r="BS62" s="87">
        <v>890.56</v>
      </c>
      <c r="BT62" s="87">
        <v>784.73</v>
      </c>
      <c r="BU62" s="87">
        <v>784.73</v>
      </c>
      <c r="BV62" s="87">
        <v>784.73</v>
      </c>
      <c r="BW62" s="87">
        <v>784.73</v>
      </c>
      <c r="BX62" s="87">
        <v>701.77</v>
      </c>
      <c r="BY62" s="87">
        <v>701.77</v>
      </c>
      <c r="BZ62" s="87">
        <v>701.77</v>
      </c>
      <c r="CA62" s="87">
        <v>701.77</v>
      </c>
      <c r="CB62" s="87">
        <v>589.52</v>
      </c>
      <c r="CC62" s="87">
        <v>589.52</v>
      </c>
      <c r="CD62" s="87">
        <v>589.52</v>
      </c>
      <c r="CE62" s="87">
        <v>589.52</v>
      </c>
      <c r="CF62" s="87">
        <v>475.94</v>
      </c>
      <c r="CG62" s="87">
        <v>475.94</v>
      </c>
      <c r="CH62" s="87">
        <v>475.94</v>
      </c>
      <c r="CI62" s="87">
        <v>475.94</v>
      </c>
      <c r="CJ62" s="87">
        <v>397.86</v>
      </c>
      <c r="CK62" s="87">
        <v>397.86</v>
      </c>
      <c r="CL62" s="87">
        <v>397.86</v>
      </c>
      <c r="CM62" s="363">
        <v>2258</v>
      </c>
      <c r="CN62" s="369">
        <v>340</v>
      </c>
      <c r="CO62" s="170">
        <f t="shared" si="21"/>
        <v>15.057573073516387</v>
      </c>
      <c r="CP62" s="63">
        <f t="shared" si="12"/>
        <v>70.235294117647058</v>
      </c>
      <c r="CQ62" s="76">
        <v>0</v>
      </c>
      <c r="CR62" s="79">
        <f t="shared" si="26"/>
        <v>1534.6253116531166</v>
      </c>
      <c r="CS62" s="65">
        <f t="shared" si="27"/>
        <v>238.79999999999998</v>
      </c>
      <c r="CT62" s="80">
        <f t="shared" si="22"/>
        <v>15.560801596759914</v>
      </c>
      <c r="CU62" s="110">
        <f t="shared" si="23"/>
        <v>17.724196123612636</v>
      </c>
      <c r="CV62" s="87">
        <v>2.7</v>
      </c>
      <c r="CW62" s="65">
        <f t="shared" si="17"/>
        <v>18.260801596759915</v>
      </c>
      <c r="CX62" s="65">
        <f t="shared" si="24"/>
        <v>2035.4621293083108</v>
      </c>
      <c r="CY62" s="65">
        <f>SUM(BB62:BE62)</f>
        <v>137.33999999999997</v>
      </c>
      <c r="CZ62" s="65">
        <f t="shared" si="25"/>
        <v>6.7473620865975414</v>
      </c>
      <c r="DA62" s="342">
        <v>221.4</v>
      </c>
      <c r="DB62" s="342">
        <v>966.48</v>
      </c>
      <c r="DC62" s="61" t="s">
        <v>401</v>
      </c>
      <c r="DD62" s="81">
        <f>CR62/CS62</f>
        <v>6.4264041526512425</v>
      </c>
      <c r="DE62" s="65">
        <v>704.92431284026031</v>
      </c>
      <c r="DF62" s="61"/>
      <c r="DG62" s="61"/>
    </row>
    <row r="63" spans="1:111" s="132" customFormat="1" ht="14.25" customHeight="1">
      <c r="A63" s="392" t="s">
        <v>21</v>
      </c>
      <c r="B63" s="65" t="s">
        <v>268</v>
      </c>
      <c r="C63" s="65">
        <v>1</v>
      </c>
      <c r="D63" s="65">
        <f t="shared" si="18"/>
        <v>0.11103368424156622</v>
      </c>
      <c r="E63" s="65">
        <f>AVERAGE(G63:AA63)/AVERAGE(AX63:BQ63)</f>
        <v>1.0264893457719053</v>
      </c>
      <c r="F63" s="65" t="e">
        <f t="shared" si="20"/>
        <v>#DIV/0!</v>
      </c>
      <c r="G63" s="61">
        <v>138.1</v>
      </c>
      <c r="H63" s="119">
        <v>40</v>
      </c>
      <c r="I63" s="119">
        <v>78.05</v>
      </c>
      <c r="J63" s="119">
        <v>84.1</v>
      </c>
      <c r="K63" s="119">
        <v>126.8</v>
      </c>
      <c r="L63" s="119">
        <v>120</v>
      </c>
      <c r="M63" s="119">
        <v>103.6</v>
      </c>
      <c r="N63" s="119">
        <v>115.95</v>
      </c>
      <c r="O63" s="119">
        <v>122.35</v>
      </c>
      <c r="P63" s="119">
        <v>147.5</v>
      </c>
      <c r="Q63" s="119">
        <v>162.5</v>
      </c>
      <c r="R63" s="119">
        <v>153.9</v>
      </c>
      <c r="S63" s="119">
        <v>163.75</v>
      </c>
      <c r="T63" s="119">
        <v>114.05</v>
      </c>
      <c r="U63" s="119">
        <v>122.3</v>
      </c>
      <c r="V63" s="119">
        <v>119.41</v>
      </c>
      <c r="W63" s="119">
        <v>91.11</v>
      </c>
      <c r="X63" s="119">
        <v>80.39</v>
      </c>
      <c r="Y63" s="119">
        <v>104.83</v>
      </c>
      <c r="Z63" s="119">
        <v>114.77</v>
      </c>
      <c r="AA63" s="119">
        <v>102.63</v>
      </c>
      <c r="AB63" s="93">
        <v>1271.28</v>
      </c>
      <c r="AC63" s="93">
        <v>1294.69</v>
      </c>
      <c r="AD63" s="93">
        <v>1273.31</v>
      </c>
      <c r="AE63" s="93">
        <v>1224.9100000000001</v>
      </c>
      <c r="AF63" s="93">
        <v>1214.97</v>
      </c>
      <c r="AG63" s="93">
        <v>1152.3599999999999</v>
      </c>
      <c r="AH63" s="93">
        <v>1105.79</v>
      </c>
      <c r="AI63" s="93">
        <v>1080.08</v>
      </c>
      <c r="AJ63" s="93">
        <v>1042.52</v>
      </c>
      <c r="AK63" s="115">
        <v>1009.5</v>
      </c>
      <c r="AL63" s="99">
        <v>949.83</v>
      </c>
      <c r="AM63" s="99">
        <v>903.52</v>
      </c>
      <c r="AN63" s="99">
        <v>983.58</v>
      </c>
      <c r="AO63" s="99">
        <v>979.09</v>
      </c>
      <c r="AP63" s="99">
        <v>927.37</v>
      </c>
      <c r="AQ63" s="99">
        <v>951.67</v>
      </c>
      <c r="AR63" s="99">
        <v>901.8</v>
      </c>
      <c r="AS63" s="99">
        <v>919.48</v>
      </c>
      <c r="AT63" s="99">
        <v>927.53</v>
      </c>
      <c r="AU63" s="99">
        <v>902.55</v>
      </c>
      <c r="AV63" s="78">
        <v>893.46</v>
      </c>
      <c r="AW63" s="314">
        <v>130</v>
      </c>
      <c r="AX63" s="144">
        <v>147</v>
      </c>
      <c r="AY63" s="144">
        <v>125</v>
      </c>
      <c r="AZ63" s="144">
        <v>106</v>
      </c>
      <c r="BA63" s="144">
        <v>31</v>
      </c>
      <c r="BB63" s="144">
        <v>135</v>
      </c>
      <c r="BC63" s="144">
        <v>119</v>
      </c>
      <c r="BD63" s="78">
        <v>196.38</v>
      </c>
      <c r="BE63" s="78">
        <v>27.31</v>
      </c>
      <c r="BF63" s="78">
        <v>123.14</v>
      </c>
      <c r="BG63" s="78">
        <v>105.91</v>
      </c>
      <c r="BH63" s="78">
        <v>175.42</v>
      </c>
      <c r="BI63" s="78">
        <v>61.73</v>
      </c>
      <c r="BJ63" s="78">
        <v>140.41</v>
      </c>
      <c r="BK63" s="78">
        <v>111.86</v>
      </c>
      <c r="BL63" s="78">
        <v>163.24</v>
      </c>
      <c r="BM63" s="78">
        <v>11</v>
      </c>
      <c r="BN63" s="78">
        <v>87.38</v>
      </c>
      <c r="BO63" s="78">
        <v>93.38</v>
      </c>
      <c r="BP63" s="78">
        <v>133.85</v>
      </c>
      <c r="BQ63" s="78">
        <v>138.37</v>
      </c>
      <c r="BR63" s="61"/>
      <c r="BS63" s="61"/>
      <c r="BT63" s="61"/>
      <c r="BU63" s="61"/>
      <c r="BV63" s="61"/>
      <c r="BW63" s="61"/>
      <c r="BX63" s="61"/>
      <c r="BY63" s="61"/>
      <c r="BZ63" s="61"/>
      <c r="CA63" s="61"/>
      <c r="CB63" s="61"/>
      <c r="CC63" s="61"/>
      <c r="CD63" s="61"/>
      <c r="CE63" s="61"/>
      <c r="CF63" s="61"/>
      <c r="CG63" s="61"/>
      <c r="CH63" s="61"/>
      <c r="CI63" s="61"/>
      <c r="CJ63" s="61"/>
      <c r="CK63" s="61"/>
      <c r="CL63" s="61"/>
      <c r="CM63" s="370">
        <v>79045.759999999995</v>
      </c>
      <c r="CN63" s="370">
        <v>71777.63</v>
      </c>
      <c r="CO63" s="170">
        <f t="shared" si="21"/>
        <v>90.805161465966052</v>
      </c>
      <c r="CP63" s="62">
        <f t="shared" si="12"/>
        <v>0.7420139115766291</v>
      </c>
      <c r="CQ63" s="61"/>
      <c r="CR63" s="79">
        <f t="shared" si="26"/>
        <v>3902.8188479571331</v>
      </c>
      <c r="CS63" s="65">
        <f t="shared" si="27"/>
        <v>532.6</v>
      </c>
      <c r="CT63" s="77">
        <f t="shared" si="22"/>
        <v>13.646546784480678</v>
      </c>
      <c r="CU63" s="110">
        <f t="shared" si="23"/>
        <v>13.32370320677798</v>
      </c>
      <c r="CV63" s="61">
        <v>4.6900000000000004</v>
      </c>
      <c r="CW63" s="65">
        <f t="shared" si="17"/>
        <v>18.336546784480678</v>
      </c>
      <c r="CX63" s="65">
        <f t="shared" si="24"/>
        <v>5349.2419390001733</v>
      </c>
      <c r="CY63" s="65">
        <f>SUM(BB63:BE63)</f>
        <v>477.69</v>
      </c>
      <c r="CZ63" s="65">
        <f t="shared" si="25"/>
        <v>8.9300503781155385</v>
      </c>
      <c r="DA63" s="342">
        <v>74.650000000000006</v>
      </c>
      <c r="DB63" s="370">
        <v>2109.67</v>
      </c>
      <c r="DC63" s="61"/>
      <c r="DD63" s="81">
        <f>CR63/CS63</f>
        <v>7.3278611489994985</v>
      </c>
      <c r="DE63" s="65">
        <v>0.13</v>
      </c>
      <c r="DF63" s="61" t="s">
        <v>438</v>
      </c>
      <c r="DG63" s="61" t="s">
        <v>438</v>
      </c>
    </row>
    <row r="64" spans="1:111" s="132" customFormat="1" ht="14.25" customHeight="1">
      <c r="A64" s="421" t="s">
        <v>23</v>
      </c>
      <c r="B64" s="65" t="s">
        <v>165</v>
      </c>
      <c r="C64" s="61"/>
      <c r="D64" s="61"/>
      <c r="E64" s="61"/>
      <c r="F64" s="61"/>
      <c r="G64" s="76">
        <v>186.45</v>
      </c>
      <c r="H64" s="61"/>
      <c r="I64" s="61"/>
      <c r="J64" s="61"/>
      <c r="K64" s="61"/>
      <c r="L64" s="61"/>
      <c r="M64" s="61"/>
      <c r="N64" s="61"/>
      <c r="O64" s="61"/>
      <c r="P64" s="61"/>
      <c r="Q64" s="61"/>
      <c r="R64" s="61"/>
      <c r="S64" s="61"/>
      <c r="T64" s="61"/>
      <c r="U64" s="61"/>
      <c r="V64" s="61"/>
      <c r="W64" s="61"/>
      <c r="X64" s="61"/>
      <c r="Y64" s="61"/>
      <c r="Z64" s="61"/>
      <c r="AA64" s="61"/>
      <c r="AB64" s="61"/>
      <c r="AC64" s="61"/>
      <c r="AD64" s="61"/>
      <c r="AE64" s="61"/>
      <c r="AF64" s="61"/>
      <c r="AG64" s="61"/>
      <c r="AH64" s="61"/>
      <c r="AI64" s="61"/>
      <c r="AJ64" s="61"/>
      <c r="AK64" s="61"/>
      <c r="AL64" s="89"/>
      <c r="AM64" s="61"/>
      <c r="AN64" s="61"/>
      <c r="AO64" s="61"/>
      <c r="AP64" s="61"/>
      <c r="AQ64" s="61"/>
      <c r="AR64" s="61"/>
      <c r="AS64" s="61"/>
      <c r="AT64" s="61"/>
      <c r="AU64" s="61"/>
      <c r="AV64" s="89"/>
      <c r="AW64" s="333">
        <v>44</v>
      </c>
      <c r="AX64" s="90">
        <v>35</v>
      </c>
      <c r="AY64" s="90">
        <v>25.71</v>
      </c>
      <c r="AZ64" s="90">
        <v>21</v>
      </c>
      <c r="BA64" s="90">
        <v>8.27</v>
      </c>
      <c r="BB64" s="90">
        <v>16.82</v>
      </c>
      <c r="BC64" s="90">
        <v>14</v>
      </c>
      <c r="BD64" s="90">
        <v>19.22</v>
      </c>
      <c r="BE64" s="90">
        <v>36.57</v>
      </c>
      <c r="BF64" s="90">
        <v>38.36</v>
      </c>
      <c r="BG64" s="90">
        <v>14.53</v>
      </c>
      <c r="BH64" s="89">
        <v>24.37</v>
      </c>
      <c r="BI64" s="61">
        <v>12.35</v>
      </c>
      <c r="BJ64" s="89"/>
      <c r="BK64" s="61"/>
      <c r="BL64" s="61"/>
      <c r="BM64" s="77"/>
      <c r="BN64" s="89"/>
      <c r="BO64" s="89"/>
      <c r="BP64" s="89"/>
      <c r="BQ64" s="77"/>
      <c r="BR64" s="61"/>
      <c r="BS64" s="61"/>
      <c r="BT64" s="61"/>
      <c r="BU64" s="61"/>
      <c r="BV64" s="61"/>
      <c r="BW64" s="61"/>
      <c r="BX64" s="61"/>
      <c r="BY64" s="61"/>
      <c r="BZ64" s="61"/>
      <c r="CA64" s="61"/>
      <c r="CB64" s="89"/>
      <c r="CC64" s="89"/>
      <c r="CD64" s="89"/>
      <c r="CE64" s="89"/>
      <c r="CF64" s="61"/>
      <c r="CG64" s="61"/>
      <c r="CH64" s="61"/>
      <c r="CI64" s="61"/>
      <c r="CJ64" s="61"/>
      <c r="CK64" s="61"/>
      <c r="CL64" s="61"/>
      <c r="CM64" s="365">
        <v>785.62</v>
      </c>
      <c r="CN64" s="347">
        <v>96.13</v>
      </c>
      <c r="CO64" s="170">
        <f t="shared" si="21"/>
        <v>12.236195616201217</v>
      </c>
      <c r="CP64" s="62">
        <f t="shared" si="12"/>
        <v>155.6496411109955</v>
      </c>
      <c r="CQ64" s="76">
        <v>0</v>
      </c>
      <c r="CR64" s="79">
        <f t="shared" si="26"/>
        <v>1237.6476735063368</v>
      </c>
      <c r="CS64" s="65">
        <f t="shared" si="27"/>
        <v>149.62599999999998</v>
      </c>
      <c r="CT64" s="77">
        <f t="shared" si="22"/>
        <v>12.089547227612824</v>
      </c>
      <c r="CU64" s="110">
        <f t="shared" si="23"/>
        <v>14.22052525670577</v>
      </c>
      <c r="CV64" s="61"/>
      <c r="CW64" s="65">
        <f t="shared" si="17"/>
        <v>12.089547227612824</v>
      </c>
      <c r="CX64" s="65">
        <f t="shared" si="24"/>
        <v>0</v>
      </c>
      <c r="CY64" s="65">
        <f>SUM(BB64:BE64)</f>
        <v>86.61</v>
      </c>
      <c r="CZ64" s="65" t="e">
        <f t="shared" si="25"/>
        <v>#DIV/0!</v>
      </c>
      <c r="DA64" s="342">
        <v>165.7</v>
      </c>
      <c r="DB64" s="370">
        <v>1099.9100000000001</v>
      </c>
      <c r="DC64" s="61"/>
      <c r="DD64" s="81">
        <f>CR64/CS64</f>
        <v>8.2716083669037257</v>
      </c>
      <c r="DE64" s="65">
        <v>0.2</v>
      </c>
      <c r="DF64" s="61" t="s">
        <v>224</v>
      </c>
      <c r="DG64" s="61" t="s">
        <v>440</v>
      </c>
    </row>
    <row r="65" spans="1:111" ht="14.25" customHeight="1">
      <c r="A65" s="423" t="s">
        <v>475</v>
      </c>
      <c r="B65" s="61" t="s">
        <v>268</v>
      </c>
      <c r="C65" s="65">
        <v>8</v>
      </c>
      <c r="D65" s="65" t="e">
        <f>AVERAGE(G65:AA65)/AVERAGE(AC65:AV65)</f>
        <v>#DIV/0!</v>
      </c>
      <c r="E65" s="65">
        <f>AVERAGE(G65:AA65)/AVERAGE(AX65:BQ65)</f>
        <v>73.370392749244715</v>
      </c>
      <c r="F65" s="65" t="e">
        <f>AVERAGE(G65:AA65)/AVERAGE(BS65:CL65)</f>
        <v>#DIV/0!</v>
      </c>
      <c r="G65" s="61">
        <v>1517.85</v>
      </c>
      <c r="AW65" s="305">
        <v>19</v>
      </c>
      <c r="AX65" s="187">
        <v>26</v>
      </c>
      <c r="AY65" s="187">
        <v>24</v>
      </c>
      <c r="AZ65" s="187">
        <v>35</v>
      </c>
      <c r="BA65" s="199">
        <v>27</v>
      </c>
      <c r="BB65" s="182">
        <v>21</v>
      </c>
      <c r="BC65" s="183">
        <v>29</v>
      </c>
      <c r="BD65" s="199">
        <v>2</v>
      </c>
      <c r="BE65" s="187">
        <v>33</v>
      </c>
      <c r="BF65" s="187">
        <v>25</v>
      </c>
      <c r="BG65" s="182">
        <v>16</v>
      </c>
      <c r="BH65" s="182">
        <v>20</v>
      </c>
      <c r="BI65" s="182">
        <v>15</v>
      </c>
      <c r="BJ65" s="182">
        <v>17</v>
      </c>
      <c r="BK65" s="61">
        <v>16</v>
      </c>
      <c r="BL65" s="61">
        <v>10</v>
      </c>
      <c r="BM65" s="61">
        <v>15</v>
      </c>
      <c r="BP65" s="89"/>
      <c r="CM65" s="362">
        <v>1343</v>
      </c>
      <c r="CN65" s="355">
        <v>550</v>
      </c>
      <c r="CO65" s="170">
        <f t="shared" si="21"/>
        <v>40.953090096798213</v>
      </c>
      <c r="CP65" s="62">
        <f t="shared" si="12"/>
        <v>16.472727272727273</v>
      </c>
      <c r="CQ65" s="61">
        <v>0</v>
      </c>
      <c r="CR65" s="79">
        <f t="shared" si="26"/>
        <v>1660.7064705882351</v>
      </c>
      <c r="CS65" s="65">
        <f t="shared" si="27"/>
        <v>90.6</v>
      </c>
      <c r="CT65" s="77">
        <f t="shared" si="22"/>
        <v>5.4555095439538315</v>
      </c>
      <c r="CU65" s="110">
        <f t="shared" si="23"/>
        <v>4.5763656218597264</v>
      </c>
      <c r="CW65" s="65">
        <f t="shared" si="17"/>
        <v>5.4555095439538315</v>
      </c>
      <c r="CX65" s="65">
        <f t="shared" si="24"/>
        <v>0</v>
      </c>
      <c r="CY65" s="65">
        <f>SUM(BB65:BE65)</f>
        <v>85</v>
      </c>
      <c r="CZ65" s="65" t="e">
        <f t="shared" si="25"/>
        <v>#DIV/0!</v>
      </c>
      <c r="DA65" s="342">
        <v>1105</v>
      </c>
      <c r="DB65" s="380">
        <v>1209</v>
      </c>
      <c r="DD65" s="81">
        <f>CR65/CS65</f>
        <v>18.330093494351381</v>
      </c>
    </row>
    <row r="66" spans="1:111" ht="14.25" customHeight="1">
      <c r="A66" s="395" t="s">
        <v>982</v>
      </c>
      <c r="B66" s="61" t="s">
        <v>44</v>
      </c>
      <c r="C66" s="65">
        <v>5</v>
      </c>
      <c r="D66" s="65" t="e">
        <f>AVERAGE(G66:AA66)/AVERAGE(AC66:AV66)</f>
        <v>#DIV/0!</v>
      </c>
      <c r="E66" s="65">
        <f>AVERAGE(G66:AA66)/AVERAGE(AZ66:BQ66)</f>
        <v>17.653257790368272</v>
      </c>
      <c r="F66" s="65" t="e">
        <f>AVERAGE(G66:AA66)/AVERAGE(BS66:CL66)</f>
        <v>#DIV/0!</v>
      </c>
      <c r="G66" s="61">
        <v>692.4</v>
      </c>
      <c r="AW66" s="315">
        <v>79</v>
      </c>
      <c r="AX66" s="61">
        <v>70</v>
      </c>
      <c r="AY66" s="61">
        <v>65</v>
      </c>
      <c r="AZ66" s="61">
        <v>60</v>
      </c>
      <c r="BA66" s="61">
        <v>52</v>
      </c>
      <c r="BB66" s="61">
        <v>42</v>
      </c>
      <c r="BC66" s="61">
        <v>28</v>
      </c>
      <c r="BD66" s="61">
        <v>24</v>
      </c>
      <c r="BE66" s="61">
        <v>37</v>
      </c>
      <c r="BF66" s="61">
        <v>43</v>
      </c>
      <c r="BG66" s="61">
        <v>36</v>
      </c>
      <c r="BH66" s="61">
        <v>31</v>
      </c>
      <c r="CM66" s="342">
        <v>2336</v>
      </c>
      <c r="CN66" s="342">
        <v>227</v>
      </c>
      <c r="CO66" s="170">
        <f t="shared" si="21"/>
        <v>9.7174657534246585</v>
      </c>
      <c r="CP66" s="62">
        <f t="shared" ref="CP66:CP97" si="28">CS66/CN66%</f>
        <v>129.07488986784142</v>
      </c>
      <c r="CQ66" s="64"/>
      <c r="CR66" s="79">
        <f t="shared" si="26"/>
        <v>18976.009386281588</v>
      </c>
      <c r="CS66" s="65">
        <f t="shared" si="27"/>
        <v>293</v>
      </c>
      <c r="CT66" s="110">
        <f t="shared" si="22"/>
        <v>1.5440548854904119</v>
      </c>
      <c r="CU66" s="110">
        <f t="shared" si="23"/>
        <v>1.6652605590954612</v>
      </c>
      <c r="CW66" s="62">
        <f t="shared" si="17"/>
        <v>1.5440548854904119</v>
      </c>
      <c r="CX66" s="65">
        <f t="shared" si="24"/>
        <v>0</v>
      </c>
      <c r="CZ66" s="62"/>
      <c r="DA66" s="342">
        <v>554</v>
      </c>
      <c r="DB66" s="342">
        <v>15183</v>
      </c>
    </row>
    <row r="67" spans="1:111" ht="14.25" customHeight="1">
      <c r="A67" s="402" t="s">
        <v>717</v>
      </c>
      <c r="B67" s="61" t="s">
        <v>165</v>
      </c>
      <c r="C67" s="65">
        <v>1</v>
      </c>
      <c r="D67" s="65" t="e">
        <f>AVERAGE(G67:AA67)/AVERAGE(AC67:AV67)</f>
        <v>#DIV/0!</v>
      </c>
      <c r="E67" s="65">
        <f>AVERAGE(G67:AA67)/AVERAGE(AZ67:BQ67)</f>
        <v>28.497151898734177</v>
      </c>
      <c r="F67" s="65" t="e">
        <f>AVERAGE(G67:AA67)/AVERAGE(BS67:CL67)</f>
        <v>#DIV/0!</v>
      </c>
      <c r="G67" s="61">
        <v>1500.85</v>
      </c>
      <c r="AW67" s="406">
        <v>81</v>
      </c>
      <c r="AX67" s="410">
        <v>81</v>
      </c>
      <c r="AY67" s="410">
        <v>84.3</v>
      </c>
      <c r="AZ67" s="410">
        <v>89</v>
      </c>
      <c r="BA67" s="89">
        <v>58</v>
      </c>
      <c r="BB67" s="89">
        <v>11</v>
      </c>
      <c r="BC67" s="89"/>
      <c r="BD67" s="89"/>
      <c r="BE67" s="89"/>
      <c r="BK67" s="89"/>
      <c r="CM67" s="348">
        <v>1907</v>
      </c>
      <c r="CN67" s="342">
        <v>257</v>
      </c>
      <c r="CO67" s="170">
        <f t="shared" si="21"/>
        <v>13.476664918720504</v>
      </c>
      <c r="CP67" s="62">
        <f t="shared" si="28"/>
        <v>127.46303501945525</v>
      </c>
      <c r="CQ67" s="64"/>
      <c r="CR67" s="79">
        <f t="shared" si="26"/>
        <v>12014.171561886051</v>
      </c>
      <c r="CS67" s="65">
        <f t="shared" si="27"/>
        <v>327.58</v>
      </c>
      <c r="CT67" s="110">
        <f t="shared" si="22"/>
        <v>2.7266133025702746</v>
      </c>
      <c r="CU67" s="110">
        <f t="shared" si="23"/>
        <v>2.6968151597556904</v>
      </c>
      <c r="CW67" s="65">
        <f t="shared" si="17"/>
        <v>2.7266133025702746</v>
      </c>
      <c r="CX67" s="62"/>
      <c r="CZ67" s="62"/>
      <c r="DA67" s="342">
        <v>1018</v>
      </c>
      <c r="DB67" s="342">
        <v>8149</v>
      </c>
    </row>
    <row r="68" spans="1:111" ht="15" customHeight="1">
      <c r="A68" s="386" t="s">
        <v>894</v>
      </c>
      <c r="B68" s="61" t="s">
        <v>44</v>
      </c>
      <c r="C68" s="65">
        <v>4</v>
      </c>
      <c r="D68" s="65" t="e">
        <f>AVERAGE(G68:AA68)/AVERAGE(AC68:AV68)</f>
        <v>#DIV/0!</v>
      </c>
      <c r="E68" s="65">
        <f>AVERAGE(G68:AA68)/AVERAGE(AZ68:BQ68)</f>
        <v>18.279593639575971</v>
      </c>
      <c r="F68" s="65" t="e">
        <f>AVERAGE(G68:AA68)/AVERAGE(BS68:CL68)</f>
        <v>#DIV/0!</v>
      </c>
      <c r="G68" s="61">
        <v>3448.75</v>
      </c>
      <c r="AW68" s="315">
        <v>262</v>
      </c>
      <c r="AX68" s="387">
        <v>249</v>
      </c>
      <c r="AY68" s="387">
        <v>230</v>
      </c>
      <c r="AZ68" s="387">
        <v>216</v>
      </c>
      <c r="BA68" s="388">
        <v>194</v>
      </c>
      <c r="BB68" s="387">
        <v>186</v>
      </c>
      <c r="BC68" s="388">
        <v>166</v>
      </c>
      <c r="BD68" s="387">
        <v>117</v>
      </c>
      <c r="BE68" s="387">
        <v>205</v>
      </c>
      <c r="BF68" s="387">
        <v>204</v>
      </c>
      <c r="BG68" s="387">
        <v>206</v>
      </c>
      <c r="BH68" s="387">
        <v>204</v>
      </c>
      <c r="CM68" s="342">
        <v>6091</v>
      </c>
      <c r="CN68" s="342">
        <v>477</v>
      </c>
      <c r="CO68" s="170">
        <f t="shared" si="21"/>
        <v>7.8312263996059768</v>
      </c>
      <c r="CP68" s="62">
        <f t="shared" si="28"/>
        <v>210.48218029350107</v>
      </c>
      <c r="CQ68" s="64"/>
      <c r="CR68" s="79">
        <f t="shared" si="26"/>
        <v>36393.920454545456</v>
      </c>
      <c r="CS68" s="65">
        <f t="shared" si="27"/>
        <v>1004</v>
      </c>
      <c r="CT68" s="110">
        <f t="shared" si="22"/>
        <v>2.7587025180591787</v>
      </c>
      <c r="CU68" s="110">
        <f t="shared" si="23"/>
        <v>2.8796018315996208</v>
      </c>
      <c r="CW68" s="62">
        <f t="shared" si="17"/>
        <v>2.7587025180591787</v>
      </c>
      <c r="CX68" s="65">
        <f>SUM(K68:N68)/SUM(G68:J68)*CR68</f>
        <v>0</v>
      </c>
      <c r="CZ68" s="62"/>
      <c r="DA68" s="342">
        <v>4092</v>
      </c>
      <c r="DB68" s="342">
        <v>43182</v>
      </c>
    </row>
    <row r="69" spans="1:111" ht="15" customHeight="1">
      <c r="A69" s="393" t="s">
        <v>746</v>
      </c>
      <c r="B69" s="61" t="s">
        <v>44</v>
      </c>
      <c r="C69" s="65">
        <v>1</v>
      </c>
      <c r="D69" s="65" t="e">
        <f>AVERAGE(G69:AA69)/AVERAGE(AD69:AV69)</f>
        <v>#DIV/0!</v>
      </c>
      <c r="E69" s="65">
        <f>AVERAGE(G69:AA69)/AVERAGE(AY69:BQ69)</f>
        <v>2.6399090392268332</v>
      </c>
      <c r="F69" s="65" t="e">
        <f>AVERAGE(G69:AA69)/AVERAGE(BT69:CL69)</f>
        <v>#DIV/0!</v>
      </c>
      <c r="G69" s="61">
        <v>357.2</v>
      </c>
      <c r="AW69" s="321">
        <v>221</v>
      </c>
      <c r="AX69" s="258">
        <v>109</v>
      </c>
      <c r="AY69" s="61">
        <v>202</v>
      </c>
      <c r="AZ69" s="61">
        <v>241</v>
      </c>
      <c r="BA69" s="61">
        <v>297</v>
      </c>
      <c r="BB69" s="61">
        <v>273</v>
      </c>
      <c r="BC69" s="61">
        <v>242</v>
      </c>
      <c r="BD69" s="61">
        <v>172</v>
      </c>
      <c r="BE69" s="61">
        <v>110</v>
      </c>
      <c r="BF69" s="61">
        <v>73</v>
      </c>
      <c r="BG69" s="61">
        <v>57</v>
      </c>
      <c r="BH69" s="61">
        <v>15</v>
      </c>
      <c r="BI69" s="61">
        <v>43</v>
      </c>
      <c r="BJ69" s="61">
        <v>18</v>
      </c>
      <c r="BK69" s="61">
        <v>16</v>
      </c>
      <c r="CM69" s="342">
        <v>6609</v>
      </c>
      <c r="CN69" s="342">
        <v>1653</v>
      </c>
      <c r="CO69" s="63">
        <f t="shared" si="21"/>
        <v>25.011348161597819</v>
      </c>
      <c r="CP69" s="62">
        <f t="shared" si="28"/>
        <v>44.900181488203266</v>
      </c>
      <c r="CQ69" s="64"/>
      <c r="CR69" s="79">
        <f t="shared" si="26"/>
        <v>19152.48535825545</v>
      </c>
      <c r="CS69" s="65">
        <f t="shared" si="27"/>
        <v>742.2</v>
      </c>
      <c r="CT69" s="110">
        <f t="shared" si="22"/>
        <v>3.8752150758339234</v>
      </c>
      <c r="CU69" s="110">
        <f t="shared" si="23"/>
        <v>4.6155889612465488</v>
      </c>
      <c r="CW69" s="65">
        <f t="shared" si="17"/>
        <v>3.8752150758339234</v>
      </c>
      <c r="CX69" s="62"/>
      <c r="CZ69" s="62"/>
      <c r="DA69" s="342">
        <v>642</v>
      </c>
      <c r="DB69" s="342">
        <v>34423</v>
      </c>
    </row>
    <row r="70" spans="1:111" ht="14.25" customHeight="1">
      <c r="A70" s="422" t="s">
        <v>25</v>
      </c>
      <c r="B70" s="65" t="s">
        <v>44</v>
      </c>
      <c r="C70" s="65">
        <v>1</v>
      </c>
      <c r="D70" s="65">
        <f>AVERAGE(G70:AA70)/AVERAGE(AC70:AV70)</f>
        <v>0.13743034934166945</v>
      </c>
      <c r="E70" s="65">
        <f>AVERAGE(G70:AA70)/AVERAGE(AX70:BQ70)</f>
        <v>0.90117381320034096</v>
      </c>
      <c r="F70" s="65">
        <f>AVERAGE(G70:AA70)/AVERAGE(BS70:CL70)</f>
        <v>5.020860677891377E-2</v>
      </c>
      <c r="G70" s="76">
        <v>402.9</v>
      </c>
      <c r="H70" s="65">
        <v>485</v>
      </c>
      <c r="I70" s="65">
        <v>532.20000000000005</v>
      </c>
      <c r="J70" s="65">
        <v>488.7</v>
      </c>
      <c r="K70" s="65">
        <v>417.4</v>
      </c>
      <c r="L70" s="65">
        <v>468.65</v>
      </c>
      <c r="M70" s="65">
        <v>534.4</v>
      </c>
      <c r="N70" s="65">
        <v>563.5</v>
      </c>
      <c r="O70" s="65">
        <v>627.35</v>
      </c>
      <c r="P70" s="65">
        <v>742.2</v>
      </c>
      <c r="Q70" s="65">
        <v>618.45000000000005</v>
      </c>
      <c r="R70" s="65">
        <v>559.70000000000005</v>
      </c>
      <c r="S70" s="65">
        <v>578.79999999999995</v>
      </c>
      <c r="T70" s="65">
        <v>495</v>
      </c>
      <c r="U70" s="65">
        <v>493.15</v>
      </c>
      <c r="V70" s="65">
        <v>510.05</v>
      </c>
      <c r="W70" s="65">
        <v>470.55</v>
      </c>
      <c r="X70" s="65">
        <v>450.9</v>
      </c>
      <c r="Y70" s="65">
        <v>437.6</v>
      </c>
      <c r="Z70" s="65">
        <v>436</v>
      </c>
      <c r="AA70" s="65">
        <v>325.5</v>
      </c>
      <c r="AB70" s="115">
        <v>4996.46</v>
      </c>
      <c r="AC70" s="106">
        <v>4972.8599999999997</v>
      </c>
      <c r="AD70" s="117">
        <v>4807.2</v>
      </c>
      <c r="AE70" s="107">
        <v>4655.1400000000003</v>
      </c>
      <c r="AF70" s="107">
        <v>4438.78</v>
      </c>
      <c r="AG70" s="107">
        <v>4198.22</v>
      </c>
      <c r="AH70" s="107">
        <v>4018.95</v>
      </c>
      <c r="AI70" s="107">
        <v>3900.95</v>
      </c>
      <c r="AJ70" s="108">
        <v>3738.1</v>
      </c>
      <c r="AK70" s="108">
        <v>3687.42</v>
      </c>
      <c r="AL70" s="108">
        <v>3633.2</v>
      </c>
      <c r="AM70" s="107">
        <v>3642.87</v>
      </c>
      <c r="AN70" s="107">
        <v>3512.53</v>
      </c>
      <c r="AO70" s="107">
        <v>3428.31</v>
      </c>
      <c r="AP70" s="107">
        <v>3326.33</v>
      </c>
      <c r="AQ70" s="107">
        <v>3246.4</v>
      </c>
      <c r="AR70" s="108">
        <v>3101.76</v>
      </c>
      <c r="AS70" s="107">
        <v>3026.03</v>
      </c>
      <c r="AT70" s="107">
        <v>2917.4</v>
      </c>
      <c r="AU70" s="107">
        <v>2800.21</v>
      </c>
      <c r="AV70" s="108">
        <v>2667.8</v>
      </c>
      <c r="AW70" s="314">
        <v>1114</v>
      </c>
      <c r="AX70" s="144">
        <v>771</v>
      </c>
      <c r="AY70" s="144">
        <v>251</v>
      </c>
      <c r="AZ70" s="144">
        <v>151</v>
      </c>
      <c r="BA70" s="144">
        <v>385</v>
      </c>
      <c r="BB70" s="144">
        <v>715</v>
      </c>
      <c r="BC70" s="144">
        <v>791</v>
      </c>
      <c r="BD70" s="78">
        <v>824</v>
      </c>
      <c r="BE70" s="94">
        <v>424.31</v>
      </c>
      <c r="BF70" s="103">
        <v>597.53</v>
      </c>
      <c r="BG70" s="86">
        <v>772.2</v>
      </c>
      <c r="BH70" s="86">
        <v>610.67999999999995</v>
      </c>
      <c r="BI70" s="86">
        <v>693.58</v>
      </c>
      <c r="BJ70" s="86">
        <v>596.30999999999995</v>
      </c>
      <c r="BK70" s="84">
        <v>573.16</v>
      </c>
      <c r="BL70" s="84">
        <v>567.94000000000005</v>
      </c>
      <c r="BM70" s="86">
        <v>539.33000000000004</v>
      </c>
      <c r="BN70" s="86">
        <v>491.07</v>
      </c>
      <c r="BO70" s="86">
        <v>489.12</v>
      </c>
      <c r="BP70" s="86">
        <v>470.06</v>
      </c>
      <c r="BQ70" s="86">
        <v>529.19000000000005</v>
      </c>
      <c r="BR70" s="101">
        <v>16259.27</v>
      </c>
      <c r="BS70" s="101">
        <v>16259.27</v>
      </c>
      <c r="BT70" s="101">
        <v>12690.73</v>
      </c>
      <c r="BU70" s="101">
        <v>12690.73</v>
      </c>
      <c r="BV70" s="101">
        <v>12690.73</v>
      </c>
      <c r="BW70" s="101">
        <v>12690.73</v>
      </c>
      <c r="BX70" s="101">
        <v>11077.03</v>
      </c>
      <c r="BY70" s="101">
        <v>11077.03</v>
      </c>
      <c r="BZ70" s="101">
        <v>11077.03</v>
      </c>
      <c r="CA70" s="101">
        <v>11077.03</v>
      </c>
      <c r="CB70" s="113">
        <v>9145.98</v>
      </c>
      <c r="CC70" s="113">
        <v>9145.98</v>
      </c>
      <c r="CD70" s="113">
        <v>9145.98</v>
      </c>
      <c r="CE70" s="113">
        <v>9145.98</v>
      </c>
      <c r="CF70" s="101">
        <v>7818.44</v>
      </c>
      <c r="CG70" s="101">
        <v>7818.44</v>
      </c>
      <c r="CH70" s="101">
        <v>7818.44</v>
      </c>
      <c r="CI70" s="101">
        <v>7818.44</v>
      </c>
      <c r="CJ70" s="101">
        <v>7532.9</v>
      </c>
      <c r="CK70" s="101">
        <v>7532.9</v>
      </c>
      <c r="CL70" s="101">
        <v>7532.9</v>
      </c>
      <c r="CM70" s="363">
        <v>200030.1</v>
      </c>
      <c r="CN70" s="357">
        <v>168667.01</v>
      </c>
      <c r="CO70" s="170">
        <f t="shared" si="21"/>
        <v>84.320814717385034</v>
      </c>
      <c r="CP70" s="62">
        <f t="shared" si="28"/>
        <v>1.9766758182290654</v>
      </c>
      <c r="CR70" s="79">
        <f t="shared" si="26"/>
        <v>20295.981281324413</v>
      </c>
      <c r="CS70" s="65">
        <f t="shared" si="27"/>
        <v>3333.9999999999995</v>
      </c>
      <c r="CT70" s="80">
        <f t="shared" si="22"/>
        <v>16.426897294529034</v>
      </c>
      <c r="CU70" s="110">
        <f t="shared" si="23"/>
        <v>21.955085286269163</v>
      </c>
      <c r="CV70" s="65">
        <v>1.59</v>
      </c>
      <c r="CW70" s="65">
        <f t="shared" si="17"/>
        <v>18.016897294529034</v>
      </c>
      <c r="CX70" s="65">
        <f>SUM(K70:N70)/SUM(G70:J70)*CR70</f>
        <v>21095.039848639757</v>
      </c>
      <c r="CY70" s="65">
        <f>SUM(BB70:BE70)</f>
        <v>2754.31</v>
      </c>
      <c r="CZ70" s="65">
        <f>CY70/CX70%</f>
        <v>13.056671235335934</v>
      </c>
      <c r="DA70" s="365">
        <v>440.95</v>
      </c>
      <c r="DB70" s="384">
        <v>22212.74</v>
      </c>
      <c r="DD70" s="81">
        <f>CR70/CS70</f>
        <v>6.0875768690235201</v>
      </c>
      <c r="DE70" s="65">
        <v>0.94</v>
      </c>
      <c r="DF70" s="61" t="s">
        <v>438</v>
      </c>
      <c r="DG70" s="61" t="s">
        <v>438</v>
      </c>
    </row>
    <row r="71" spans="1:111" ht="14.25" customHeight="1">
      <c r="A71" s="395" t="s">
        <v>812</v>
      </c>
      <c r="B71" s="76" t="s">
        <v>44</v>
      </c>
      <c r="C71" s="65">
        <v>1</v>
      </c>
      <c r="D71" s="65">
        <v>0.02</v>
      </c>
      <c r="E71" s="65">
        <v>0.9</v>
      </c>
      <c r="F71" s="65">
        <v>0.02</v>
      </c>
      <c r="G71" s="76">
        <v>352.2</v>
      </c>
      <c r="AW71" s="315">
        <v>11</v>
      </c>
      <c r="AX71" s="61">
        <v>18</v>
      </c>
      <c r="AY71" s="273">
        <v>22.88</v>
      </c>
      <c r="AZ71" s="61">
        <v>18</v>
      </c>
      <c r="BA71" s="61">
        <v>13</v>
      </c>
      <c r="BB71" s="61">
        <v>13</v>
      </c>
      <c r="BC71" s="61">
        <v>21</v>
      </c>
      <c r="BD71" s="61">
        <v>15</v>
      </c>
      <c r="BE71" s="61">
        <v>9</v>
      </c>
      <c r="BF71" s="61">
        <v>11</v>
      </c>
      <c r="BG71" s="61">
        <v>19</v>
      </c>
      <c r="BH71" s="61">
        <v>13</v>
      </c>
      <c r="BI71" s="61">
        <v>8</v>
      </c>
      <c r="BJ71" s="61">
        <v>9</v>
      </c>
      <c r="CM71" s="342">
        <v>534</v>
      </c>
      <c r="CN71" s="342">
        <v>2</v>
      </c>
      <c r="CO71" s="170">
        <f t="shared" si="21"/>
        <v>0.37453183520599254</v>
      </c>
      <c r="CP71" s="62">
        <f t="shared" si="28"/>
        <v>3046.3999999999996</v>
      </c>
      <c r="CQ71" s="61">
        <v>0</v>
      </c>
      <c r="CR71" s="79">
        <f t="shared" si="26"/>
        <v>705.28715365239293</v>
      </c>
      <c r="CS71" s="65">
        <f t="shared" si="27"/>
        <v>60.927999999999997</v>
      </c>
      <c r="CT71" s="110">
        <f t="shared" si="22"/>
        <v>8.6387508526816177</v>
      </c>
      <c r="CU71" s="110">
        <f t="shared" si="23"/>
        <v>6.238593709263248</v>
      </c>
      <c r="CW71" s="62">
        <f t="shared" si="17"/>
        <v>8.6387508526816177</v>
      </c>
      <c r="CX71" s="65">
        <f>SUM(K71:N71)/SUM(G71:J71)*CR71</f>
        <v>0</v>
      </c>
      <c r="CY71" s="65">
        <f>SUM(BC71:BF71)</f>
        <v>56</v>
      </c>
      <c r="CZ71" s="65" t="e">
        <f>CY71/CX71%</f>
        <v>#DIV/0!</v>
      </c>
      <c r="DA71" s="342">
        <v>397</v>
      </c>
      <c r="DB71" s="342">
        <v>795</v>
      </c>
    </row>
    <row r="72" spans="1:111" ht="14.25" customHeight="1">
      <c r="A72" s="422" t="s">
        <v>252</v>
      </c>
      <c r="B72" s="76" t="s">
        <v>268</v>
      </c>
      <c r="C72" s="65">
        <v>1</v>
      </c>
      <c r="D72" s="65" t="e">
        <f>AVERAGE(G72:AA72)/AVERAGE(AC72:AV72)</f>
        <v>#DIV/0!</v>
      </c>
      <c r="E72" s="65">
        <f>AVERAGE(G72:AA72)/AVERAGE(AX72:BQ72)</f>
        <v>0.89038608543876219</v>
      </c>
      <c r="F72" s="65" t="e">
        <f>AVERAGE(G72:AA72)/AVERAGE(BS72:CL72)</f>
        <v>#DIV/0!</v>
      </c>
      <c r="G72" s="65">
        <v>1328.15</v>
      </c>
      <c r="H72" s="65">
        <v>580</v>
      </c>
      <c r="I72" s="65">
        <v>538</v>
      </c>
      <c r="J72" s="65">
        <v>645.29999999999995</v>
      </c>
      <c r="K72" s="65">
        <v>680.05</v>
      </c>
      <c r="L72" s="65">
        <v>765.95</v>
      </c>
      <c r="M72" s="65">
        <v>935.95</v>
      </c>
      <c r="N72" s="65">
        <v>873.3</v>
      </c>
      <c r="O72" s="65">
        <v>763.05</v>
      </c>
      <c r="P72" s="65">
        <v>672.4</v>
      </c>
      <c r="Q72" s="65">
        <v>701.65</v>
      </c>
      <c r="R72" s="65">
        <v>667.77</v>
      </c>
      <c r="S72" s="65">
        <v>620.04999999999995</v>
      </c>
      <c r="T72" s="65">
        <v>658.5</v>
      </c>
      <c r="U72" s="65">
        <v>733.38</v>
      </c>
      <c r="V72" s="65">
        <v>665.48</v>
      </c>
      <c r="W72" s="65">
        <v>616.62</v>
      </c>
      <c r="X72" s="65">
        <v>591.79999999999995</v>
      </c>
      <c r="Y72" s="65">
        <v>681.8</v>
      </c>
      <c r="Z72" s="65">
        <v>572.5</v>
      </c>
      <c r="AA72" s="65">
        <v>632.54999999999995</v>
      </c>
      <c r="AB72" s="89"/>
      <c r="AC72" s="89"/>
      <c r="AL72" s="89"/>
      <c r="AV72" s="89"/>
      <c r="AW72" s="329">
        <v>4935</v>
      </c>
      <c r="AX72" s="142">
        <v>424</v>
      </c>
      <c r="AY72" s="142">
        <v>1928</v>
      </c>
      <c r="AZ72" s="142">
        <v>424</v>
      </c>
      <c r="BA72" s="142">
        <v>1070</v>
      </c>
      <c r="BB72" s="142">
        <v>704</v>
      </c>
      <c r="BC72" s="142">
        <v>77</v>
      </c>
      <c r="BD72" s="78">
        <v>112.1</v>
      </c>
      <c r="BE72" s="105">
        <v>-2502.42</v>
      </c>
      <c r="BF72" s="111">
        <v>306.55</v>
      </c>
      <c r="BG72" s="86">
        <v>1212.5999999999999</v>
      </c>
      <c r="BH72" s="108">
        <v>2313.8200000000002</v>
      </c>
      <c r="BI72" s="108">
        <v>848.81</v>
      </c>
      <c r="BJ72" s="108">
        <v>1076.81</v>
      </c>
      <c r="BK72" s="107">
        <v>1649.46</v>
      </c>
      <c r="BL72" s="108">
        <v>1220.96</v>
      </c>
      <c r="BM72" s="107">
        <v>1059.0899999999999</v>
      </c>
      <c r="BN72" s="86">
        <v>1215.9100000000001</v>
      </c>
      <c r="BO72" s="86">
        <v>1331.57</v>
      </c>
      <c r="BP72" s="107">
        <v>765.96</v>
      </c>
      <c r="BQ72" s="108">
        <v>725.16</v>
      </c>
      <c r="CM72" s="356">
        <v>174113</v>
      </c>
      <c r="CN72" s="356">
        <v>77605</v>
      </c>
      <c r="CO72" s="63">
        <f t="shared" si="21"/>
        <v>44.571628769821892</v>
      </c>
      <c r="CP72" s="62">
        <f t="shared" si="28"/>
        <v>14.973777462792343</v>
      </c>
      <c r="CQ72" s="76">
        <v>2.84</v>
      </c>
      <c r="CR72" s="79">
        <f t="shared" si="26"/>
        <v>165130.4131902486</v>
      </c>
      <c r="CS72" s="65">
        <f t="shared" si="27"/>
        <v>11620.399999999998</v>
      </c>
      <c r="CT72" s="110">
        <f t="shared" si="22"/>
        <v>7.0371046589776318</v>
      </c>
      <c r="CU72" s="110">
        <f t="shared" si="23"/>
        <v>11.954187977024755</v>
      </c>
      <c r="CV72" s="65">
        <v>1.58</v>
      </c>
      <c r="CW72" s="65">
        <f t="shared" si="17"/>
        <v>8.617104658977631</v>
      </c>
      <c r="CX72" s="65">
        <f>SUM(K72:N72)/SUM(G72:J72)*CR72</f>
        <v>173879.82258731558</v>
      </c>
      <c r="CY72" s="62">
        <f>SUM(BB72:BE72)</f>
        <v>-1609.3200000000002</v>
      </c>
      <c r="CZ72" s="65">
        <f>CY72/CX72%</f>
        <v>-0.9255357959615258</v>
      </c>
      <c r="DA72" s="342">
        <v>523</v>
      </c>
      <c r="DB72" s="380">
        <v>65025.19</v>
      </c>
      <c r="DD72" s="81">
        <f>CR72/CS72</f>
        <v>14.210389761991724</v>
      </c>
    </row>
    <row r="73" spans="1:111" ht="14.25" customHeight="1">
      <c r="A73" s="422" t="s">
        <v>26</v>
      </c>
      <c r="B73" s="65" t="s">
        <v>268</v>
      </c>
      <c r="G73" s="61">
        <v>121.65</v>
      </c>
      <c r="AC73" s="77"/>
      <c r="AL73" s="89"/>
      <c r="AW73" s="314">
        <v>261</v>
      </c>
      <c r="AX73" s="144">
        <v>261</v>
      </c>
      <c r="AY73" s="144">
        <v>370</v>
      </c>
      <c r="AZ73" s="144">
        <v>437</v>
      </c>
      <c r="BA73" s="144">
        <v>462</v>
      </c>
      <c r="BB73" s="144">
        <v>482</v>
      </c>
      <c r="BC73" s="144">
        <v>405</v>
      </c>
      <c r="BD73" s="78">
        <v>369</v>
      </c>
      <c r="BE73" s="78">
        <v>339.76</v>
      </c>
      <c r="BF73" s="78">
        <v>334.06</v>
      </c>
      <c r="BG73" s="78">
        <v>336.17</v>
      </c>
      <c r="BH73" s="78">
        <v>220.3</v>
      </c>
      <c r="BI73" s="89">
        <v>213.57</v>
      </c>
      <c r="BJ73" s="89">
        <v>211.92</v>
      </c>
      <c r="BL73" s="89"/>
      <c r="BM73" s="89"/>
      <c r="BN73" s="89"/>
      <c r="BO73" s="89"/>
      <c r="BQ73" s="89"/>
      <c r="CB73" s="89"/>
      <c r="CC73" s="89"/>
      <c r="CD73" s="89"/>
      <c r="CE73" s="89"/>
      <c r="CM73" s="350">
        <v>17134.78</v>
      </c>
      <c r="CN73" s="350">
        <v>12742.61</v>
      </c>
      <c r="CO73" s="170">
        <f t="shared" si="21"/>
        <v>74.366930885602272</v>
      </c>
      <c r="CP73" s="62">
        <f t="shared" si="28"/>
        <v>8.9824612069269953</v>
      </c>
      <c r="CQ73" s="99">
        <v>3.38</v>
      </c>
      <c r="CR73" s="79">
        <f t="shared" si="26"/>
        <v>10279.159038634321</v>
      </c>
      <c r="CS73" s="65">
        <f t="shared" si="27"/>
        <v>1144.6000000000001</v>
      </c>
      <c r="CT73" s="77">
        <f t="shared" si="22"/>
        <v>11.135152162720798</v>
      </c>
      <c r="CU73" s="110">
        <f t="shared" si="23"/>
        <v>10.156472879504205</v>
      </c>
      <c r="CW73" s="65">
        <f t="shared" si="17"/>
        <v>11.135152162720798</v>
      </c>
      <c r="CX73" s="65">
        <f>SUM(K73:N73)/SUM(G73:J73)*CR73</f>
        <v>0</v>
      </c>
      <c r="CY73" s="65">
        <f>SUM(BB73:BE73)</f>
        <v>1595.76</v>
      </c>
      <c r="CZ73" s="65" t="e">
        <f>CY73/CX73%</f>
        <v>#DIV/0!</v>
      </c>
      <c r="DA73" s="342">
        <v>166.95</v>
      </c>
      <c r="DB73" s="380">
        <v>14106.91</v>
      </c>
      <c r="DD73" s="81">
        <f>CR73/CS73</f>
        <v>8.9805687913981487</v>
      </c>
      <c r="DE73" s="65">
        <v>704.92431284026031</v>
      </c>
      <c r="DF73" s="61" t="s">
        <v>438</v>
      </c>
      <c r="DG73" s="61" t="s">
        <v>438</v>
      </c>
    </row>
    <row r="74" spans="1:111" ht="14.25" customHeight="1">
      <c r="A74" s="393" t="s">
        <v>727</v>
      </c>
      <c r="B74" s="61" t="s">
        <v>44</v>
      </c>
      <c r="G74" s="61">
        <v>1604.7</v>
      </c>
      <c r="AW74" s="315">
        <v>37</v>
      </c>
      <c r="AX74" s="61">
        <v>34</v>
      </c>
      <c r="AY74" s="61">
        <v>33</v>
      </c>
      <c r="AZ74" s="255">
        <v>40</v>
      </c>
      <c r="BA74" s="255">
        <v>38</v>
      </c>
      <c r="BB74" s="255">
        <v>72</v>
      </c>
      <c r="BC74" s="255">
        <v>59</v>
      </c>
      <c r="BD74" s="255">
        <v>56</v>
      </c>
      <c r="BE74" s="255">
        <v>66</v>
      </c>
      <c r="BF74" s="255">
        <v>56</v>
      </c>
      <c r="BG74" s="255">
        <v>72</v>
      </c>
      <c r="BH74" s="255">
        <v>44</v>
      </c>
      <c r="BI74" s="255">
        <v>61</v>
      </c>
      <c r="BJ74" s="61">
        <v>42</v>
      </c>
      <c r="BK74" s="61">
        <v>36</v>
      </c>
      <c r="CM74" s="342">
        <v>2801</v>
      </c>
      <c r="CN74" s="342">
        <v>0.1</v>
      </c>
      <c r="CO74" s="170">
        <f t="shared" si="21"/>
        <v>3.570153516601214E-3</v>
      </c>
      <c r="CP74" s="62">
        <f t="shared" si="28"/>
        <v>142600</v>
      </c>
      <c r="CQ74" s="76">
        <v>0</v>
      </c>
      <c r="CR74" s="79">
        <f t="shared" si="26"/>
        <v>8183.6497005988031</v>
      </c>
      <c r="CS74" s="65">
        <f t="shared" si="27"/>
        <v>142.6</v>
      </c>
      <c r="CT74" s="110">
        <f t="shared" si="22"/>
        <v>1.7424988265268226</v>
      </c>
      <c r="CU74" s="110">
        <f t="shared" si="23"/>
        <v>1.8084840555818358</v>
      </c>
      <c r="CX74" s="62"/>
      <c r="CZ74" s="62"/>
      <c r="DA74" s="342">
        <v>1503</v>
      </c>
      <c r="DB74" s="342">
        <v>7665</v>
      </c>
    </row>
    <row r="75" spans="1:111" ht="14.25" customHeight="1">
      <c r="A75" s="386" t="s">
        <v>893</v>
      </c>
      <c r="B75" s="61" t="s">
        <v>268</v>
      </c>
      <c r="C75" s="65">
        <v>3</v>
      </c>
      <c r="D75" s="65" t="e">
        <f>AVERAGE(G75:AA75)/AVERAGE(AC75:AV75)</f>
        <v>#DIV/0!</v>
      </c>
      <c r="E75" s="65">
        <f>AVERAGE(G75:AA75)/AVERAGE(AZ75:BQ75)</f>
        <v>30.599999999999998</v>
      </c>
      <c r="F75" s="65" t="e">
        <f>AVERAGE(G75:AA75)/AVERAGE(BS75:CL75)</f>
        <v>#DIV/0!</v>
      </c>
      <c r="G75" s="61">
        <v>627.29999999999995</v>
      </c>
      <c r="AW75" s="315">
        <v>12</v>
      </c>
      <c r="AX75" s="61">
        <v>17</v>
      </c>
      <c r="AY75" s="61">
        <v>20</v>
      </c>
      <c r="AZ75" s="61">
        <v>18</v>
      </c>
      <c r="BA75" s="61">
        <v>23</v>
      </c>
      <c r="CM75" s="342">
        <v>2594</v>
      </c>
      <c r="CN75" s="342">
        <v>815</v>
      </c>
      <c r="CO75" s="170">
        <f t="shared" si="21"/>
        <v>31.418658442559753</v>
      </c>
      <c r="CP75" s="62">
        <f t="shared" si="28"/>
        <v>7.3619631901840483</v>
      </c>
      <c r="CQ75" s="64"/>
      <c r="CR75" s="79">
        <f t="shared" si="26"/>
        <v>7483.4683417085425</v>
      </c>
      <c r="CS75" s="65">
        <f t="shared" si="27"/>
        <v>60</v>
      </c>
      <c r="CT75" s="110">
        <f t="shared" si="22"/>
        <v>0.80176727234342071</v>
      </c>
      <c r="CU75" s="110">
        <f t="shared" si="23"/>
        <v>0.6414138178747365</v>
      </c>
      <c r="CW75" s="62">
        <f>CT75+CV75</f>
        <v>0.80176727234342071</v>
      </c>
      <c r="CX75" s="65">
        <f>SUM(K75:N75)/SUM(G75:J75)*CR75</f>
        <v>0</v>
      </c>
      <c r="CZ75" s="62"/>
      <c r="DA75" s="342">
        <v>995</v>
      </c>
      <c r="DB75" s="342">
        <v>11870</v>
      </c>
    </row>
    <row r="76" spans="1:111" ht="14.25" customHeight="1">
      <c r="A76" s="402" t="s">
        <v>842</v>
      </c>
      <c r="B76" s="61" t="s">
        <v>165</v>
      </c>
      <c r="C76" s="65">
        <v>1</v>
      </c>
      <c r="D76" s="65" t="e">
        <f>AVERAGE(G76:AA76)/AVERAGE(AD76:AV76)</f>
        <v>#DIV/0!</v>
      </c>
      <c r="E76" s="65">
        <f>AVERAGE(G76:AA76)/AVERAGE(AY76:BQ76)</f>
        <v>37.553125000000001</v>
      </c>
      <c r="F76" s="65" t="e">
        <f>AVERAGE(G76:AA76)/AVERAGE(BT76:CL76)</f>
        <v>#DIV/0!</v>
      </c>
      <c r="G76" s="61">
        <v>1201.7</v>
      </c>
      <c r="AW76" s="315">
        <v>99</v>
      </c>
      <c r="AX76" s="61">
        <v>70</v>
      </c>
      <c r="AY76" s="61">
        <v>47</v>
      </c>
      <c r="AZ76" s="61">
        <v>37</v>
      </c>
      <c r="BA76" s="61">
        <v>33</v>
      </c>
      <c r="BB76" s="61">
        <v>25</v>
      </c>
      <c r="BC76" s="61" t="s">
        <v>861</v>
      </c>
      <c r="BD76" s="61">
        <v>18</v>
      </c>
      <c r="CM76" s="342">
        <v>2124</v>
      </c>
      <c r="CN76" s="342">
        <v>990</v>
      </c>
      <c r="CO76" s="63">
        <f t="shared" si="21"/>
        <v>46.610169491525426</v>
      </c>
      <c r="CP76" s="62">
        <f t="shared" si="28"/>
        <v>32.080808080808076</v>
      </c>
      <c r="CQ76" s="64"/>
      <c r="CR76" s="79">
        <f t="shared" si="26"/>
        <v>4994.6519540229892</v>
      </c>
      <c r="CS76" s="65">
        <f t="shared" si="27"/>
        <v>317.59999999999997</v>
      </c>
      <c r="CT76" s="110">
        <f t="shared" si="22"/>
        <v>6.3588014324839204</v>
      </c>
      <c r="CU76" s="110">
        <f t="shared" si="23"/>
        <v>7.9284803755152167</v>
      </c>
      <c r="CW76" s="65">
        <f>CT76+CV76</f>
        <v>6.3588014324839204</v>
      </c>
      <c r="CX76" s="62"/>
      <c r="CZ76" s="62"/>
      <c r="DA76" s="342">
        <v>870</v>
      </c>
      <c r="DB76" s="342">
        <v>3616</v>
      </c>
    </row>
    <row r="77" spans="1:111" ht="14.25" customHeight="1">
      <c r="A77" s="420" t="s">
        <v>27</v>
      </c>
      <c r="B77" s="76" t="s">
        <v>268</v>
      </c>
      <c r="C77" s="65">
        <v>1</v>
      </c>
      <c r="D77" s="65">
        <f>AVERAGE(G77:AA77)/AVERAGE(AD77:AV77)</f>
        <v>0.16958908102731077</v>
      </c>
      <c r="E77" s="65">
        <f>AVERAGE(G77:AA77)/AVERAGE(AY77:BQ77)</f>
        <v>1.6511332796102303</v>
      </c>
      <c r="F77" s="65">
        <f>AVERAGE(G77:AA77)/AVERAGE(BT77:CL77)</f>
        <v>7.8017648485103133E-2</v>
      </c>
      <c r="G77" s="76">
        <v>33.1</v>
      </c>
      <c r="H77" s="65">
        <v>8</v>
      </c>
      <c r="I77" s="65">
        <v>18.399999999999999</v>
      </c>
      <c r="J77" s="65">
        <v>16.649999999999999</v>
      </c>
      <c r="K77" s="65">
        <v>20.05</v>
      </c>
      <c r="L77" s="65">
        <v>25.95</v>
      </c>
      <c r="M77" s="65">
        <v>34.200000000000003</v>
      </c>
      <c r="N77" s="65">
        <v>37.6</v>
      </c>
      <c r="O77" s="65">
        <v>34.9</v>
      </c>
      <c r="P77" s="65">
        <v>16.55</v>
      </c>
      <c r="Q77" s="65">
        <v>18.55</v>
      </c>
      <c r="R77" s="65">
        <v>20.85</v>
      </c>
      <c r="S77" s="65">
        <v>20.7</v>
      </c>
      <c r="T77" s="65">
        <v>23.8</v>
      </c>
      <c r="U77" s="65">
        <v>23.85</v>
      </c>
      <c r="V77" s="65">
        <v>25.5</v>
      </c>
      <c r="W77" s="65">
        <v>31.95</v>
      </c>
      <c r="X77" s="65">
        <v>19.55</v>
      </c>
      <c r="Y77" s="65">
        <v>13.9</v>
      </c>
      <c r="Z77" s="65">
        <v>15.95</v>
      </c>
      <c r="AA77" s="65">
        <v>9.1</v>
      </c>
      <c r="AB77" s="82">
        <v>199.88</v>
      </c>
      <c r="AC77" s="82">
        <v>189.47</v>
      </c>
      <c r="AD77" s="84">
        <v>206.07</v>
      </c>
      <c r="AE77" s="84">
        <v>198.32</v>
      </c>
      <c r="AF77" s="84">
        <v>162.01</v>
      </c>
      <c r="AG77" s="84">
        <v>150.84</v>
      </c>
      <c r="AH77" s="84">
        <v>158.22</v>
      </c>
      <c r="AI77" s="84">
        <v>141.59</v>
      </c>
      <c r="AJ77" s="84">
        <v>138.24</v>
      </c>
      <c r="AK77" s="84">
        <v>122.77</v>
      </c>
      <c r="AL77" s="84">
        <v>142.94999999999999</v>
      </c>
      <c r="AM77" s="84">
        <v>134.05000000000001</v>
      </c>
      <c r="AN77" s="84">
        <v>137.76</v>
      </c>
      <c r="AO77" s="84">
        <v>116.72</v>
      </c>
      <c r="AP77" s="84">
        <v>119.77</v>
      </c>
      <c r="AQ77" s="84">
        <v>108.72</v>
      </c>
      <c r="AR77" s="84">
        <v>108.92</v>
      </c>
      <c r="AS77" s="84">
        <v>99.28</v>
      </c>
      <c r="AT77" s="84">
        <v>82.59</v>
      </c>
      <c r="AU77" s="84">
        <v>87.4</v>
      </c>
      <c r="AV77" s="84">
        <v>86.44</v>
      </c>
      <c r="AW77" s="314">
        <v>12</v>
      </c>
      <c r="AX77" s="144">
        <v>22</v>
      </c>
      <c r="AY77" s="144">
        <v>33.659999999999997</v>
      </c>
      <c r="AZ77" s="144">
        <v>30</v>
      </c>
      <c r="BA77" s="144">
        <v>27</v>
      </c>
      <c r="BB77" s="144">
        <v>24</v>
      </c>
      <c r="BC77" s="144">
        <v>27</v>
      </c>
      <c r="BD77" s="144">
        <v>18.84</v>
      </c>
      <c r="BE77" s="90">
        <v>9.48</v>
      </c>
      <c r="BF77" s="94">
        <v>9.48</v>
      </c>
      <c r="BG77" s="103">
        <v>9.91</v>
      </c>
      <c r="BH77" s="86">
        <v>4.54</v>
      </c>
      <c r="BI77" s="86">
        <v>8.41</v>
      </c>
      <c r="BJ77" s="84">
        <v>9.2200000000000006</v>
      </c>
      <c r="BK77" s="86">
        <v>9.74</v>
      </c>
      <c r="BL77" s="84">
        <v>7.29</v>
      </c>
      <c r="BM77" s="84">
        <v>2.36</v>
      </c>
      <c r="BN77" s="86">
        <v>4.1100000000000003</v>
      </c>
      <c r="BO77" s="84">
        <v>9.67</v>
      </c>
      <c r="BP77" s="84">
        <v>10.38</v>
      </c>
      <c r="BQ77" s="84">
        <v>1.96</v>
      </c>
      <c r="BR77" s="87">
        <v>277.45999999999998</v>
      </c>
      <c r="BS77" s="87">
        <v>277.45999999999998</v>
      </c>
      <c r="BT77" s="87">
        <v>250.56</v>
      </c>
      <c r="BU77" s="87">
        <v>250.56</v>
      </c>
      <c r="BV77" s="87">
        <v>250.56</v>
      </c>
      <c r="BW77" s="87">
        <v>250.56</v>
      </c>
      <c r="BX77" s="87">
        <v>224.34</v>
      </c>
      <c r="BY77" s="87">
        <v>224.34</v>
      </c>
      <c r="BZ77" s="87">
        <v>224.34</v>
      </c>
      <c r="CA77" s="87">
        <v>224.34</v>
      </c>
      <c r="CB77" s="87">
        <v>328.85</v>
      </c>
      <c r="CC77" s="87">
        <v>328.85</v>
      </c>
      <c r="CD77" s="87">
        <v>328.85</v>
      </c>
      <c r="CE77" s="87">
        <v>328.85</v>
      </c>
      <c r="CF77" s="87">
        <v>313.08</v>
      </c>
      <c r="CG77" s="87">
        <v>313.08</v>
      </c>
      <c r="CH77" s="87">
        <v>313.08</v>
      </c>
      <c r="CI77" s="87">
        <v>313.08</v>
      </c>
      <c r="CJ77" s="87">
        <v>324.26</v>
      </c>
      <c r="CK77" s="87">
        <v>324.26</v>
      </c>
      <c r="CL77" s="87">
        <v>324.26</v>
      </c>
      <c r="CM77" s="345">
        <v>1070</v>
      </c>
      <c r="CN77" s="345">
        <v>19</v>
      </c>
      <c r="CO77" s="63">
        <f t="shared" si="21"/>
        <v>1.7757009345794394</v>
      </c>
      <c r="CP77" s="62">
        <f t="shared" si="28"/>
        <v>403.13684210526316</v>
      </c>
      <c r="CQ77" s="114">
        <v>0</v>
      </c>
      <c r="CR77" s="79">
        <f t="shared" si="26"/>
        <v>1489.9678445229683</v>
      </c>
      <c r="CS77" s="65">
        <f t="shared" si="27"/>
        <v>76.596000000000004</v>
      </c>
      <c r="CT77" s="110">
        <f t="shared" si="22"/>
        <v>5.1407820834229589</v>
      </c>
      <c r="CU77" s="110">
        <f t="shared" si="23"/>
        <v>3.2215460337916078</v>
      </c>
      <c r="CW77" s="65">
        <f>CT77+CV77</f>
        <v>5.1407820834229589</v>
      </c>
      <c r="CX77" s="65">
        <f>SUM(K77:N77)/SUM(G77:J77)*CR77</f>
        <v>2304.9010122758459</v>
      </c>
      <c r="CY77" s="65">
        <f>SUM(BC77:BF77)</f>
        <v>64.800000000000011</v>
      </c>
      <c r="CZ77" s="65">
        <f>CY77/CX77%</f>
        <v>2.8114005614504403</v>
      </c>
      <c r="DA77" s="365">
        <v>14.15</v>
      </c>
      <c r="DB77" s="381">
        <v>636.95000000000005</v>
      </c>
      <c r="DC77" s="61" t="s">
        <v>401</v>
      </c>
      <c r="DD77" s="81">
        <f>CR77/CS77</f>
        <v>19.452293129183879</v>
      </c>
      <c r="DE77" s="65">
        <v>704.92431284026031</v>
      </c>
    </row>
    <row r="78" spans="1:111" ht="14.25" customHeight="1">
      <c r="A78" s="427" t="s">
        <v>545</v>
      </c>
      <c r="B78" s="61" t="s">
        <v>44</v>
      </c>
      <c r="C78" s="65">
        <v>1</v>
      </c>
      <c r="D78" s="65" t="e">
        <f>AVERAGE(G78:AA78)/AVERAGE(AC78:AV78)</f>
        <v>#DIV/0!</v>
      </c>
      <c r="E78" s="65">
        <f>AVERAGE(G78:AA78)/AVERAGE(AX78:BQ78)</f>
        <v>132.42935635792779</v>
      </c>
      <c r="F78" s="65" t="e">
        <f>AVERAGE(G78:AA78)/AVERAGE(BS78:CL78)</f>
        <v>#DIV/0!</v>
      </c>
      <c r="G78" s="61">
        <v>1687.15</v>
      </c>
      <c r="AW78" s="325">
        <v>20</v>
      </c>
      <c r="AX78" s="229">
        <v>13</v>
      </c>
      <c r="AY78" s="229">
        <v>19</v>
      </c>
      <c r="AZ78" s="229">
        <v>8.7100000000000009</v>
      </c>
      <c r="BA78" s="229">
        <v>18</v>
      </c>
      <c r="BB78" s="61">
        <v>8.86</v>
      </c>
      <c r="BC78" s="61">
        <v>8.8699999999999992</v>
      </c>
      <c r="CM78" s="366">
        <v>346</v>
      </c>
      <c r="CN78" s="342">
        <v>29</v>
      </c>
      <c r="CO78" s="170">
        <f t="shared" si="21"/>
        <v>8.3815028901734099</v>
      </c>
      <c r="CP78" s="62">
        <f t="shared" si="28"/>
        <v>237.04137931034487</v>
      </c>
      <c r="CQ78" s="64"/>
      <c r="CR78" s="79">
        <f t="shared" si="26"/>
        <v>5189.517491749175</v>
      </c>
      <c r="CS78" s="65">
        <f t="shared" si="27"/>
        <v>68.742000000000004</v>
      </c>
      <c r="CT78" s="110">
        <f t="shared" si="22"/>
        <v>1.3246318199966192</v>
      </c>
      <c r="CU78" s="110">
        <f t="shared" si="23"/>
        <v>1.5415691367683444</v>
      </c>
      <c r="CX78" s="62"/>
      <c r="CZ78" s="62"/>
      <c r="DA78" s="342">
        <v>909</v>
      </c>
      <c r="DB78" s="342">
        <v>2796</v>
      </c>
    </row>
    <row r="79" spans="1:111" ht="14.25" customHeight="1">
      <c r="A79" s="400" t="s">
        <v>594</v>
      </c>
      <c r="B79" s="61" t="s">
        <v>165</v>
      </c>
      <c r="C79" s="65">
        <v>1</v>
      </c>
      <c r="D79" s="65" t="e">
        <f>AVERAGE(G79:AA79)/AVERAGE(AC79:AV79)</f>
        <v>#DIV/0!</v>
      </c>
      <c r="E79" s="65">
        <f>AVERAGE(G79:AA79)/AVERAGE(AX79:BQ79)</f>
        <v>103.15287517531556</v>
      </c>
      <c r="F79" s="65" t="e">
        <f>AVERAGE(G79:AA79)/AVERAGE(BS79:CL79)</f>
        <v>#DIV/0!</v>
      </c>
      <c r="G79" s="61">
        <v>612.9</v>
      </c>
      <c r="AW79" s="330">
        <v>2.2000000000000002</v>
      </c>
      <c r="AX79" s="237">
        <v>10.3</v>
      </c>
      <c r="AY79" s="237">
        <v>10</v>
      </c>
      <c r="AZ79" s="237">
        <v>5.3</v>
      </c>
      <c r="BA79" s="238">
        <v>3.15</v>
      </c>
      <c r="BB79" s="61">
        <v>10.199999999999999</v>
      </c>
      <c r="BC79" s="89">
        <v>-3.3</v>
      </c>
      <c r="BD79" s="89"/>
      <c r="BE79" s="89"/>
      <c r="BF79" s="89"/>
      <c r="BM79" s="89"/>
      <c r="CM79" s="342">
        <v>773</v>
      </c>
      <c r="CN79" s="342">
        <v>8</v>
      </c>
      <c r="CO79" s="170">
        <f t="shared" si="21"/>
        <v>1.0349288486416559</v>
      </c>
      <c r="CP79" s="62">
        <f t="shared" si="28"/>
        <v>297.75</v>
      </c>
      <c r="CQ79" s="64"/>
      <c r="CR79" s="79">
        <f t="shared" si="26"/>
        <v>1866.736537348002</v>
      </c>
      <c r="CS79" s="65">
        <f t="shared" si="27"/>
        <v>23.82</v>
      </c>
      <c r="CT79" s="110">
        <f t="shared" si="22"/>
        <v>1.2760236660841342</v>
      </c>
      <c r="CU79" s="110">
        <f t="shared" si="23"/>
        <v>0.47141092617717811</v>
      </c>
      <c r="CX79" s="62"/>
      <c r="CZ79" s="62"/>
      <c r="DA79" s="342">
        <v>1727</v>
      </c>
      <c r="DB79" s="342">
        <v>5260</v>
      </c>
    </row>
    <row r="80" spans="1:111" ht="14.25" customHeight="1">
      <c r="A80" s="393" t="s">
        <v>723</v>
      </c>
      <c r="B80" s="61" t="s">
        <v>44</v>
      </c>
      <c r="G80" s="61">
        <v>382.55</v>
      </c>
      <c r="AW80" s="331">
        <v>57</v>
      </c>
      <c r="AX80" s="255">
        <v>48</v>
      </c>
      <c r="AY80" s="255">
        <v>37</v>
      </c>
      <c r="AZ80" s="255">
        <v>22</v>
      </c>
      <c r="BA80" s="255">
        <v>53</v>
      </c>
      <c r="BB80" s="255">
        <v>35</v>
      </c>
      <c r="BC80" s="255">
        <v>29</v>
      </c>
      <c r="BD80" s="255">
        <v>9</v>
      </c>
      <c r="BE80" s="255">
        <v>41</v>
      </c>
      <c r="BF80" s="255">
        <v>24</v>
      </c>
      <c r="BG80" s="255">
        <v>4</v>
      </c>
      <c r="BH80" s="255">
        <v>3</v>
      </c>
      <c r="BI80" s="255">
        <v>63</v>
      </c>
      <c r="BJ80" s="61">
        <v>18</v>
      </c>
      <c r="BK80" s="61">
        <v>18</v>
      </c>
      <c r="CM80" s="342">
        <v>921</v>
      </c>
      <c r="CN80" s="342">
        <v>20</v>
      </c>
      <c r="CO80" s="170">
        <f t="shared" si="21"/>
        <v>2.1715526601520083</v>
      </c>
      <c r="CP80" s="62">
        <f t="shared" si="28"/>
        <v>990.99999999999989</v>
      </c>
      <c r="CQ80" s="76">
        <v>0</v>
      </c>
      <c r="CR80" s="79">
        <f t="shared" si="26"/>
        <v>2652.7752941176473</v>
      </c>
      <c r="CS80" s="65">
        <f t="shared" si="27"/>
        <v>198.2</v>
      </c>
      <c r="CT80" s="110">
        <f t="shared" si="22"/>
        <v>7.471420607674359</v>
      </c>
      <c r="CU80" s="110">
        <f t="shared" si="23"/>
        <v>8.5947724447515341</v>
      </c>
      <c r="CX80" s="62"/>
      <c r="CZ80" s="62"/>
      <c r="DA80" s="342">
        <v>595</v>
      </c>
      <c r="DB80" s="342">
        <v>4126</v>
      </c>
    </row>
    <row r="81" spans="1:111" ht="14.25" customHeight="1">
      <c r="A81" s="395" t="s">
        <v>931</v>
      </c>
      <c r="B81" s="61" t="s">
        <v>44</v>
      </c>
      <c r="C81" s="65">
        <v>10</v>
      </c>
      <c r="D81" s="65" t="e">
        <f>AVERAGE(G81:AA81)/AVERAGE(AC81:AV81)</f>
        <v>#DIV/0!</v>
      </c>
      <c r="E81" s="65">
        <f>AVERAGE(G81:AA81)/AVERAGE(AY81:BQ81)</f>
        <v>8.5783118196419011E-2</v>
      </c>
      <c r="F81" s="65" t="e">
        <f>AVERAGE(G81:AA81)/AVERAGE(BS81:CL81)</f>
        <v>#DIV/0!</v>
      </c>
      <c r="G81" s="61">
        <v>131.1</v>
      </c>
      <c r="AW81" s="390">
        <v>1815</v>
      </c>
      <c r="AX81" s="389">
        <v>2050</v>
      </c>
      <c r="AY81" s="389">
        <v>2326</v>
      </c>
      <c r="AZ81" s="389">
        <v>3186</v>
      </c>
      <c r="BA81" s="388">
        <v>2836</v>
      </c>
      <c r="BB81" s="387">
        <v>2158</v>
      </c>
      <c r="BC81" s="387">
        <v>752</v>
      </c>
      <c r="BD81" s="389">
        <v>531</v>
      </c>
      <c r="BE81" s="387">
        <v>315</v>
      </c>
      <c r="BF81" s="391">
        <v>1394</v>
      </c>
      <c r="BG81" s="389">
        <v>692</v>
      </c>
      <c r="BH81" s="61">
        <v>1172</v>
      </c>
      <c r="BI81" s="61">
        <v>1449</v>
      </c>
      <c r="CM81" s="342">
        <v>44692</v>
      </c>
      <c r="CN81" s="342">
        <v>3491</v>
      </c>
      <c r="CO81" s="170">
        <f t="shared" si="21"/>
        <v>7.8112413854828606</v>
      </c>
      <c r="CP81" s="62">
        <f t="shared" si="28"/>
        <v>232.67831566886281</v>
      </c>
      <c r="CQ81" s="64"/>
      <c r="CR81" s="79">
        <f t="shared" si="26"/>
        <v>38336.571428571428</v>
      </c>
      <c r="CS81" s="65">
        <f t="shared" si="27"/>
        <v>8122.8</v>
      </c>
      <c r="CT81" s="110">
        <f t="shared" si="22"/>
        <v>21.188123239279168</v>
      </c>
      <c r="CU81" s="110">
        <f t="shared" si="23"/>
        <v>18.937530742744713</v>
      </c>
      <c r="CW81" s="62">
        <f t="shared" ref="CW81:CW91" si="29">CT81+CV81</f>
        <v>21.188123239279168</v>
      </c>
      <c r="CX81" s="65">
        <f t="shared" ref="CX81:CX91" si="30">SUM(K81:N81)/SUM(G81:J81)*CR81</f>
        <v>0</v>
      </c>
      <c r="CZ81" s="62"/>
      <c r="DA81" s="342">
        <v>161</v>
      </c>
      <c r="DB81" s="342">
        <v>47080</v>
      </c>
    </row>
    <row r="82" spans="1:111" ht="14.25" customHeight="1">
      <c r="A82" s="392" t="s">
        <v>206</v>
      </c>
      <c r="B82" s="76" t="s">
        <v>165</v>
      </c>
      <c r="C82" s="65">
        <v>1</v>
      </c>
      <c r="D82" s="65">
        <f>AVERAGE(G82:AA82)/AVERAGE(AD82:AV82)</f>
        <v>3.3174666534611066</v>
      </c>
      <c r="E82" s="65">
        <f>AVERAGE(G82:AA82)/AVERAGE(AX82:BQ82)</f>
        <v>30.07945125208969</v>
      </c>
      <c r="F82" s="65">
        <f>AVERAGE(G82:AA82)/AVERAGE(BT82:CL82)</f>
        <v>1.8371660373009964</v>
      </c>
      <c r="G82" s="61">
        <v>261.75</v>
      </c>
      <c r="H82" s="76">
        <v>40</v>
      </c>
      <c r="I82" s="76">
        <v>63.25</v>
      </c>
      <c r="J82" s="65">
        <v>66.599999999999994</v>
      </c>
      <c r="K82" s="65">
        <v>58.95</v>
      </c>
      <c r="L82" s="65">
        <v>64.3</v>
      </c>
      <c r="M82" s="65">
        <v>72.2</v>
      </c>
      <c r="N82" s="65">
        <v>87.35</v>
      </c>
      <c r="O82" s="65">
        <v>138.05000000000001</v>
      </c>
      <c r="P82" s="65">
        <v>130.25</v>
      </c>
      <c r="Q82" s="65">
        <v>81.900000000000006</v>
      </c>
      <c r="R82" s="65">
        <v>80</v>
      </c>
      <c r="S82" s="65">
        <v>64.349999999999994</v>
      </c>
      <c r="T82" s="65">
        <v>66.400000000000006</v>
      </c>
      <c r="U82" s="65">
        <v>69.099999999999994</v>
      </c>
      <c r="V82" s="65">
        <v>68.45</v>
      </c>
      <c r="W82" s="65">
        <v>103.8</v>
      </c>
      <c r="X82" s="65">
        <v>74.099999999999994</v>
      </c>
      <c r="Y82" s="65">
        <v>49.2</v>
      </c>
      <c r="Z82" s="65">
        <v>48.8</v>
      </c>
      <c r="AA82" s="65">
        <v>56.5</v>
      </c>
      <c r="AB82" s="82">
        <v>30.77</v>
      </c>
      <c r="AC82" s="83">
        <v>29.67</v>
      </c>
      <c r="AD82" s="84">
        <v>29.29</v>
      </c>
      <c r="AE82" s="84">
        <v>26.43</v>
      </c>
      <c r="AF82" s="84">
        <v>30.65</v>
      </c>
      <c r="AG82" s="84">
        <v>30.29</v>
      </c>
      <c r="AH82" s="84">
        <v>28.11</v>
      </c>
      <c r="AI82" s="84">
        <v>25.2</v>
      </c>
      <c r="AJ82" s="84">
        <v>27.91</v>
      </c>
      <c r="AK82" s="84">
        <v>27</v>
      </c>
      <c r="AL82" s="86">
        <v>24.29</v>
      </c>
      <c r="AM82" s="84">
        <v>23.79</v>
      </c>
      <c r="AN82" s="84">
        <v>24.51</v>
      </c>
      <c r="AO82" s="84">
        <v>22</v>
      </c>
      <c r="AP82" s="84">
        <v>20.81</v>
      </c>
      <c r="AQ82" s="84">
        <v>22.55</v>
      </c>
      <c r="AR82" s="95">
        <v>23.86</v>
      </c>
      <c r="AS82" s="84">
        <v>21.99</v>
      </c>
      <c r="AT82" s="84">
        <v>23.43</v>
      </c>
      <c r="AU82" s="84">
        <v>21.97</v>
      </c>
      <c r="AV82" s="84">
        <v>21.91</v>
      </c>
      <c r="AW82" s="332">
        <v>3.22</v>
      </c>
      <c r="AX82" s="103">
        <v>4.9800000000000004</v>
      </c>
      <c r="AY82" s="103">
        <v>5.59</v>
      </c>
      <c r="AZ82" s="103">
        <v>5.59</v>
      </c>
      <c r="BA82" s="103">
        <v>9.89</v>
      </c>
      <c r="BB82" s="103">
        <v>2.17</v>
      </c>
      <c r="BC82" s="103">
        <v>2.35</v>
      </c>
      <c r="BD82" s="103">
        <v>3.81</v>
      </c>
      <c r="BE82" s="103">
        <v>1.1299999999999999</v>
      </c>
      <c r="BF82" s="103">
        <v>-0.18</v>
      </c>
      <c r="BG82" s="86">
        <v>2.21</v>
      </c>
      <c r="BH82" s="86">
        <v>2.4500000000000002</v>
      </c>
      <c r="BI82" s="86">
        <v>3.71</v>
      </c>
      <c r="BJ82" s="86">
        <v>1.97</v>
      </c>
      <c r="BK82" s="86">
        <v>3.01</v>
      </c>
      <c r="BL82" s="86">
        <v>2.66</v>
      </c>
      <c r="BM82" s="86">
        <v>1.72</v>
      </c>
      <c r="BN82" s="86">
        <v>0.23</v>
      </c>
      <c r="BO82" s="92">
        <v>0.12</v>
      </c>
      <c r="BP82" s="84">
        <v>1.17</v>
      </c>
      <c r="BQ82" s="86">
        <v>0.68</v>
      </c>
      <c r="BR82" s="87">
        <v>61.19</v>
      </c>
      <c r="BS82" s="87">
        <v>61.19</v>
      </c>
      <c r="BT82" s="87">
        <v>51.86</v>
      </c>
      <c r="BU82" s="87">
        <v>51.86</v>
      </c>
      <c r="BV82" s="87">
        <v>51.86</v>
      </c>
      <c r="BW82" s="87">
        <v>51.86</v>
      </c>
      <c r="BX82" s="87">
        <v>47.76</v>
      </c>
      <c r="BY82" s="87">
        <v>47.76</v>
      </c>
      <c r="BZ82" s="87">
        <v>47.76</v>
      </c>
      <c r="CA82" s="87">
        <v>47.76</v>
      </c>
      <c r="CB82" s="100">
        <v>43.07</v>
      </c>
      <c r="CC82" s="100">
        <v>43.07</v>
      </c>
      <c r="CD82" s="100">
        <v>43.07</v>
      </c>
      <c r="CE82" s="100">
        <v>43.07</v>
      </c>
      <c r="CF82" s="87">
        <v>42.31</v>
      </c>
      <c r="CG82" s="87">
        <v>42.31</v>
      </c>
      <c r="CH82" s="87">
        <v>42.31</v>
      </c>
      <c r="CI82" s="87">
        <v>42.31</v>
      </c>
      <c r="CJ82" s="87">
        <v>39.840000000000003</v>
      </c>
      <c r="CK82" s="87">
        <v>39.840000000000003</v>
      </c>
      <c r="CL82" s="87">
        <v>39.840000000000003</v>
      </c>
      <c r="CM82" s="354">
        <v>229</v>
      </c>
      <c r="CN82" s="372">
        <v>19</v>
      </c>
      <c r="CO82" s="170">
        <f t="shared" ref="CO82:CO100" si="31">CN82/CM82%</f>
        <v>8.2969432314410483</v>
      </c>
      <c r="CP82" s="62">
        <f t="shared" si="28"/>
        <v>88.884210526315783</v>
      </c>
      <c r="CQ82" s="76">
        <v>0</v>
      </c>
      <c r="CR82" s="79">
        <f t="shared" si="26"/>
        <v>419.3917483044462</v>
      </c>
      <c r="CS82" s="65">
        <f t="shared" ref="CS82:CS99" si="32">((0.5*AW82)+(0.3*AX82)+(0.15*AY82)+(0.05*AZ82))*4</f>
        <v>16.887999999999998</v>
      </c>
      <c r="CT82" s="110">
        <f t="shared" ref="CT82:CT113" si="33">CS82/CR82%</f>
        <v>4.0267840433857574</v>
      </c>
      <c r="CU82" s="110">
        <f t="shared" ref="CU82:CU116" si="34">(4*AW82)/CR82%</f>
        <v>3.0711143106826482</v>
      </c>
      <c r="CV82" s="87">
        <v>2.4</v>
      </c>
      <c r="CW82" s="65">
        <f t="shared" si="29"/>
        <v>6.4267840433857568</v>
      </c>
      <c r="CX82" s="62">
        <f t="shared" si="30"/>
        <v>274.80070996408097</v>
      </c>
      <c r="CY82" s="65">
        <f>SUM(BB82:BE82)</f>
        <v>9.4600000000000009</v>
      </c>
      <c r="CZ82" s="62">
        <f>CY82/CX82%</f>
        <v>3.4424947450960048</v>
      </c>
      <c r="DA82" s="342">
        <v>66.349999999999994</v>
      </c>
      <c r="DB82" s="370">
        <v>106.31</v>
      </c>
      <c r="DC82" s="61" t="s">
        <v>401</v>
      </c>
      <c r="DD82" s="81">
        <f>CR82/CS82</f>
        <v>24.833713187141534</v>
      </c>
      <c r="DE82" s="65">
        <v>704.92431284026031</v>
      </c>
    </row>
    <row r="83" spans="1:111" ht="14.25" customHeight="1">
      <c r="A83" s="400" t="s">
        <v>469</v>
      </c>
      <c r="B83" s="61" t="s">
        <v>44</v>
      </c>
      <c r="C83" s="65">
        <v>10</v>
      </c>
      <c r="D83" s="65" t="e">
        <f t="shared" ref="D83:D89" si="35">AVERAGE(G83:AA83)/AVERAGE(AC83:AV83)</f>
        <v>#DIV/0!</v>
      </c>
      <c r="E83" s="65">
        <f>AVERAGE(G83:AA83)/AVERAGE(AX83:BQ83)</f>
        <v>43.870805442534021</v>
      </c>
      <c r="F83" s="65" t="e">
        <f t="shared" ref="F83:F89" si="36">AVERAGE(G83:AA83)/AVERAGE(BS83:CL83)</f>
        <v>#DIV/0!</v>
      </c>
      <c r="G83" s="61">
        <v>771.35</v>
      </c>
      <c r="AW83" s="305">
        <v>4.33</v>
      </c>
      <c r="AX83" s="187">
        <v>10.57</v>
      </c>
      <c r="AY83" s="187">
        <v>13</v>
      </c>
      <c r="AZ83" s="187">
        <v>12</v>
      </c>
      <c r="BA83" s="187">
        <v>28</v>
      </c>
      <c r="BB83" s="89">
        <v>29</v>
      </c>
      <c r="BC83" s="89">
        <v>21</v>
      </c>
      <c r="BD83" s="89">
        <v>1</v>
      </c>
      <c r="BE83" s="89">
        <v>17</v>
      </c>
      <c r="BF83" s="89">
        <v>16</v>
      </c>
      <c r="BG83" s="89">
        <v>17</v>
      </c>
      <c r="BH83" s="61">
        <v>23</v>
      </c>
      <c r="BI83" s="61">
        <v>20</v>
      </c>
      <c r="BJ83" s="61">
        <v>21</v>
      </c>
      <c r="BN83" s="89"/>
      <c r="BO83" s="89"/>
      <c r="BP83" s="89"/>
      <c r="CM83" s="356">
        <v>831</v>
      </c>
      <c r="CN83" s="355">
        <v>188</v>
      </c>
      <c r="CO83" s="170">
        <f t="shared" si="31"/>
        <v>22.623345367027675</v>
      </c>
      <c r="CP83" s="62">
        <f t="shared" si="28"/>
        <v>16.778723404255324</v>
      </c>
      <c r="CQ83" s="61">
        <v>0</v>
      </c>
      <c r="CR83" s="79">
        <f t="shared" si="26"/>
        <v>770.49103563474387</v>
      </c>
      <c r="CS83" s="65">
        <f t="shared" si="32"/>
        <v>31.544000000000004</v>
      </c>
      <c r="CT83" s="77">
        <f t="shared" si="33"/>
        <v>4.0940125895187753</v>
      </c>
      <c r="CU83" s="110">
        <f t="shared" si="34"/>
        <v>2.2479171332255001</v>
      </c>
      <c r="CW83" s="65">
        <f t="shared" si="29"/>
        <v>4.0940125895187753</v>
      </c>
      <c r="CX83" s="65">
        <f t="shared" si="30"/>
        <v>0</v>
      </c>
      <c r="CY83" s="65">
        <f>SUM(BB83:BE83)</f>
        <v>68</v>
      </c>
      <c r="CZ83" s="65" t="e">
        <f>CY83/CX83%</f>
        <v>#DIV/0!</v>
      </c>
      <c r="DA83" s="342">
        <v>898</v>
      </c>
      <c r="DB83" s="380">
        <v>897</v>
      </c>
      <c r="DD83" s="81">
        <f>CR83/CS83</f>
        <v>24.425914140081911</v>
      </c>
    </row>
    <row r="84" spans="1:111" ht="14.25" customHeight="1">
      <c r="A84" s="386" t="s">
        <v>936</v>
      </c>
      <c r="B84" s="61" t="s">
        <v>44</v>
      </c>
      <c r="C84" s="65">
        <v>6</v>
      </c>
      <c r="D84" s="65" t="e">
        <f t="shared" si="35"/>
        <v>#DIV/0!</v>
      </c>
      <c r="E84" s="65">
        <f>AVERAGE(G84:AA84)/AVERAGE(AZ84:BQ84)</f>
        <v>918.41546804998825</v>
      </c>
      <c r="F84" s="65" t="e">
        <f t="shared" si="36"/>
        <v>#DIV/0!</v>
      </c>
      <c r="G84" s="61">
        <v>7790</v>
      </c>
      <c r="AW84" s="315">
        <v>13</v>
      </c>
      <c r="AX84" s="61">
        <v>7.18</v>
      </c>
      <c r="AY84" s="61">
        <v>14.28</v>
      </c>
      <c r="AZ84" s="61">
        <v>2.93</v>
      </c>
      <c r="BA84" s="61">
        <v>11.01</v>
      </c>
      <c r="BB84" s="61">
        <v>11.54</v>
      </c>
      <c r="BC84" s="61">
        <v>6.11</v>
      </c>
      <c r="BD84" s="61">
        <v>8.6300000000000008</v>
      </c>
      <c r="BE84" s="61">
        <v>6.37</v>
      </c>
      <c r="BF84" s="61">
        <v>11.02</v>
      </c>
      <c r="BG84" s="61">
        <v>7.48</v>
      </c>
      <c r="BH84" s="61">
        <v>10.039999999999999</v>
      </c>
      <c r="BI84" s="61">
        <v>9.69</v>
      </c>
      <c r="CM84" s="342">
        <v>367</v>
      </c>
      <c r="CN84" s="342">
        <v>0.1</v>
      </c>
      <c r="CO84" s="170">
        <f t="shared" si="31"/>
        <v>2.7247956403269758E-2</v>
      </c>
      <c r="CP84" s="62">
        <f t="shared" si="28"/>
        <v>43769.999999999993</v>
      </c>
      <c r="CQ84" s="64"/>
      <c r="CR84" s="79">
        <f t="shared" si="26"/>
        <v>2400.7224504375781</v>
      </c>
      <c r="CS84" s="65">
        <f t="shared" si="32"/>
        <v>43.769999999999996</v>
      </c>
      <c r="CT84" s="110">
        <f t="shared" si="33"/>
        <v>1.8232011781296111</v>
      </c>
      <c r="CU84" s="110">
        <f t="shared" si="34"/>
        <v>2.1660146507365727</v>
      </c>
      <c r="CW84" s="62">
        <f t="shared" si="29"/>
        <v>1.8232011781296111</v>
      </c>
      <c r="CX84" s="65">
        <f t="shared" si="30"/>
        <v>0</v>
      </c>
      <c r="CZ84" s="62"/>
      <c r="DA84" s="342">
        <v>11198</v>
      </c>
      <c r="DB84" s="342">
        <v>3451</v>
      </c>
    </row>
    <row r="85" spans="1:111" ht="14.25" customHeight="1">
      <c r="A85" s="386" t="s">
        <v>881</v>
      </c>
      <c r="B85" s="61" t="s">
        <v>268</v>
      </c>
      <c r="C85" s="65">
        <v>2</v>
      </c>
      <c r="D85" s="65" t="e">
        <f t="shared" si="35"/>
        <v>#DIV/0!</v>
      </c>
      <c r="E85" s="65">
        <f>AVERAGE(G85:AA85)/AVERAGE(AZ85:BQ85)</f>
        <v>-2.6941972920696324</v>
      </c>
      <c r="F85" s="65" t="e">
        <f t="shared" si="36"/>
        <v>#DIV/0!</v>
      </c>
      <c r="G85" s="61">
        <v>464.3</v>
      </c>
      <c r="AW85" s="315">
        <v>-220</v>
      </c>
      <c r="AX85" s="61">
        <v>-298</v>
      </c>
      <c r="AY85" s="61">
        <v>-204</v>
      </c>
      <c r="AZ85" s="61">
        <v>-64</v>
      </c>
      <c r="BA85" s="61">
        <v>-110</v>
      </c>
      <c r="BB85" s="61">
        <v>-59</v>
      </c>
      <c r="BC85" s="61">
        <v>-347</v>
      </c>
      <c r="BD85" s="61">
        <v>-304</v>
      </c>
      <c r="BE85" s="61">
        <v>-150</v>
      </c>
      <c r="CM85" s="342">
        <v>2331</v>
      </c>
      <c r="CN85" s="342">
        <v>109</v>
      </c>
      <c r="CO85" s="170">
        <f t="shared" si="31"/>
        <v>4.6761046761046767</v>
      </c>
      <c r="CP85" s="62">
        <f t="shared" si="28"/>
        <v>-855.77981651376126</v>
      </c>
      <c r="CQ85" s="64"/>
      <c r="CR85" s="79">
        <f t="shared" si="26"/>
        <v>20878.208682634729</v>
      </c>
      <c r="CS85" s="65">
        <f t="shared" si="32"/>
        <v>-932.79999999999984</v>
      </c>
      <c r="CT85" s="110">
        <f t="shared" si="33"/>
        <v>-4.4678162488903954</v>
      </c>
      <c r="CU85" s="110">
        <f t="shared" si="34"/>
        <v>-4.2149209895192419</v>
      </c>
      <c r="CW85" s="62">
        <f t="shared" si="29"/>
        <v>-4.4678162488903954</v>
      </c>
      <c r="CX85" s="65">
        <f t="shared" si="30"/>
        <v>0</v>
      </c>
      <c r="CZ85" s="62"/>
      <c r="DA85" s="342">
        <v>668</v>
      </c>
      <c r="DB85" s="342">
        <v>30038</v>
      </c>
    </row>
    <row r="86" spans="1:111" ht="14.25" customHeight="1">
      <c r="A86" s="401" t="s">
        <v>29</v>
      </c>
      <c r="B86" s="65" t="s">
        <v>44</v>
      </c>
      <c r="C86" s="65">
        <v>1</v>
      </c>
      <c r="D86" s="65">
        <f t="shared" si="35"/>
        <v>0.70032154360554666</v>
      </c>
      <c r="E86" s="65">
        <f>AVERAGE(G86:AA86)/AVERAGE(AY86:BQ86)</f>
        <v>3.7275977730637968</v>
      </c>
      <c r="F86" s="65">
        <f t="shared" si="36"/>
        <v>0.3179110286184692</v>
      </c>
      <c r="G86" s="76">
        <v>2505.15</v>
      </c>
      <c r="H86" s="76">
        <v>1414.55</v>
      </c>
      <c r="I86" s="62">
        <v>1220.95</v>
      </c>
      <c r="J86" s="62">
        <v>1234.55</v>
      </c>
      <c r="K86" s="62">
        <v>1119.75</v>
      </c>
      <c r="L86" s="65">
        <v>958.85</v>
      </c>
      <c r="M86" s="62">
        <v>1123.45</v>
      </c>
      <c r="N86" s="62">
        <v>1086.2</v>
      </c>
      <c r="O86" s="65">
        <v>896.3</v>
      </c>
      <c r="P86" s="65">
        <v>781.8</v>
      </c>
      <c r="Q86" s="65">
        <v>795.85</v>
      </c>
      <c r="R86" s="65">
        <v>719.8</v>
      </c>
      <c r="S86" s="65">
        <v>673.5</v>
      </c>
      <c r="T86" s="65">
        <v>725.4</v>
      </c>
      <c r="U86" s="65">
        <v>730.8</v>
      </c>
      <c r="V86" s="65">
        <v>603.04999999999995</v>
      </c>
      <c r="W86" s="65">
        <v>566.25</v>
      </c>
      <c r="X86" s="65">
        <v>561.6</v>
      </c>
      <c r="Y86" s="65">
        <v>558.15</v>
      </c>
      <c r="Z86" s="65">
        <v>567.04999999999995</v>
      </c>
      <c r="AA86" s="65">
        <v>570.70000000000005</v>
      </c>
      <c r="AB86" s="108">
        <v>1663.44</v>
      </c>
      <c r="AC86" s="107">
        <v>1571.72</v>
      </c>
      <c r="AD86" s="107">
        <v>1779.07</v>
      </c>
      <c r="AE86" s="107">
        <v>1378.66</v>
      </c>
      <c r="AF86" s="107">
        <v>1589.72</v>
      </c>
      <c r="AG86" s="107">
        <v>1517.97</v>
      </c>
      <c r="AH86" s="107">
        <v>1608.31</v>
      </c>
      <c r="AI86" s="107">
        <v>1273.6300000000001</v>
      </c>
      <c r="AJ86" s="107">
        <v>1375.77</v>
      </c>
      <c r="AK86" s="107">
        <v>1363.83</v>
      </c>
      <c r="AL86" s="108">
        <v>1349.76</v>
      </c>
      <c r="AM86" s="107">
        <v>1132.47</v>
      </c>
      <c r="AN86" s="107">
        <v>1136.44</v>
      </c>
      <c r="AO86" s="107">
        <v>1212.54</v>
      </c>
      <c r="AP86" s="107">
        <v>1362.67</v>
      </c>
      <c r="AQ86" s="108">
        <v>1085.96</v>
      </c>
      <c r="AR86" s="107">
        <v>1168.98</v>
      </c>
      <c r="AS86" s="107">
        <v>1157.04</v>
      </c>
      <c r="AT86" s="107">
        <v>1298.3599999999999</v>
      </c>
      <c r="AU86" s="84">
        <v>962.44</v>
      </c>
      <c r="AV86" s="108">
        <v>1075.73</v>
      </c>
      <c r="AW86" s="314">
        <v>254</v>
      </c>
      <c r="AX86" s="144">
        <v>358</v>
      </c>
      <c r="AY86" s="144">
        <v>374.65</v>
      </c>
      <c r="AZ86" s="144">
        <v>220</v>
      </c>
      <c r="BA86" s="144">
        <v>306</v>
      </c>
      <c r="BB86" s="144">
        <v>444</v>
      </c>
      <c r="BC86" s="144">
        <v>355</v>
      </c>
      <c r="BD86" s="144">
        <v>15</v>
      </c>
      <c r="BE86" s="103">
        <v>156</v>
      </c>
      <c r="BF86" s="86">
        <v>344</v>
      </c>
      <c r="BG86" s="86">
        <v>287.55</v>
      </c>
      <c r="BH86" s="86">
        <v>243.2</v>
      </c>
      <c r="BI86" s="86">
        <v>224.69</v>
      </c>
      <c r="BJ86" s="86">
        <v>244.62</v>
      </c>
      <c r="BK86" s="86">
        <v>266.93</v>
      </c>
      <c r="BL86" s="86">
        <v>238.16</v>
      </c>
      <c r="BM86" s="86">
        <v>239</v>
      </c>
      <c r="BN86" s="86">
        <v>260.95</v>
      </c>
      <c r="BO86" s="86">
        <v>217.08</v>
      </c>
      <c r="BP86" s="86">
        <v>71.010000000000005</v>
      </c>
      <c r="BQ86" s="86">
        <v>204.25</v>
      </c>
      <c r="BR86" s="101">
        <v>4186.72</v>
      </c>
      <c r="BS86" s="101">
        <v>4186.72</v>
      </c>
      <c r="BT86" s="101">
        <v>3563.93</v>
      </c>
      <c r="BU86" s="101">
        <v>3563.93</v>
      </c>
      <c r="BV86" s="101">
        <v>3563.93</v>
      </c>
      <c r="BW86" s="101">
        <v>3563.93</v>
      </c>
      <c r="BX86" s="101">
        <v>3399.35</v>
      </c>
      <c r="BY86" s="101">
        <v>3399.35</v>
      </c>
      <c r="BZ86" s="101">
        <v>3399.35</v>
      </c>
      <c r="CA86" s="101">
        <v>3399.35</v>
      </c>
      <c r="CB86" s="113">
        <v>2650.59</v>
      </c>
      <c r="CC86" s="113">
        <v>2650.59</v>
      </c>
      <c r="CD86" s="113">
        <v>2650.59</v>
      </c>
      <c r="CE86" s="113">
        <v>2650.59</v>
      </c>
      <c r="CF86" s="101">
        <v>2349.4499999999998</v>
      </c>
      <c r="CG86" s="101">
        <v>2349.4499999999998</v>
      </c>
      <c r="CH86" s="101">
        <v>2349.4499999999998</v>
      </c>
      <c r="CI86" s="101">
        <v>2349.4499999999998</v>
      </c>
      <c r="CJ86" s="101">
        <v>2039.51</v>
      </c>
      <c r="CK86" s="101">
        <v>2039.51</v>
      </c>
      <c r="CL86" s="101">
        <v>2039.51</v>
      </c>
      <c r="CM86" s="353">
        <v>9516</v>
      </c>
      <c r="CN86" s="353">
        <v>416</v>
      </c>
      <c r="CO86" s="63">
        <f t="shared" si="31"/>
        <v>4.3715846994535523</v>
      </c>
      <c r="CP86" s="62">
        <f t="shared" si="28"/>
        <v>289.99759615384613</v>
      </c>
      <c r="CQ86" s="114">
        <v>0</v>
      </c>
      <c r="CR86" s="79">
        <f t="shared" si="26"/>
        <v>127284.82505869523</v>
      </c>
      <c r="CS86" s="65">
        <f t="shared" si="32"/>
        <v>1206.3899999999999</v>
      </c>
      <c r="CT86" s="80">
        <f t="shared" si="33"/>
        <v>0.94778776609363569</v>
      </c>
      <c r="CU86" s="110">
        <f t="shared" si="34"/>
        <v>0.79820984122144079</v>
      </c>
      <c r="CV86" s="65">
        <v>0.48</v>
      </c>
      <c r="CW86" s="65">
        <f t="shared" si="29"/>
        <v>1.4277877660936356</v>
      </c>
      <c r="CX86" s="65">
        <f t="shared" si="30"/>
        <v>85617.572947978086</v>
      </c>
      <c r="CY86" s="65">
        <f>SUM(BB86:BE86)</f>
        <v>970</v>
      </c>
      <c r="CZ86" s="65">
        <f t="shared" ref="CZ86:CZ91" si="37">CY86/CX86%</f>
        <v>1.1329449861763539</v>
      </c>
      <c r="DA86" s="365">
        <v>1558.9</v>
      </c>
      <c r="DB86" s="380">
        <v>79206.559999999998</v>
      </c>
      <c r="DD86" s="81">
        <f>CR86/CS86</f>
        <v>105.50885290718196</v>
      </c>
      <c r="DE86" s="65">
        <v>704.92431284026031</v>
      </c>
    </row>
    <row r="87" spans="1:111" ht="14.25" customHeight="1">
      <c r="A87" s="392" t="s">
        <v>30</v>
      </c>
      <c r="B87" s="65" t="s">
        <v>44</v>
      </c>
      <c r="C87" s="65">
        <v>1</v>
      </c>
      <c r="D87" s="65" t="e">
        <f t="shared" si="35"/>
        <v>#DIV/0!</v>
      </c>
      <c r="E87" s="65">
        <f>AVERAGE(G87:AA87)/AVERAGE(AY87:BQ87)</f>
        <v>0.79446981479643064</v>
      </c>
      <c r="F87" s="65" t="e">
        <f t="shared" si="36"/>
        <v>#DIV/0!</v>
      </c>
      <c r="G87" s="76">
        <v>63.9</v>
      </c>
      <c r="H87" s="65">
        <v>24</v>
      </c>
      <c r="I87" s="65">
        <v>30.3</v>
      </c>
      <c r="J87" s="65">
        <v>29.7</v>
      </c>
      <c r="K87" s="65">
        <v>28.05</v>
      </c>
      <c r="L87" s="65">
        <v>27.45</v>
      </c>
      <c r="M87" s="65">
        <v>38.1</v>
      </c>
      <c r="N87" s="65">
        <v>43.1</v>
      </c>
      <c r="O87" s="65">
        <v>51.8</v>
      </c>
      <c r="P87" s="65">
        <v>55.2</v>
      </c>
      <c r="Q87" s="65">
        <v>52.95</v>
      </c>
      <c r="R87" s="65">
        <v>55.4</v>
      </c>
      <c r="S87" s="65">
        <v>38.35</v>
      </c>
      <c r="T87" s="65">
        <v>26.15</v>
      </c>
      <c r="U87" s="65">
        <v>24.55</v>
      </c>
      <c r="V87" s="65">
        <v>24.45</v>
      </c>
      <c r="W87" s="65">
        <v>26.2</v>
      </c>
      <c r="X87" s="65">
        <v>30.2</v>
      </c>
      <c r="Y87" s="65">
        <v>30.45</v>
      </c>
      <c r="Z87" s="65">
        <v>32.950000000000003</v>
      </c>
      <c r="AA87" s="65">
        <v>24.9</v>
      </c>
      <c r="AB87" s="89"/>
      <c r="AC87" s="89"/>
      <c r="AV87" s="89"/>
      <c r="AW87" s="333">
        <v>49</v>
      </c>
      <c r="AX87" s="90">
        <v>-6</v>
      </c>
      <c r="AY87" s="90">
        <v>82.91</v>
      </c>
      <c r="AZ87" s="90">
        <v>40</v>
      </c>
      <c r="BA87" s="90">
        <v>-14</v>
      </c>
      <c r="BB87" s="90">
        <v>167</v>
      </c>
      <c r="BC87" s="90">
        <v>16</v>
      </c>
      <c r="BD87" s="90">
        <v>284.39</v>
      </c>
      <c r="BE87" s="116">
        <v>99.01</v>
      </c>
      <c r="BF87" s="86">
        <v>44.1</v>
      </c>
      <c r="BG87" s="92">
        <v>-1.92</v>
      </c>
      <c r="BH87" s="86">
        <v>45.16</v>
      </c>
      <c r="BI87" s="86">
        <v>-7.7</v>
      </c>
      <c r="BJ87" s="92">
        <v>93.28</v>
      </c>
      <c r="BK87" s="86">
        <v>11.07</v>
      </c>
      <c r="BL87" s="92">
        <v>-44.25</v>
      </c>
      <c r="BM87" s="86">
        <v>10.91</v>
      </c>
      <c r="BN87" s="86">
        <v>-13.91</v>
      </c>
      <c r="BO87" s="84">
        <v>14.46</v>
      </c>
      <c r="BP87" s="86">
        <v>25.11</v>
      </c>
      <c r="BQ87" s="86">
        <v>11.78</v>
      </c>
      <c r="CM87" s="373">
        <v>9521.07</v>
      </c>
      <c r="CN87" s="373">
        <v>8233.92</v>
      </c>
      <c r="CO87" s="170">
        <f t="shared" si="31"/>
        <v>86.481036270083081</v>
      </c>
      <c r="CP87" s="62">
        <f t="shared" si="28"/>
        <v>1.8040738797559361</v>
      </c>
      <c r="CQ87" s="76">
        <v>0</v>
      </c>
      <c r="CR87" s="79">
        <f t="shared" si="26"/>
        <v>1146.3266095890413</v>
      </c>
      <c r="CS87" s="65">
        <f t="shared" si="32"/>
        <v>148.54599999999999</v>
      </c>
      <c r="CT87" s="80">
        <f t="shared" si="33"/>
        <v>12.958435995239943</v>
      </c>
      <c r="CU87" s="110">
        <f t="shared" si="34"/>
        <v>17.098093890559351</v>
      </c>
      <c r="CV87" s="83">
        <v>4.2699999999999996</v>
      </c>
      <c r="CW87" s="65">
        <f t="shared" si="29"/>
        <v>17.228435995239941</v>
      </c>
      <c r="CX87" s="65">
        <f t="shared" si="30"/>
        <v>1059.5189150156993</v>
      </c>
      <c r="CY87" s="65">
        <f>SUM(BC87:BF87)</f>
        <v>443.5</v>
      </c>
      <c r="CZ87" s="65">
        <f t="shared" si="37"/>
        <v>41.858620333684975</v>
      </c>
      <c r="DA87" s="385">
        <v>29.2</v>
      </c>
      <c r="DB87" s="381">
        <v>523.83000000000004</v>
      </c>
      <c r="DD87" s="81">
        <f>CR87/CS87</f>
        <v>7.7169806631551259</v>
      </c>
      <c r="DE87" s="61">
        <v>0.09</v>
      </c>
      <c r="DF87" s="61" t="s">
        <v>438</v>
      </c>
      <c r="DG87" s="61" t="s">
        <v>438</v>
      </c>
    </row>
    <row r="88" spans="1:111" ht="14.25" customHeight="1">
      <c r="A88" s="401" t="s">
        <v>485</v>
      </c>
      <c r="B88" s="65" t="s">
        <v>165</v>
      </c>
      <c r="C88" s="65">
        <v>1</v>
      </c>
      <c r="D88" s="65" t="e">
        <f t="shared" si="35"/>
        <v>#DIV/0!</v>
      </c>
      <c r="E88" s="65">
        <f>AVERAGE(G88:AA88)/AVERAGE(AX88:BQ88)</f>
        <v>1.6637393277502976</v>
      </c>
      <c r="F88" s="65" t="e">
        <f t="shared" si="36"/>
        <v>#DIV/0!</v>
      </c>
      <c r="G88" s="76">
        <v>2663.7</v>
      </c>
      <c r="H88" s="65">
        <v>170</v>
      </c>
      <c r="I88" s="65">
        <v>188.2</v>
      </c>
      <c r="J88" s="65">
        <v>194.7</v>
      </c>
      <c r="K88" s="65">
        <v>220.7</v>
      </c>
      <c r="L88" s="65">
        <v>220.25</v>
      </c>
      <c r="M88" s="65">
        <v>239.85</v>
      </c>
      <c r="N88" s="65">
        <v>236</v>
      </c>
      <c r="O88" s="65">
        <v>250.35</v>
      </c>
      <c r="P88" s="65">
        <v>235.85</v>
      </c>
      <c r="Q88" s="65">
        <v>224.9</v>
      </c>
      <c r="R88" s="65">
        <v>196.28</v>
      </c>
      <c r="S88" s="65">
        <v>156.43</v>
      </c>
      <c r="T88" s="65">
        <v>143.97</v>
      </c>
      <c r="U88" s="65">
        <v>143.86000000000001</v>
      </c>
      <c r="V88" s="65">
        <v>145.34</v>
      </c>
      <c r="W88" s="65">
        <v>158.03</v>
      </c>
      <c r="X88" s="65">
        <v>142.32</v>
      </c>
      <c r="Y88" s="65">
        <v>146.25</v>
      </c>
      <c r="Z88" s="65">
        <v>155.69999999999999</v>
      </c>
      <c r="AA88" s="65">
        <v>137.05000000000001</v>
      </c>
      <c r="AB88" s="65"/>
      <c r="AC88" s="89"/>
      <c r="AL88" s="89"/>
      <c r="AV88" s="89"/>
      <c r="AW88" s="334">
        <v>322</v>
      </c>
      <c r="AX88" s="184">
        <v>315</v>
      </c>
      <c r="AY88" s="184">
        <v>198</v>
      </c>
      <c r="AZ88" s="184">
        <v>74</v>
      </c>
      <c r="BA88" s="184">
        <v>281</v>
      </c>
      <c r="BB88" s="184">
        <v>262</v>
      </c>
      <c r="BC88" s="184">
        <v>221</v>
      </c>
      <c r="BD88" s="184">
        <v>118</v>
      </c>
      <c r="BE88" s="184">
        <v>214</v>
      </c>
      <c r="BF88" s="184">
        <v>219</v>
      </c>
      <c r="BG88" s="184">
        <v>192</v>
      </c>
      <c r="BH88" s="180">
        <v>135</v>
      </c>
      <c r="BI88" s="180">
        <v>140</v>
      </c>
      <c r="BJ88" s="180">
        <v>193</v>
      </c>
      <c r="BK88" s="184">
        <v>89</v>
      </c>
      <c r="BL88" s="84">
        <v>77</v>
      </c>
      <c r="BM88" s="84">
        <v>189</v>
      </c>
      <c r="BN88" s="84"/>
      <c r="BO88" s="86"/>
      <c r="BP88" s="86"/>
      <c r="BQ88" s="86"/>
      <c r="CM88" s="356">
        <v>7412</v>
      </c>
      <c r="CN88" s="349">
        <v>94</v>
      </c>
      <c r="CO88" s="63">
        <f t="shared" si="31"/>
        <v>1.2682137075013491</v>
      </c>
      <c r="CP88" s="62">
        <f t="shared" si="28"/>
        <v>1229.3617021276596</v>
      </c>
      <c r="CQ88" s="89">
        <v>0</v>
      </c>
      <c r="CR88" s="79">
        <f t="shared" si="26"/>
        <v>39707.665519937444</v>
      </c>
      <c r="CS88" s="65">
        <f t="shared" si="32"/>
        <v>1155.5999999999999</v>
      </c>
      <c r="CT88" s="80">
        <f t="shared" si="33"/>
        <v>2.9102693015779701</v>
      </c>
      <c r="CU88" s="110">
        <f t="shared" si="34"/>
        <v>3.2437061789827153</v>
      </c>
      <c r="CV88" s="65">
        <v>6.64</v>
      </c>
      <c r="CW88" s="65">
        <f t="shared" si="29"/>
        <v>9.5502693015779698</v>
      </c>
      <c r="CX88" s="65">
        <f t="shared" si="30"/>
        <v>11317.536451121885</v>
      </c>
      <c r="CY88" s="65">
        <f>SUM(BB88:BE88)</f>
        <v>815</v>
      </c>
      <c r="CZ88" s="65">
        <f t="shared" si="37"/>
        <v>7.2012138288205882</v>
      </c>
      <c r="DA88" s="365">
        <v>1279</v>
      </c>
      <c r="DB88" s="380">
        <v>19066</v>
      </c>
      <c r="DD88" s="81">
        <f>CR88/CS88</f>
        <v>34.361081273743032</v>
      </c>
      <c r="DE88" s="65">
        <v>704.92431284026031</v>
      </c>
    </row>
    <row r="89" spans="1:111" ht="14.25" customHeight="1">
      <c r="A89" s="401" t="s">
        <v>31</v>
      </c>
      <c r="B89" s="65" t="s">
        <v>44</v>
      </c>
      <c r="C89" s="65">
        <v>1</v>
      </c>
      <c r="D89" s="65" t="e">
        <f t="shared" si="35"/>
        <v>#DIV/0!</v>
      </c>
      <c r="E89" s="65">
        <f>AVERAGE(G89:AA89)/AVERAGE(AY89:BQ89)</f>
        <v>5.755655353722286E-2</v>
      </c>
      <c r="F89" s="65" t="e">
        <f t="shared" si="36"/>
        <v>#DIV/0!</v>
      </c>
      <c r="G89" s="76">
        <v>152.75</v>
      </c>
      <c r="H89" s="65">
        <v>80</v>
      </c>
      <c r="I89" s="65">
        <v>115.6</v>
      </c>
      <c r="J89" s="65">
        <v>103.55</v>
      </c>
      <c r="K89" s="65">
        <v>95.5</v>
      </c>
      <c r="L89" s="65">
        <v>77.3</v>
      </c>
      <c r="M89" s="65">
        <v>85.65</v>
      </c>
      <c r="N89" s="65">
        <v>116.8</v>
      </c>
      <c r="O89" s="65">
        <v>139.25</v>
      </c>
      <c r="P89" s="65">
        <v>124.4</v>
      </c>
      <c r="Q89" s="65">
        <v>160</v>
      </c>
      <c r="R89" s="65">
        <v>130.15</v>
      </c>
      <c r="S89" s="65">
        <v>124.5</v>
      </c>
      <c r="T89" s="65">
        <v>109.03</v>
      </c>
      <c r="U89" s="65">
        <v>89.67</v>
      </c>
      <c r="V89" s="65">
        <v>87.55</v>
      </c>
      <c r="W89" s="65">
        <v>119.9</v>
      </c>
      <c r="X89" s="65">
        <v>123.08</v>
      </c>
      <c r="Y89" s="65">
        <v>132.82</v>
      </c>
      <c r="Z89" s="65">
        <v>149.22</v>
      </c>
      <c r="AA89" s="65">
        <v>141.18</v>
      </c>
      <c r="AJ89" s="77"/>
      <c r="AK89" s="89"/>
      <c r="AL89" s="89"/>
      <c r="AR89" s="77"/>
      <c r="AV89" s="89"/>
      <c r="AW89" s="335">
        <v>3206</v>
      </c>
      <c r="AX89" s="236">
        <v>3580</v>
      </c>
      <c r="AY89" s="236">
        <v>2906</v>
      </c>
      <c r="AZ89" s="236">
        <v>3480</v>
      </c>
      <c r="BA89" s="236">
        <v>2922</v>
      </c>
      <c r="BB89" s="236">
        <v>2894</v>
      </c>
      <c r="BC89" s="202">
        <v>3249</v>
      </c>
      <c r="BD89" s="236">
        <v>2683</v>
      </c>
      <c r="BE89" s="236">
        <v>469</v>
      </c>
      <c r="BF89" s="236">
        <v>2597</v>
      </c>
      <c r="BG89" s="192">
        <v>1871</v>
      </c>
      <c r="BH89" s="192">
        <v>2185</v>
      </c>
      <c r="BI89" s="192">
        <v>2798</v>
      </c>
      <c r="BJ89" s="192">
        <v>3268</v>
      </c>
      <c r="BK89" s="108">
        <v>1688</v>
      </c>
      <c r="BL89" s="108">
        <v>2167</v>
      </c>
      <c r="BM89" s="108">
        <v>1604.43</v>
      </c>
      <c r="BN89" s="112">
        <v>1886.59</v>
      </c>
      <c r="BO89" s="108">
        <v>1428.59</v>
      </c>
      <c r="BP89" s="108">
        <v>-3409.49</v>
      </c>
      <c r="BQ89" s="108">
        <v>1949.91</v>
      </c>
      <c r="CB89" s="89"/>
      <c r="CC89" s="89"/>
      <c r="CD89" s="89"/>
      <c r="CE89" s="89"/>
      <c r="CM89" s="363">
        <v>340794.96</v>
      </c>
      <c r="CN89" s="357">
        <v>285929.02</v>
      </c>
      <c r="CO89" s="170">
        <f t="shared" si="31"/>
        <v>83.900601112176062</v>
      </c>
      <c r="CP89" s="62">
        <f t="shared" si="28"/>
        <v>4.5982041277237258</v>
      </c>
      <c r="CR89" s="79">
        <f t="shared" si="26"/>
        <v>40327.247410207936</v>
      </c>
      <c r="CS89" s="65">
        <f t="shared" si="32"/>
        <v>13147.6</v>
      </c>
      <c r="CT89" s="80">
        <f t="shared" si="33"/>
        <v>32.602274750525076</v>
      </c>
      <c r="CU89" s="110">
        <f t="shared" si="34"/>
        <v>31.799839620975206</v>
      </c>
      <c r="CW89" s="65">
        <f t="shared" si="29"/>
        <v>32.602274750525076</v>
      </c>
      <c r="CX89" s="65">
        <f t="shared" si="30"/>
        <v>33487.053752335756</v>
      </c>
      <c r="CY89" s="65">
        <f>SUM(BC89:BF89)</f>
        <v>8998</v>
      </c>
      <c r="CZ89" s="65">
        <f t="shared" si="37"/>
        <v>26.870085575600633</v>
      </c>
      <c r="DA89" s="342">
        <v>132.25</v>
      </c>
      <c r="DB89" s="370">
        <v>34915.08</v>
      </c>
      <c r="DD89" s="81">
        <f>CR89/CS89</f>
        <v>3.0672706357211914</v>
      </c>
      <c r="DE89" s="61">
        <v>0.21</v>
      </c>
      <c r="DF89" s="61" t="s">
        <v>438</v>
      </c>
      <c r="DG89" s="61" t="s">
        <v>438</v>
      </c>
    </row>
    <row r="90" spans="1:111" ht="14.25" customHeight="1">
      <c r="A90" s="429" t="s">
        <v>627</v>
      </c>
      <c r="B90" s="61" t="s">
        <v>44</v>
      </c>
      <c r="C90" s="65">
        <v>1</v>
      </c>
      <c r="D90" s="65" t="e">
        <f>AVERAGE(G90:AA90)/AVERAGE(AD90:AV90)</f>
        <v>#DIV/0!</v>
      </c>
      <c r="E90" s="65">
        <f>AVERAGE(G90:AA90)/AVERAGE(AY90:BQ90)</f>
        <v>16.983173076923077</v>
      </c>
      <c r="F90" s="65" t="e">
        <f>AVERAGE(G90:AA90)/AVERAGE(BT90:CL90)</f>
        <v>#DIV/0!</v>
      </c>
      <c r="G90" s="61">
        <v>353.25</v>
      </c>
      <c r="AW90" s="336">
        <v>58</v>
      </c>
      <c r="AX90" s="293">
        <v>37</v>
      </c>
      <c r="AY90" s="293">
        <v>33</v>
      </c>
      <c r="AZ90" s="293">
        <v>22</v>
      </c>
      <c r="BA90" s="293">
        <v>53</v>
      </c>
      <c r="BB90" s="293">
        <v>28</v>
      </c>
      <c r="BC90" s="293">
        <v>11</v>
      </c>
      <c r="BD90" s="293">
        <v>-10</v>
      </c>
      <c r="BE90" s="293">
        <v>25</v>
      </c>
      <c r="BF90" s="293">
        <v>21</v>
      </c>
      <c r="BG90" s="294">
        <v>16</v>
      </c>
      <c r="BH90" s="293">
        <v>9</v>
      </c>
      <c r="BI90" s="293"/>
      <c r="CM90" s="342">
        <v>2213</v>
      </c>
      <c r="CN90" s="342">
        <v>21</v>
      </c>
      <c r="CO90" s="170">
        <f t="shared" si="31"/>
        <v>0.94893809308630828</v>
      </c>
      <c r="CP90" s="62">
        <f t="shared" si="28"/>
        <v>879.04761904761915</v>
      </c>
      <c r="CQ90" s="64"/>
      <c r="CR90" s="79">
        <f t="shared" si="26"/>
        <v>6453.1205357142862</v>
      </c>
      <c r="CS90" s="65">
        <f t="shared" si="32"/>
        <v>184.60000000000002</v>
      </c>
      <c r="CT90" s="110">
        <f t="shared" si="33"/>
        <v>2.8606315189425935</v>
      </c>
      <c r="CU90" s="110">
        <f t="shared" si="34"/>
        <v>3.5951598721272027</v>
      </c>
      <c r="CW90" s="62">
        <f t="shared" si="29"/>
        <v>2.8606315189425935</v>
      </c>
      <c r="CX90" s="65">
        <f t="shared" si="30"/>
        <v>0</v>
      </c>
      <c r="CY90" s="65">
        <f>SUM(BC90:BF90)</f>
        <v>47</v>
      </c>
      <c r="CZ90" s="65" t="e">
        <f t="shared" si="37"/>
        <v>#DIV/0!</v>
      </c>
      <c r="DA90" s="342">
        <v>336</v>
      </c>
      <c r="DB90" s="342">
        <v>6138</v>
      </c>
    </row>
    <row r="91" spans="1:111" ht="14.25" customHeight="1">
      <c r="A91" s="396" t="s">
        <v>32</v>
      </c>
      <c r="B91" s="76" t="s">
        <v>268</v>
      </c>
      <c r="C91" s="65">
        <v>1</v>
      </c>
      <c r="D91" s="65">
        <f t="shared" ref="D91:D99" si="38">AVERAGE(G91:AA91)/AVERAGE(AC91:AV91)</f>
        <v>0.10607667572559987</v>
      </c>
      <c r="E91" s="65">
        <f t="shared" ref="E91:E99" si="39">AVERAGE(G91:AA91)/AVERAGE(AX91:BQ91)</f>
        <v>1.1338495108250253</v>
      </c>
      <c r="F91" s="65">
        <f t="shared" ref="F91:F99" si="40">AVERAGE(G91:AA91)/AVERAGE(BS91:CL91)</f>
        <v>3.2247412710280692E-2</v>
      </c>
      <c r="G91" s="76">
        <v>78.25</v>
      </c>
      <c r="H91" s="65">
        <v>40</v>
      </c>
      <c r="I91" s="65">
        <v>25</v>
      </c>
      <c r="J91" s="65">
        <v>77.147999999999996</v>
      </c>
      <c r="K91" s="65">
        <v>83.6</v>
      </c>
      <c r="L91" s="65">
        <v>114.15</v>
      </c>
      <c r="M91" s="65">
        <v>144.9</v>
      </c>
      <c r="N91" s="65">
        <v>169.1</v>
      </c>
      <c r="O91" s="65">
        <v>195.8</v>
      </c>
      <c r="P91" s="65">
        <v>103.65</v>
      </c>
      <c r="Q91" s="65">
        <v>98.6</v>
      </c>
      <c r="R91" s="65">
        <v>76.95</v>
      </c>
      <c r="S91" s="65">
        <v>45.1</v>
      </c>
      <c r="T91" s="65">
        <v>50.85</v>
      </c>
      <c r="U91" s="65">
        <v>38</v>
      </c>
      <c r="V91" s="65">
        <v>29.9</v>
      </c>
      <c r="W91" s="65">
        <v>35</v>
      </c>
      <c r="X91" s="65">
        <v>27.35</v>
      </c>
      <c r="Y91" s="65">
        <v>32.299999999999997</v>
      </c>
      <c r="Z91" s="65">
        <v>35.299999999999997</v>
      </c>
      <c r="AA91" s="65">
        <v>56.9</v>
      </c>
      <c r="AB91" s="99">
        <v>738.62</v>
      </c>
      <c r="AC91" s="83">
        <v>762</v>
      </c>
      <c r="AD91" s="103">
        <v>825.42</v>
      </c>
      <c r="AE91" s="84">
        <v>884.67</v>
      </c>
      <c r="AF91" s="107">
        <v>1025.81</v>
      </c>
      <c r="AG91" s="84">
        <v>950.31</v>
      </c>
      <c r="AH91" s="84">
        <v>985.42</v>
      </c>
      <c r="AI91" s="84">
        <v>910.45</v>
      </c>
      <c r="AJ91" s="84">
        <v>725.97</v>
      </c>
      <c r="AK91" s="84">
        <v>647.91999999999996</v>
      </c>
      <c r="AL91" s="92">
        <v>650.47</v>
      </c>
      <c r="AM91" s="84">
        <v>627.73</v>
      </c>
      <c r="AN91" s="84">
        <v>468.53</v>
      </c>
      <c r="AO91" s="84">
        <v>501.41</v>
      </c>
      <c r="AP91" s="84">
        <v>638.96</v>
      </c>
      <c r="AQ91" s="84">
        <v>486.75</v>
      </c>
      <c r="AR91" s="86">
        <v>424.98</v>
      </c>
      <c r="AS91" s="84">
        <v>499.23</v>
      </c>
      <c r="AT91" s="84">
        <v>644.34</v>
      </c>
      <c r="AU91" s="84">
        <v>638.97</v>
      </c>
      <c r="AV91" s="84">
        <v>687.38</v>
      </c>
      <c r="AW91" s="314">
        <v>53</v>
      </c>
      <c r="AX91" s="144">
        <v>32</v>
      </c>
      <c r="AY91" s="144">
        <v>43</v>
      </c>
      <c r="AZ91" s="144">
        <v>41</v>
      </c>
      <c r="BA91" s="144">
        <v>52</v>
      </c>
      <c r="BB91" s="144">
        <v>30.3</v>
      </c>
      <c r="BC91" s="78">
        <v>9</v>
      </c>
      <c r="BD91" s="78">
        <v>3</v>
      </c>
      <c r="BE91" s="103">
        <v>18.09</v>
      </c>
      <c r="BF91" s="103">
        <v>29.96</v>
      </c>
      <c r="BG91" s="86">
        <v>33.14</v>
      </c>
      <c r="BH91" s="86">
        <v>37</v>
      </c>
      <c r="BI91" s="86">
        <v>126.29</v>
      </c>
      <c r="BJ91" s="84">
        <v>141.32</v>
      </c>
      <c r="BK91" s="84">
        <v>130.72999999999999</v>
      </c>
      <c r="BL91" s="84">
        <v>168.68</v>
      </c>
      <c r="BM91" s="86">
        <v>152.11000000000001</v>
      </c>
      <c r="BN91" s="86">
        <v>101.35</v>
      </c>
      <c r="BO91" s="86">
        <v>65.83</v>
      </c>
      <c r="BP91" s="86">
        <v>59.41</v>
      </c>
      <c r="BQ91" s="86">
        <v>34.31</v>
      </c>
      <c r="BR91" s="101">
        <v>2853.6</v>
      </c>
      <c r="BS91" s="101">
        <v>2853.6</v>
      </c>
      <c r="BT91" s="113">
        <v>2736.05</v>
      </c>
      <c r="BU91" s="113">
        <v>2736.05</v>
      </c>
      <c r="BV91" s="113">
        <v>2736.05</v>
      </c>
      <c r="BW91" s="113">
        <v>2736.05</v>
      </c>
      <c r="BX91" s="101">
        <v>2220.96</v>
      </c>
      <c r="BY91" s="101">
        <v>2220.96</v>
      </c>
      <c r="BZ91" s="101">
        <v>2220.96</v>
      </c>
      <c r="CA91" s="101">
        <v>2220.96</v>
      </c>
      <c r="CB91" s="101">
        <v>2137.4499999999998</v>
      </c>
      <c r="CC91" s="101">
        <v>2137.4499999999998</v>
      </c>
      <c r="CD91" s="101">
        <v>2137.4499999999998</v>
      </c>
      <c r="CE91" s="101">
        <v>2137.4499999999998</v>
      </c>
      <c r="CF91" s="101">
        <v>2104.64</v>
      </c>
      <c r="CG91" s="101">
        <v>2104.64</v>
      </c>
      <c r="CH91" s="101">
        <v>2104.64</v>
      </c>
      <c r="CI91" s="101">
        <v>2104.64</v>
      </c>
      <c r="CJ91" s="101">
        <v>2119.6</v>
      </c>
      <c r="CK91" s="101">
        <v>2119.6</v>
      </c>
      <c r="CL91" s="101">
        <v>2119.6</v>
      </c>
      <c r="CM91" s="363">
        <v>3815.73</v>
      </c>
      <c r="CN91" s="347">
        <v>661</v>
      </c>
      <c r="CO91" s="170">
        <f t="shared" si="31"/>
        <v>17.323028620997817</v>
      </c>
      <c r="CP91" s="62">
        <f t="shared" si="28"/>
        <v>26.989409984871408</v>
      </c>
      <c r="CQ91" s="169">
        <v>45.22</v>
      </c>
      <c r="CR91" s="79">
        <f t="shared" si="26"/>
        <v>1327.4524185068351</v>
      </c>
      <c r="CS91" s="65">
        <f t="shared" si="32"/>
        <v>178.4</v>
      </c>
      <c r="CT91" s="80">
        <f t="shared" si="33"/>
        <v>13.439276430010995</v>
      </c>
      <c r="CU91" s="110">
        <f t="shared" si="34"/>
        <v>15.970440600685711</v>
      </c>
      <c r="CV91" s="101">
        <v>2.21</v>
      </c>
      <c r="CW91" s="65">
        <f t="shared" si="29"/>
        <v>15.649276430010996</v>
      </c>
      <c r="CX91" s="65">
        <f t="shared" si="30"/>
        <v>3082.2592544890281</v>
      </c>
      <c r="CY91" s="65">
        <f>SUM(BB91:BE91)</f>
        <v>60.39</v>
      </c>
      <c r="CZ91" s="65">
        <f t="shared" si="37"/>
        <v>1.9592771085705234</v>
      </c>
      <c r="DA91" s="365">
        <v>47.55</v>
      </c>
      <c r="DB91" s="379">
        <v>806.65</v>
      </c>
      <c r="DC91" s="61" t="s">
        <v>401</v>
      </c>
      <c r="DD91" s="81">
        <f>CR91/CS91</f>
        <v>7.4408767853522146</v>
      </c>
      <c r="DE91" s="65">
        <v>704.92431284026031</v>
      </c>
    </row>
    <row r="92" spans="1:111" ht="14.25" customHeight="1">
      <c r="A92" s="428" t="s">
        <v>522</v>
      </c>
      <c r="B92" s="61" t="s">
        <v>165</v>
      </c>
      <c r="C92" s="65">
        <v>1</v>
      </c>
      <c r="D92" s="65" t="e">
        <f t="shared" si="38"/>
        <v>#DIV/0!</v>
      </c>
      <c r="E92" s="65">
        <f t="shared" si="39"/>
        <v>3.2929558011049722</v>
      </c>
      <c r="F92" s="65" t="e">
        <f t="shared" si="40"/>
        <v>#DIV/0!</v>
      </c>
      <c r="G92" s="61">
        <v>132.44999999999999</v>
      </c>
      <c r="AW92" s="313">
        <v>54</v>
      </c>
      <c r="AX92" s="232">
        <v>66</v>
      </c>
      <c r="AY92" s="232">
        <v>67</v>
      </c>
      <c r="AZ92" s="232">
        <v>21</v>
      </c>
      <c r="BA92" s="232">
        <v>27</v>
      </c>
      <c r="BB92" s="229">
        <v>70</v>
      </c>
      <c r="BC92" s="229">
        <v>29</v>
      </c>
      <c r="BD92" s="229">
        <v>16</v>
      </c>
      <c r="BE92" s="61">
        <v>23</v>
      </c>
      <c r="BF92" s="61">
        <v>43</v>
      </c>
      <c r="CM92" s="374">
        <v>2398</v>
      </c>
      <c r="CN92" s="342">
        <v>43</v>
      </c>
      <c r="CO92" s="170">
        <f t="shared" si="31"/>
        <v>1.7931609674728941</v>
      </c>
      <c r="CP92" s="62">
        <f t="shared" si="28"/>
        <v>538.60465116279067</v>
      </c>
      <c r="CQ92" s="64"/>
      <c r="CR92" s="79">
        <f t="shared" si="26"/>
        <v>4259.0274590163926</v>
      </c>
      <c r="CS92" s="65">
        <f t="shared" si="32"/>
        <v>231.59999999999997</v>
      </c>
      <c r="CT92" s="110">
        <f t="shared" si="33"/>
        <v>5.4378611602914422</v>
      </c>
      <c r="CU92" s="110">
        <f t="shared" si="34"/>
        <v>5.0715803567484965</v>
      </c>
      <c r="CX92" s="62"/>
      <c r="CZ92" s="62"/>
      <c r="DA92" s="342">
        <v>122</v>
      </c>
      <c r="DB92" s="342">
        <v>3923</v>
      </c>
    </row>
    <row r="93" spans="1:111" ht="14.25" customHeight="1">
      <c r="A93" s="429" t="s">
        <v>422</v>
      </c>
      <c r="B93" s="61" t="s">
        <v>264</v>
      </c>
      <c r="C93" s="65">
        <v>12</v>
      </c>
      <c r="D93" s="65" t="e">
        <f t="shared" si="38"/>
        <v>#DIV/0!</v>
      </c>
      <c r="E93" s="65">
        <f t="shared" si="39"/>
        <v>0.39008498583569401</v>
      </c>
      <c r="F93" s="65" t="e">
        <f t="shared" si="40"/>
        <v>#DIV/0!</v>
      </c>
      <c r="G93" s="61">
        <v>8.1</v>
      </c>
      <c r="AV93" s="89"/>
      <c r="AW93" s="320">
        <v>17</v>
      </c>
      <c r="AX93" s="182">
        <v>3</v>
      </c>
      <c r="AY93" s="182">
        <v>12</v>
      </c>
      <c r="AZ93" s="182">
        <v>54</v>
      </c>
      <c r="BA93" s="89">
        <v>73</v>
      </c>
      <c r="BB93" s="182">
        <v>20</v>
      </c>
      <c r="BC93" s="182">
        <v>67</v>
      </c>
      <c r="BD93" s="182">
        <v>-3</v>
      </c>
      <c r="BE93" s="182">
        <v>254</v>
      </c>
      <c r="BF93" s="183">
        <v>10</v>
      </c>
      <c r="BG93" s="182">
        <v>19</v>
      </c>
      <c r="BH93" s="182">
        <v>-17</v>
      </c>
      <c r="BI93" s="182">
        <v>-11</v>
      </c>
      <c r="BJ93" s="183">
        <v>-7</v>
      </c>
      <c r="BK93" s="187">
        <v>-23</v>
      </c>
      <c r="BL93" s="61">
        <v>-33</v>
      </c>
      <c r="BM93" s="61">
        <v>-46</v>
      </c>
      <c r="BN93" s="61">
        <v>-19</v>
      </c>
      <c r="BP93" s="89"/>
      <c r="BQ93" s="89"/>
      <c r="CM93" s="356">
        <v>1290</v>
      </c>
      <c r="CN93" s="355">
        <v>194</v>
      </c>
      <c r="CO93" s="170">
        <f t="shared" si="31"/>
        <v>15.038759689922481</v>
      </c>
      <c r="CP93" s="62">
        <f t="shared" si="28"/>
        <v>28.659793814432987</v>
      </c>
      <c r="CQ93" s="61">
        <v>0</v>
      </c>
      <c r="CR93" s="79">
        <f t="shared" si="26"/>
        <v>124.41093749999997</v>
      </c>
      <c r="CS93" s="65">
        <f t="shared" si="32"/>
        <v>55.599999999999994</v>
      </c>
      <c r="CT93" s="77">
        <f t="shared" si="33"/>
        <v>44.690604473581757</v>
      </c>
      <c r="CU93" s="110">
        <f t="shared" si="34"/>
        <v>54.657573816610785</v>
      </c>
      <c r="CW93" s="65">
        <f>CT93+CV93</f>
        <v>44.690604473581757</v>
      </c>
      <c r="CX93" s="65">
        <f>SUM(K93:N93)/SUM(G93:J93)*CR93</f>
        <v>0</v>
      </c>
      <c r="CY93" s="65">
        <f>SUM(BB93:BE93)</f>
        <v>338</v>
      </c>
      <c r="CZ93" s="65" t="e">
        <f>CY93/CX93%</f>
        <v>#DIV/0!</v>
      </c>
      <c r="DA93" s="342">
        <v>6.4</v>
      </c>
      <c r="DB93" s="380">
        <v>98.3</v>
      </c>
      <c r="DD93" s="81">
        <f>CR93/CS93</f>
        <v>2.2376067895683449</v>
      </c>
    </row>
    <row r="94" spans="1:111" ht="14.25" customHeight="1">
      <c r="A94" s="400" t="s">
        <v>539</v>
      </c>
      <c r="B94" s="61" t="s">
        <v>44</v>
      </c>
      <c r="C94" s="65">
        <v>1</v>
      </c>
      <c r="D94" s="65" t="e">
        <f t="shared" si="38"/>
        <v>#DIV/0!</v>
      </c>
      <c r="E94" s="65">
        <f t="shared" si="39"/>
        <v>15.57991266375546</v>
      </c>
      <c r="F94" s="65" t="e">
        <f t="shared" si="40"/>
        <v>#DIV/0!</v>
      </c>
      <c r="G94" s="61">
        <v>891.95</v>
      </c>
      <c r="AW94" s="325">
        <v>63</v>
      </c>
      <c r="AX94" s="229">
        <v>70</v>
      </c>
      <c r="AY94" s="229">
        <v>69</v>
      </c>
      <c r="AZ94" s="229">
        <v>31</v>
      </c>
      <c r="BA94" s="229">
        <v>102</v>
      </c>
      <c r="BB94" s="229">
        <v>90</v>
      </c>
      <c r="BC94" s="229">
        <v>75</v>
      </c>
      <c r="BD94" s="229">
        <v>24</v>
      </c>
      <c r="BE94" s="229">
        <v>52</v>
      </c>
      <c r="BF94" s="229">
        <v>54</v>
      </c>
      <c r="BG94" s="229">
        <v>71</v>
      </c>
      <c r="BH94" s="229">
        <v>50</v>
      </c>
      <c r="BI94" s="229">
        <v>54</v>
      </c>
      <c r="BJ94" s="229">
        <v>36</v>
      </c>
      <c r="BK94" s="229">
        <v>39</v>
      </c>
      <c r="BL94" s="61">
        <v>46</v>
      </c>
      <c r="BM94" s="61">
        <v>53</v>
      </c>
      <c r="CM94" s="342">
        <v>2383</v>
      </c>
      <c r="CN94" s="342">
        <v>174</v>
      </c>
      <c r="CO94" s="170">
        <f t="shared" si="31"/>
        <v>7.3017205203524975</v>
      </c>
      <c r="CP94" s="62">
        <f t="shared" si="28"/>
        <v>148.04597701149427</v>
      </c>
      <c r="CQ94" s="64"/>
      <c r="CR94" s="79">
        <f t="shared" si="26"/>
        <v>22155.148072562359</v>
      </c>
      <c r="CS94" s="65">
        <f t="shared" si="32"/>
        <v>257.60000000000002</v>
      </c>
      <c r="CT94" s="110">
        <f t="shared" si="33"/>
        <v>1.1627094486406078</v>
      </c>
      <c r="CU94" s="110">
        <f t="shared" si="34"/>
        <v>1.1374331562788553</v>
      </c>
      <c r="CW94" s="62">
        <f>CT94+CV94</f>
        <v>1.1627094486406078</v>
      </c>
      <c r="CX94" s="65">
        <f>SUM(K94:N94)/SUM(G94:J94)*CR94</f>
        <v>0</v>
      </c>
      <c r="CZ94" s="62"/>
      <c r="DA94" s="342">
        <v>882</v>
      </c>
      <c r="DB94" s="342">
        <v>21908</v>
      </c>
    </row>
    <row r="95" spans="1:111" ht="14.25" customHeight="1">
      <c r="A95" s="400" t="s">
        <v>610</v>
      </c>
      <c r="B95" s="61" t="s">
        <v>44</v>
      </c>
      <c r="C95" s="65">
        <v>1</v>
      </c>
      <c r="D95" s="65" t="e">
        <f t="shared" si="38"/>
        <v>#DIV/0!</v>
      </c>
      <c r="E95" s="65">
        <f t="shared" si="39"/>
        <v>16.890282131661444</v>
      </c>
      <c r="F95" s="65" t="e">
        <f t="shared" si="40"/>
        <v>#DIV/0!</v>
      </c>
      <c r="G95" s="61">
        <v>359.2</v>
      </c>
      <c r="AW95" s="325">
        <v>43</v>
      </c>
      <c r="AX95" s="229">
        <v>48</v>
      </c>
      <c r="AY95" s="229">
        <v>34</v>
      </c>
      <c r="AZ95" s="229">
        <v>27</v>
      </c>
      <c r="BA95" s="229">
        <v>37</v>
      </c>
      <c r="BB95" s="229">
        <v>32</v>
      </c>
      <c r="BC95" s="229">
        <v>28</v>
      </c>
      <c r="BD95" s="229">
        <v>16</v>
      </c>
      <c r="BE95" s="229">
        <v>16</v>
      </c>
      <c r="BF95" s="230">
        <v>10</v>
      </c>
      <c r="BG95" s="229">
        <v>19</v>
      </c>
      <c r="BH95" s="229">
        <v>-1</v>
      </c>
      <c r="BI95" s="230">
        <v>17</v>
      </c>
      <c r="BJ95" s="229">
        <v>13</v>
      </c>
      <c r="BK95" s="61">
        <v>15</v>
      </c>
      <c r="BL95" s="61">
        <v>8</v>
      </c>
      <c r="CM95" s="342">
        <v>693</v>
      </c>
      <c r="CN95" s="342">
        <v>0.2</v>
      </c>
      <c r="CO95" s="170">
        <f t="shared" si="31"/>
        <v>2.8860028860028863E-2</v>
      </c>
      <c r="CP95" s="62">
        <f t="shared" si="28"/>
        <v>84700</v>
      </c>
      <c r="CQ95" s="64"/>
      <c r="CR95" s="79">
        <f t="shared" si="26"/>
        <v>6936.160372960373</v>
      </c>
      <c r="CS95" s="65">
        <f t="shared" si="32"/>
        <v>169.4</v>
      </c>
      <c r="CT95" s="110">
        <f t="shared" si="33"/>
        <v>2.4422734033137647</v>
      </c>
      <c r="CU95" s="110">
        <f t="shared" si="34"/>
        <v>2.4797581190671045</v>
      </c>
      <c r="CW95" s="62">
        <f>CT95+CV95</f>
        <v>2.4422734033137647</v>
      </c>
      <c r="CX95" s="62"/>
      <c r="CZ95" s="62"/>
      <c r="DA95" s="342">
        <v>429</v>
      </c>
      <c r="DB95" s="342">
        <v>8284</v>
      </c>
    </row>
    <row r="96" spans="1:111" ht="14.25" customHeight="1">
      <c r="A96" s="392" t="s">
        <v>33</v>
      </c>
      <c r="B96" s="65" t="s">
        <v>44</v>
      </c>
      <c r="C96" s="65">
        <v>1</v>
      </c>
      <c r="D96" s="65" t="e">
        <f t="shared" si="38"/>
        <v>#DIV/0!</v>
      </c>
      <c r="E96" s="65">
        <f t="shared" si="39"/>
        <v>0.10183056028626908</v>
      </c>
      <c r="F96" s="65" t="e">
        <f t="shared" si="40"/>
        <v>#DIV/0!</v>
      </c>
      <c r="G96" s="65">
        <v>600.1</v>
      </c>
      <c r="H96" s="65">
        <v>155</v>
      </c>
      <c r="I96" s="65">
        <v>179.15</v>
      </c>
      <c r="J96" s="65">
        <v>281</v>
      </c>
      <c r="K96" s="65">
        <v>309.95</v>
      </c>
      <c r="L96" s="65">
        <v>293.64999999999998</v>
      </c>
      <c r="M96" s="65">
        <v>281.39999999999998</v>
      </c>
      <c r="N96" s="65">
        <v>293.5</v>
      </c>
      <c r="O96" s="65">
        <v>246.4</v>
      </c>
      <c r="P96" s="65">
        <v>313.25</v>
      </c>
      <c r="Q96" s="65">
        <v>305.8</v>
      </c>
      <c r="R96" s="65">
        <v>312.5</v>
      </c>
      <c r="S96" s="65">
        <v>289.75</v>
      </c>
      <c r="T96" s="65">
        <v>260.35000000000002</v>
      </c>
      <c r="U96" s="65">
        <v>257.60000000000002</v>
      </c>
      <c r="V96" s="65">
        <v>229.4</v>
      </c>
      <c r="W96" s="65">
        <v>189</v>
      </c>
      <c r="X96" s="65">
        <v>179.9</v>
      </c>
      <c r="Y96" s="65">
        <v>237.05</v>
      </c>
      <c r="Z96" s="65">
        <v>270.05</v>
      </c>
      <c r="AA96" s="65">
        <v>269.75</v>
      </c>
      <c r="AB96" s="65"/>
      <c r="AL96" s="89"/>
      <c r="AW96" s="311">
        <v>9549</v>
      </c>
      <c r="AX96" s="145">
        <v>9555</v>
      </c>
      <c r="AY96" s="145">
        <v>8890</v>
      </c>
      <c r="AZ96" s="145">
        <v>6126</v>
      </c>
      <c r="BA96" s="145">
        <v>6258</v>
      </c>
      <c r="BB96" s="145">
        <v>4574</v>
      </c>
      <c r="BC96" s="145">
        <v>4189.34</v>
      </c>
      <c r="BD96" s="145">
        <v>3580.81</v>
      </c>
      <c r="BE96" s="115">
        <v>5583.36</v>
      </c>
      <c r="BF96" s="105">
        <v>3011.73</v>
      </c>
      <c r="BG96" s="108">
        <v>2312.1999999999998</v>
      </c>
      <c r="BH96" s="86">
        <v>838.4</v>
      </c>
      <c r="BI96" s="108">
        <v>3954.81</v>
      </c>
      <c r="BJ96" s="86">
        <v>944.87</v>
      </c>
      <c r="BK96" s="112">
        <v>-4875.8500000000004</v>
      </c>
      <c r="BL96" s="112">
        <v>-7718.17</v>
      </c>
      <c r="BM96" s="112">
        <v>-2416.37</v>
      </c>
      <c r="BN96" s="109">
        <v>1581.55</v>
      </c>
      <c r="BO96" s="112">
        <v>2005.53</v>
      </c>
      <c r="BP96" s="112">
        <v>2814.82</v>
      </c>
      <c r="BQ96" s="108">
        <v>2610</v>
      </c>
      <c r="CM96" s="350">
        <v>3680914.25</v>
      </c>
      <c r="CN96" s="350">
        <v>3314403.13</v>
      </c>
      <c r="CO96" s="170">
        <f t="shared" si="31"/>
        <v>90.042932404632893</v>
      </c>
      <c r="CP96" s="62">
        <f t="shared" si="28"/>
        <v>1.1200568712955565</v>
      </c>
      <c r="CQ96" s="89"/>
      <c r="CR96" s="79">
        <f t="shared" si="26"/>
        <v>535482.40018717828</v>
      </c>
      <c r="CS96" s="65">
        <f t="shared" si="32"/>
        <v>37123.199999999997</v>
      </c>
      <c r="CT96" s="80">
        <f t="shared" si="33"/>
        <v>6.9326648246559657</v>
      </c>
      <c r="CU96" s="110">
        <f t="shared" si="34"/>
        <v>7.1330075435996703</v>
      </c>
      <c r="CW96" s="65">
        <f>CT96+CV96</f>
        <v>6.9326648246559657</v>
      </c>
      <c r="CX96" s="65">
        <f>SUM(K96:N96)/SUM(G96:J96)*CR96</f>
        <v>519289.04227162281</v>
      </c>
      <c r="CY96" s="62">
        <f>SUM(BB96:BE96)</f>
        <v>17927.509999999998</v>
      </c>
      <c r="CZ96" s="65">
        <f>CY96/CX96%</f>
        <v>3.4523181774790297</v>
      </c>
      <c r="DA96" s="342">
        <v>320.55</v>
      </c>
      <c r="DB96" s="380">
        <v>286033.8</v>
      </c>
      <c r="DD96" s="81">
        <f>CR96/CS96</f>
        <v>14.424467723342232</v>
      </c>
    </row>
    <row r="97" spans="1:111" ht="14.25" customHeight="1">
      <c r="A97" s="426" t="s">
        <v>34</v>
      </c>
      <c r="B97" s="65" t="s">
        <v>165</v>
      </c>
      <c r="C97" s="65">
        <v>1</v>
      </c>
      <c r="D97" s="65" t="e">
        <f t="shared" si="38"/>
        <v>#DIV/0!</v>
      </c>
      <c r="E97" s="65">
        <f t="shared" si="39"/>
        <v>16.431647949730674</v>
      </c>
      <c r="F97" s="65" t="e">
        <f t="shared" si="40"/>
        <v>#DIV/0!</v>
      </c>
      <c r="G97" s="61">
        <v>165.25</v>
      </c>
      <c r="H97" s="65">
        <v>148</v>
      </c>
      <c r="I97" s="65">
        <v>141.79</v>
      </c>
      <c r="J97" s="65">
        <v>141.5</v>
      </c>
      <c r="K97" s="65">
        <v>123.35</v>
      </c>
      <c r="L97" s="65">
        <v>164.65</v>
      </c>
      <c r="M97" s="65">
        <v>144.44999999999999</v>
      </c>
      <c r="N97" s="65">
        <v>172.15</v>
      </c>
      <c r="O97" s="65">
        <v>185.35</v>
      </c>
      <c r="P97" s="65">
        <v>168.95</v>
      </c>
      <c r="Q97" s="65">
        <v>171.55</v>
      </c>
      <c r="R97" s="65">
        <v>183.2</v>
      </c>
      <c r="S97" s="65">
        <v>106.25</v>
      </c>
      <c r="T97" s="65">
        <v>82.5</v>
      </c>
      <c r="U97" s="65">
        <v>64.45</v>
      </c>
      <c r="V97" s="65">
        <v>37.5</v>
      </c>
      <c r="W97" s="65">
        <v>38.6</v>
      </c>
      <c r="X97" s="65">
        <v>38.4</v>
      </c>
      <c r="Y97" s="65">
        <v>41.85</v>
      </c>
      <c r="Z97" s="65">
        <v>34.35</v>
      </c>
      <c r="AA97" s="65">
        <v>36</v>
      </c>
      <c r="AB97" s="89"/>
      <c r="AK97" s="89"/>
      <c r="AL97" s="89"/>
      <c r="AV97" s="89"/>
      <c r="AW97" s="309">
        <v>-0.88</v>
      </c>
      <c r="AX97" s="78">
        <v>1.1200000000000001</v>
      </c>
      <c r="AY97" s="78">
        <v>0.6</v>
      </c>
      <c r="AZ97" s="78">
        <v>9.1199999999999992</v>
      </c>
      <c r="BA97" s="78">
        <v>9.1199999999999992</v>
      </c>
      <c r="BB97" s="78">
        <v>8.08</v>
      </c>
      <c r="BC97" s="78">
        <v>-4.22</v>
      </c>
      <c r="BD97" s="78">
        <v>-1.85</v>
      </c>
      <c r="BE97" s="86">
        <v>6.77</v>
      </c>
      <c r="BF97" s="86">
        <v>1.61</v>
      </c>
      <c r="BG97" s="86">
        <v>12.01</v>
      </c>
      <c r="BH97" s="86">
        <v>7.51</v>
      </c>
      <c r="BI97" s="84">
        <v>10.53</v>
      </c>
      <c r="BJ97" s="86">
        <v>15.89</v>
      </c>
      <c r="BK97" s="86">
        <v>12.98</v>
      </c>
      <c r="BL97" s="86">
        <v>8.6199999999999992</v>
      </c>
      <c r="BM97" s="86">
        <v>9.4600000000000009</v>
      </c>
      <c r="BN97" s="86">
        <v>9.9700000000000006</v>
      </c>
      <c r="BO97" s="86">
        <v>6.77</v>
      </c>
      <c r="BP97" s="84">
        <v>7.33</v>
      </c>
      <c r="BQ97" s="84">
        <v>7.11</v>
      </c>
      <c r="CB97" s="89"/>
      <c r="CC97" s="89"/>
      <c r="CD97" s="89"/>
      <c r="CE97" s="89"/>
      <c r="CM97" s="349">
        <v>431</v>
      </c>
      <c r="CN97" s="349">
        <v>61</v>
      </c>
      <c r="CO97" s="170">
        <f t="shared" si="31"/>
        <v>14.153132250580049</v>
      </c>
      <c r="CP97" s="62">
        <f t="shared" si="28"/>
        <v>2.8983606557377048</v>
      </c>
      <c r="CQ97" s="82">
        <v>0</v>
      </c>
      <c r="CR97" s="79">
        <f t="shared" si="26"/>
        <v>227.9651523109244</v>
      </c>
      <c r="CS97" s="65">
        <f t="shared" si="32"/>
        <v>1.7679999999999998</v>
      </c>
      <c r="CT97" s="80">
        <f t="shared" si="33"/>
        <v>0.7755571332185911</v>
      </c>
      <c r="CU97" s="110">
        <f t="shared" si="34"/>
        <v>-1.5440956498469689</v>
      </c>
      <c r="CV97" s="65">
        <v>4.55</v>
      </c>
      <c r="CW97" s="65">
        <f>CT97+CV97</f>
        <v>5.3255571332185907</v>
      </c>
      <c r="CX97" s="65">
        <f>SUM(K97:N97)/SUM(G97:J97)*CR97</f>
        <v>231.04524606427884</v>
      </c>
      <c r="CY97" s="65">
        <f>SUM(BB97:BE97)</f>
        <v>8.7799999999999994</v>
      </c>
      <c r="CZ97" s="65">
        <f>CY97/CX97%</f>
        <v>3.8001214695226082</v>
      </c>
      <c r="DA97" s="342">
        <v>95.2</v>
      </c>
      <c r="DB97" s="379">
        <v>131.33000000000001</v>
      </c>
      <c r="DD97" s="81">
        <f>CR97/CS97</f>
        <v>128.93956578672197</v>
      </c>
      <c r="DE97" s="61">
        <v>0.37</v>
      </c>
      <c r="DF97" s="61" t="s">
        <v>225</v>
      </c>
      <c r="DG97" s="61" t="s">
        <v>440</v>
      </c>
    </row>
    <row r="98" spans="1:111" ht="14.25" customHeight="1">
      <c r="A98" s="393" t="s">
        <v>697</v>
      </c>
      <c r="B98" s="61" t="s">
        <v>165</v>
      </c>
      <c r="C98" s="65">
        <v>1</v>
      </c>
      <c r="D98" s="65" t="e">
        <f t="shared" si="38"/>
        <v>#DIV/0!</v>
      </c>
      <c r="E98" s="65">
        <f t="shared" si="39"/>
        <v>7.0471854304635757</v>
      </c>
      <c r="F98" s="65" t="e">
        <f t="shared" si="40"/>
        <v>#DIV/0!</v>
      </c>
      <c r="G98" s="61">
        <v>425.65</v>
      </c>
      <c r="AW98" s="336">
        <v>124</v>
      </c>
      <c r="AX98" s="293">
        <v>88</v>
      </c>
      <c r="AY98" s="293">
        <v>82</v>
      </c>
      <c r="AZ98" s="293">
        <v>60</v>
      </c>
      <c r="BA98" s="61">
        <v>72</v>
      </c>
      <c r="BB98" s="61">
        <v>0</v>
      </c>
      <c r="CM98" s="342">
        <v>2506</v>
      </c>
      <c r="CN98" s="342">
        <v>147</v>
      </c>
      <c r="CO98" s="170">
        <f t="shared" si="31"/>
        <v>5.8659217877094978</v>
      </c>
      <c r="CP98" s="62">
        <f t="shared" ref="CP98:CP116" si="41">CS98/CN98%</f>
        <v>282.17687074829934</v>
      </c>
      <c r="CQ98" s="64"/>
      <c r="CR98" s="79">
        <f t="shared" si="26"/>
        <v>24854.438807785886</v>
      </c>
      <c r="CS98" s="65">
        <f t="shared" si="32"/>
        <v>414.8</v>
      </c>
      <c r="CT98" s="80">
        <f t="shared" si="33"/>
        <v>1.6689171829945322</v>
      </c>
      <c r="CU98" s="110">
        <f t="shared" si="34"/>
        <v>1.9956193895016585</v>
      </c>
      <c r="CX98" s="62"/>
      <c r="CZ98" s="62"/>
      <c r="DA98" s="342">
        <v>411</v>
      </c>
      <c r="DB98" s="342">
        <v>23999</v>
      </c>
    </row>
    <row r="99" spans="1:111" ht="14.25" customHeight="1">
      <c r="A99" s="400" t="s">
        <v>566</v>
      </c>
      <c r="B99" s="61" t="s">
        <v>165</v>
      </c>
      <c r="C99" s="65">
        <v>1</v>
      </c>
      <c r="D99" s="65" t="e">
        <f t="shared" si="38"/>
        <v>#DIV/0!</v>
      </c>
      <c r="E99" s="65">
        <f t="shared" si="39"/>
        <v>1.2940358744394618</v>
      </c>
      <c r="F99" s="65" t="e">
        <f t="shared" si="40"/>
        <v>#DIV/0!</v>
      </c>
      <c r="G99" s="61">
        <v>480.95</v>
      </c>
      <c r="AW99" s="325">
        <v>410</v>
      </c>
      <c r="AX99" s="229">
        <v>471</v>
      </c>
      <c r="AY99" s="229">
        <v>395</v>
      </c>
      <c r="AZ99" s="229">
        <v>365</v>
      </c>
      <c r="BA99" s="229">
        <v>487</v>
      </c>
      <c r="BB99" s="229">
        <v>446</v>
      </c>
      <c r="BC99" s="229">
        <v>335</v>
      </c>
      <c r="BD99" s="229">
        <v>257</v>
      </c>
      <c r="BE99" s="230">
        <v>245</v>
      </c>
      <c r="BF99" s="229">
        <v>384</v>
      </c>
      <c r="BG99" s="229">
        <v>369</v>
      </c>
      <c r="BH99" s="229">
        <v>387</v>
      </c>
      <c r="BI99" s="229">
        <v>292</v>
      </c>
      <c r="BJ99" s="229">
        <v>359</v>
      </c>
      <c r="BK99" s="61">
        <v>365</v>
      </c>
      <c r="BL99" s="61">
        <v>418</v>
      </c>
      <c r="CM99" s="342">
        <v>8898</v>
      </c>
      <c r="CN99" s="342">
        <v>95</v>
      </c>
      <c r="CO99" s="170">
        <f t="shared" si="31"/>
        <v>1.0676556529557204</v>
      </c>
      <c r="CP99" s="62">
        <f t="shared" si="41"/>
        <v>1784.4210526315787</v>
      </c>
      <c r="CQ99" s="64">
        <v>0</v>
      </c>
      <c r="CR99" s="79">
        <f t="shared" si="26"/>
        <v>18949.43</v>
      </c>
      <c r="CS99" s="65">
        <f t="shared" si="32"/>
        <v>1695.1999999999998</v>
      </c>
      <c r="CT99" s="110">
        <f t="shared" si="33"/>
        <v>8.9459155235803909</v>
      </c>
      <c r="CU99" s="110">
        <f t="shared" si="34"/>
        <v>8.6546138854836254</v>
      </c>
      <c r="CW99" s="62">
        <f t="shared" ref="CW99:CW115" si="42">CT99+CV99</f>
        <v>8.9459155235803909</v>
      </c>
      <c r="CX99" s="62"/>
      <c r="CZ99" s="62"/>
      <c r="DA99" s="342">
        <v>495</v>
      </c>
      <c r="DB99" s="342">
        <v>19503</v>
      </c>
    </row>
    <row r="100" spans="1:111" ht="14.25" customHeight="1">
      <c r="A100" s="392" t="s">
        <v>645</v>
      </c>
      <c r="B100" s="61" t="s">
        <v>44</v>
      </c>
      <c r="G100" s="61">
        <v>2469.5500000000002</v>
      </c>
      <c r="AW100" s="315">
        <v>326</v>
      </c>
      <c r="AX100" s="61">
        <v>246</v>
      </c>
      <c r="AY100" s="315">
        <v>229</v>
      </c>
      <c r="AZ100" s="61">
        <v>170</v>
      </c>
      <c r="BA100" s="266">
        <v>450</v>
      </c>
      <c r="BB100" s="61">
        <v>312</v>
      </c>
      <c r="BC100" s="266">
        <v>175</v>
      </c>
      <c r="BD100" s="292">
        <v>41</v>
      </c>
      <c r="BE100" s="292">
        <v>117</v>
      </c>
      <c r="BF100" s="292">
        <v>123</v>
      </c>
      <c r="BG100" s="292">
        <v>140</v>
      </c>
      <c r="BH100" s="292">
        <v>87</v>
      </c>
      <c r="CM100" s="346">
        <v>4996</v>
      </c>
      <c r="CN100" s="347">
        <v>46</v>
      </c>
      <c r="CO100" s="170">
        <f t="shared" si="31"/>
        <v>0.92073658927141711</v>
      </c>
      <c r="CP100" s="62">
        <f t="shared" si="41"/>
        <v>2380.4347826086955</v>
      </c>
      <c r="CQ100" s="64"/>
      <c r="CR100" s="62">
        <v>26549</v>
      </c>
      <c r="CS100" s="65">
        <f>SUM(AX100:BA100)</f>
        <v>1095</v>
      </c>
      <c r="CT100" s="80">
        <f t="shared" si="33"/>
        <v>4.1244491317940408</v>
      </c>
      <c r="CU100" s="110">
        <f t="shared" si="34"/>
        <v>4.9116727560360083</v>
      </c>
      <c r="CV100" s="65">
        <v>1</v>
      </c>
      <c r="CW100" s="65">
        <f t="shared" si="42"/>
        <v>5.1244491317940408</v>
      </c>
      <c r="CX100" s="65">
        <f>SUM(K100:N100)/SUM(G100:J100)*CR100</f>
        <v>0</v>
      </c>
      <c r="CZ100" s="62"/>
      <c r="DA100" s="342">
        <v>2090</v>
      </c>
      <c r="DB100" s="342">
        <v>26549</v>
      </c>
    </row>
    <row r="101" spans="1:111" ht="14.25" customHeight="1">
      <c r="A101" s="394" t="s">
        <v>623</v>
      </c>
      <c r="B101" s="61" t="s">
        <v>165</v>
      </c>
      <c r="C101" s="65">
        <v>1</v>
      </c>
      <c r="D101" s="65" t="e">
        <f>AVERAGE(G101:AA101)/AVERAGE(AC101:AV101)</f>
        <v>#DIV/0!</v>
      </c>
      <c r="E101" s="65">
        <f>AVERAGE(G101:AA101)/AVERAGE(AZ101:BQ101)</f>
        <v>79.780487804878049</v>
      </c>
      <c r="F101" s="65" t="e">
        <f>AVERAGE(G101:AA101)/AVERAGE(BS101:CL101)</f>
        <v>#DIV/0!</v>
      </c>
      <c r="G101" s="61">
        <v>1635.5</v>
      </c>
      <c r="AW101" s="313">
        <v>22</v>
      </c>
      <c r="AX101" s="232">
        <v>20</v>
      </c>
      <c r="AY101" s="232">
        <v>34</v>
      </c>
      <c r="AZ101" s="232">
        <v>33</v>
      </c>
      <c r="BA101" s="229">
        <v>25</v>
      </c>
      <c r="BB101" s="229">
        <v>27</v>
      </c>
      <c r="BC101" s="232">
        <v>8</v>
      </c>
      <c r="BD101" s="229">
        <v>16</v>
      </c>
      <c r="BE101" s="232">
        <v>13</v>
      </c>
      <c r="BF101" s="229">
        <v>25</v>
      </c>
      <c r="BG101" s="229">
        <v>17</v>
      </c>
      <c r="BH101" s="229">
        <v>17</v>
      </c>
      <c r="BI101" s="229">
        <v>17</v>
      </c>
      <c r="BJ101" s="89">
        <v>25</v>
      </c>
      <c r="BK101" s="61">
        <v>23</v>
      </c>
      <c r="CM101" s="342">
        <v>458</v>
      </c>
      <c r="CN101" s="342">
        <v>0.1</v>
      </c>
      <c r="CO101" s="170">
        <f t="shared" ref="CO101:CO116" si="43">CN101/CM101%</f>
        <v>2.1834061135371181E-2</v>
      </c>
      <c r="CP101" s="62">
        <f t="shared" si="41"/>
        <v>95000</v>
      </c>
      <c r="CQ101" s="64">
        <v>0</v>
      </c>
      <c r="CR101" s="79">
        <f t="shared" ref="CR101:CR116" si="44">( G101/DA101) * DB101</f>
        <v>1984.5332043842682</v>
      </c>
      <c r="CS101" s="65">
        <f t="shared" ref="CS101:CS115" si="45">((0.5*AW101)+(0.3*AX101)+(0.15*AY101)+(0.05*AZ101))*4</f>
        <v>95</v>
      </c>
      <c r="CT101" s="110">
        <f t="shared" si="33"/>
        <v>4.7870199294284523</v>
      </c>
      <c r="CU101" s="110">
        <f t="shared" si="34"/>
        <v>4.4342921451547772</v>
      </c>
      <c r="CW101" s="62">
        <f t="shared" si="42"/>
        <v>4.7870199294284523</v>
      </c>
      <c r="CX101" s="65">
        <f>SUM(K101:N101)/SUM(G101:J101)*CR101</f>
        <v>0</v>
      </c>
      <c r="CY101" s="65">
        <f>SUM(BC101:BF101)</f>
        <v>62</v>
      </c>
      <c r="CZ101" s="65" t="e">
        <f>CY101/CX101%</f>
        <v>#DIV/0!</v>
      </c>
      <c r="DA101" s="348">
        <v>1551</v>
      </c>
      <c r="DB101" s="348">
        <v>1882</v>
      </c>
    </row>
    <row r="102" spans="1:111" ht="14.25" customHeight="1">
      <c r="A102" s="386" t="s">
        <v>966</v>
      </c>
      <c r="B102" s="61" t="s">
        <v>268</v>
      </c>
      <c r="C102" s="65">
        <v>8</v>
      </c>
      <c r="D102" s="65" t="e">
        <f>AVERAGE(G102:AA102)/AVERAGE(AC102:AV102)</f>
        <v>#DIV/0!</v>
      </c>
      <c r="E102" s="65">
        <f>AVERAGE(G102:AA102)/AVERAGE(AZ102:BQ102)</f>
        <v>26.348399999999998</v>
      </c>
      <c r="F102" s="65" t="e">
        <f>AVERAGE(G102:AA102)/AVERAGE(BS102:CL102)</f>
        <v>#DIV/0!</v>
      </c>
      <c r="G102" s="61">
        <v>731.9</v>
      </c>
      <c r="AW102" s="315">
        <v>141</v>
      </c>
      <c r="AX102" s="387">
        <v>158</v>
      </c>
      <c r="AY102" s="387">
        <v>136</v>
      </c>
      <c r="AZ102" s="387">
        <v>104</v>
      </c>
      <c r="BA102" s="387">
        <v>103</v>
      </c>
      <c r="BB102" s="387">
        <v>94</v>
      </c>
      <c r="BC102" s="387">
        <v>81</v>
      </c>
      <c r="BD102" s="387">
        <v>79</v>
      </c>
      <c r="BE102" s="388">
        <v>-89</v>
      </c>
      <c r="BF102" s="387">
        <v>1</v>
      </c>
      <c r="BG102" s="388">
        <v>-47</v>
      </c>
      <c r="BH102" s="61">
        <v>-76</v>
      </c>
      <c r="CM102" s="342">
        <v>2395</v>
      </c>
      <c r="CN102" s="342">
        <v>54</v>
      </c>
      <c r="CO102" s="170">
        <f t="shared" si="43"/>
        <v>2.2546972860125263</v>
      </c>
      <c r="CP102" s="62">
        <f t="shared" si="41"/>
        <v>1062.9629629629628</v>
      </c>
      <c r="CQ102" s="64"/>
      <c r="CR102" s="79">
        <f t="shared" si="44"/>
        <v>9932.7811001410428</v>
      </c>
      <c r="CS102" s="65">
        <f t="shared" si="45"/>
        <v>574</v>
      </c>
      <c r="CT102" s="110">
        <f t="shared" si="33"/>
        <v>5.7788447587136433</v>
      </c>
      <c r="CU102" s="110">
        <f t="shared" si="34"/>
        <v>5.67816802075696</v>
      </c>
      <c r="CW102" s="62">
        <f t="shared" si="42"/>
        <v>5.7788447587136433</v>
      </c>
      <c r="CX102" s="65">
        <f>SUM(K102:N102)/SUM(G102:J102)*CR102</f>
        <v>0</v>
      </c>
      <c r="CZ102" s="62"/>
      <c r="DA102" s="342">
        <v>1418</v>
      </c>
      <c r="DB102" s="342">
        <v>19244</v>
      </c>
    </row>
    <row r="103" spans="1:111" ht="14.25" customHeight="1">
      <c r="A103" s="395" t="s">
        <v>925</v>
      </c>
      <c r="B103" s="61" t="s">
        <v>44</v>
      </c>
      <c r="C103" s="65">
        <v>7</v>
      </c>
      <c r="D103" s="65" t="e">
        <f>AVERAGE(G103:AA103)/AVERAGE(AC103:AV103)</f>
        <v>#DIV/0!</v>
      </c>
      <c r="E103" s="65">
        <f>AVERAGE(G103:AA103)/AVERAGE(AZ103:BQ103)</f>
        <v>29.428260869565218</v>
      </c>
      <c r="F103" s="65" t="e">
        <f>AVERAGE(G103:AA103)/AVERAGE(BS103:CL103)</f>
        <v>#DIV/0!</v>
      </c>
      <c r="G103" s="61">
        <v>676.85</v>
      </c>
      <c r="AW103" s="315">
        <v>29</v>
      </c>
      <c r="AX103" s="61">
        <v>21</v>
      </c>
      <c r="AY103" s="61">
        <v>25</v>
      </c>
      <c r="AZ103" s="61">
        <v>25</v>
      </c>
      <c r="BA103" s="61">
        <v>21</v>
      </c>
      <c r="CM103" s="342">
        <v>544</v>
      </c>
      <c r="CN103" s="342">
        <v>22</v>
      </c>
      <c r="CO103" s="170">
        <f t="shared" si="43"/>
        <v>4.0441176470588234</v>
      </c>
      <c r="CP103" s="62">
        <f t="shared" si="41"/>
        <v>469.09090909090912</v>
      </c>
      <c r="CQ103" s="64"/>
      <c r="CR103" s="79">
        <f t="shared" si="44"/>
        <v>3602.4002158273383</v>
      </c>
      <c r="CS103" s="65">
        <f t="shared" si="45"/>
        <v>103.2</v>
      </c>
      <c r="CT103" s="110">
        <f t="shared" si="33"/>
        <v>2.8647566571472343</v>
      </c>
      <c r="CU103" s="110">
        <f t="shared" si="34"/>
        <v>3.2200753122972787</v>
      </c>
      <c r="CW103" s="62">
        <f t="shared" si="42"/>
        <v>2.8647566571472343</v>
      </c>
      <c r="CX103" s="65">
        <f>SUM(K103:N103)/SUM(G103:J103)*CR103</f>
        <v>0</v>
      </c>
      <c r="CZ103" s="62"/>
      <c r="DA103" s="342">
        <v>695</v>
      </c>
      <c r="DB103" s="342">
        <v>3699</v>
      </c>
    </row>
    <row r="104" spans="1:111" ht="14.25" customHeight="1">
      <c r="A104" s="392" t="s">
        <v>218</v>
      </c>
      <c r="B104" s="65" t="s">
        <v>268</v>
      </c>
      <c r="C104" s="65">
        <v>1</v>
      </c>
      <c r="D104" s="65">
        <f>AVERAGE(G104:AA104)/AVERAGE(AC104:AV104)</f>
        <v>3.420391219827708</v>
      </c>
      <c r="E104" s="65">
        <f>AVERAGE(G104:AA104)/AVERAGE(BA104:BQ104)</f>
        <v>15.372709682321513</v>
      </c>
      <c r="F104" s="65">
        <f>AVERAGE(G104:AA104)/AVERAGE(BS104:CL104)</f>
        <v>2.4081310385538854</v>
      </c>
      <c r="G104" s="76">
        <v>6242.25</v>
      </c>
      <c r="H104" s="76">
        <v>751.25</v>
      </c>
      <c r="I104" s="76">
        <v>847.35</v>
      </c>
      <c r="J104" s="65">
        <v>660</v>
      </c>
      <c r="K104" s="65">
        <v>930.4</v>
      </c>
      <c r="L104" s="65">
        <v>874</v>
      </c>
      <c r="M104" s="62">
        <v>1034.95</v>
      </c>
      <c r="N104" s="62">
        <v>1428.2</v>
      </c>
      <c r="O104" s="62">
        <v>1237.8</v>
      </c>
      <c r="P104" s="62">
        <v>1059.8</v>
      </c>
      <c r="Q104" s="65">
        <v>839.65</v>
      </c>
      <c r="R104" s="65">
        <v>876.58</v>
      </c>
      <c r="S104" s="65">
        <v>756.02</v>
      </c>
      <c r="T104" s="65">
        <v>711.67</v>
      </c>
      <c r="U104" s="65">
        <v>648.70000000000005</v>
      </c>
      <c r="V104" s="65">
        <v>825.48</v>
      </c>
      <c r="W104" s="65">
        <v>954.7</v>
      </c>
      <c r="X104" s="62">
        <v>1041.3</v>
      </c>
      <c r="Y104" s="65">
        <v>913.25</v>
      </c>
      <c r="Z104" s="65">
        <v>852.6</v>
      </c>
      <c r="AA104" s="65">
        <v>554.02</v>
      </c>
      <c r="AB104" s="99">
        <v>439</v>
      </c>
      <c r="AC104" s="99">
        <v>423.44</v>
      </c>
      <c r="AD104" s="82">
        <v>385.83</v>
      </c>
      <c r="AE104" s="82">
        <v>361.71</v>
      </c>
      <c r="AF104" s="84">
        <v>405.1</v>
      </c>
      <c r="AG104" s="84">
        <v>407.01</v>
      </c>
      <c r="AH104" s="84">
        <v>402.78</v>
      </c>
      <c r="AI104" s="84">
        <v>382.03</v>
      </c>
      <c r="AJ104" s="84">
        <v>375.38</v>
      </c>
      <c r="AK104" s="84">
        <v>345.54</v>
      </c>
      <c r="AL104" s="84">
        <v>342.15</v>
      </c>
      <c r="AM104" s="84">
        <v>323.23</v>
      </c>
      <c r="AN104" s="84">
        <v>326.05</v>
      </c>
      <c r="AO104" s="84">
        <v>309.39</v>
      </c>
      <c r="AP104" s="84">
        <v>303.29000000000002</v>
      </c>
      <c r="AQ104" s="84">
        <v>294.32</v>
      </c>
      <c r="AR104" s="84">
        <v>293.95</v>
      </c>
      <c r="AS104" s="84">
        <v>274.08</v>
      </c>
      <c r="AT104" s="84">
        <v>263.66000000000003</v>
      </c>
      <c r="AU104" s="84">
        <v>243.52</v>
      </c>
      <c r="AV104" s="84">
        <v>231.28</v>
      </c>
      <c r="AW104" s="309">
        <v>160</v>
      </c>
      <c r="AX104" s="78">
        <v>151</v>
      </c>
      <c r="AY104" s="309">
        <v>125</v>
      </c>
      <c r="AZ104" s="78">
        <v>113</v>
      </c>
      <c r="BA104" s="78">
        <v>113</v>
      </c>
      <c r="BB104" s="78">
        <v>115</v>
      </c>
      <c r="BC104" s="78">
        <v>105</v>
      </c>
      <c r="BD104" s="78">
        <v>78</v>
      </c>
      <c r="BE104" s="78">
        <v>68.87</v>
      </c>
      <c r="BF104" s="78">
        <v>82.05</v>
      </c>
      <c r="BG104" s="78">
        <v>75.42</v>
      </c>
      <c r="BH104" s="94">
        <v>49.81</v>
      </c>
      <c r="BI104" s="94">
        <v>48.79</v>
      </c>
      <c r="BJ104" s="86">
        <v>71.290000000000006</v>
      </c>
      <c r="BK104" s="86">
        <v>65.989999999999995</v>
      </c>
      <c r="BL104" s="86">
        <v>82.18</v>
      </c>
      <c r="BM104" s="86">
        <v>70.5</v>
      </c>
      <c r="BN104" s="86">
        <v>70.290000000000006</v>
      </c>
      <c r="BO104" s="84">
        <v>62.77</v>
      </c>
      <c r="BP104" s="86">
        <v>57.24</v>
      </c>
      <c r="BQ104" s="86">
        <v>49.74</v>
      </c>
      <c r="BR104" s="87">
        <v>942.76</v>
      </c>
      <c r="BS104" s="87">
        <v>942.76</v>
      </c>
      <c r="BT104" s="87">
        <v>738.35</v>
      </c>
      <c r="BU104" s="87">
        <v>738.35</v>
      </c>
      <c r="BV104" s="87">
        <v>738.35</v>
      </c>
      <c r="BW104" s="87">
        <v>738.35</v>
      </c>
      <c r="BX104" s="87">
        <v>557.66999999999996</v>
      </c>
      <c r="BY104" s="87">
        <v>557.66999999999996</v>
      </c>
      <c r="BZ104" s="87">
        <v>557.66999999999996</v>
      </c>
      <c r="CA104" s="87">
        <v>557.66999999999996</v>
      </c>
      <c r="CB104" s="87">
        <v>385.69</v>
      </c>
      <c r="CC104" s="87">
        <v>385.69</v>
      </c>
      <c r="CD104" s="87">
        <v>385.69</v>
      </c>
      <c r="CE104" s="87">
        <v>385.69</v>
      </c>
      <c r="CF104" s="87">
        <v>283.35000000000002</v>
      </c>
      <c r="CG104" s="87">
        <v>283.35000000000002</v>
      </c>
      <c r="CH104" s="87">
        <v>283.35000000000002</v>
      </c>
      <c r="CI104" s="87">
        <v>283.35000000000002</v>
      </c>
      <c r="CJ104" s="87">
        <v>234.82</v>
      </c>
      <c r="CK104" s="87">
        <v>234.82</v>
      </c>
      <c r="CL104" s="87">
        <v>234.82</v>
      </c>
      <c r="CM104" s="352">
        <v>2169</v>
      </c>
      <c r="CN104" s="352">
        <v>139</v>
      </c>
      <c r="CO104" s="63">
        <f t="shared" si="43"/>
        <v>6.4084831719686486</v>
      </c>
      <c r="CP104" s="62">
        <f t="shared" si="41"/>
        <v>430.79136690647488</v>
      </c>
      <c r="CQ104" s="76">
        <v>0</v>
      </c>
      <c r="CR104" s="79">
        <f t="shared" si="44"/>
        <v>38874.5177344205</v>
      </c>
      <c r="CS104" s="65">
        <f t="shared" si="45"/>
        <v>598.80000000000007</v>
      </c>
      <c r="CT104" s="80">
        <f t="shared" si="33"/>
        <v>1.5403406521743346</v>
      </c>
      <c r="CU104" s="110">
        <f t="shared" si="34"/>
        <v>1.646322674334626</v>
      </c>
      <c r="CV104" s="65">
        <v>2.15</v>
      </c>
      <c r="CW104" s="65">
        <f t="shared" si="42"/>
        <v>3.6903406521743345</v>
      </c>
      <c r="CX104" s="65">
        <f>SUM(K104:N104)/SUM(G104:J104)*CR104</f>
        <v>19515.571755474593</v>
      </c>
      <c r="CY104" s="65">
        <f>SUM(BB104:BE104)</f>
        <v>366.87</v>
      </c>
      <c r="CZ104" s="65">
        <f>CY104/CX104%</f>
        <v>1.8798834315324839</v>
      </c>
      <c r="DA104" s="365">
        <v>1030.2</v>
      </c>
      <c r="DB104" s="380">
        <v>6415.72</v>
      </c>
      <c r="DD104" s="81">
        <f>CR104/CS104</f>
        <v>64.92070429929943</v>
      </c>
      <c r="DE104" s="65">
        <v>704.92431284026031</v>
      </c>
    </row>
    <row r="105" spans="1:111" ht="14.25" customHeight="1">
      <c r="A105" s="386" t="s">
        <v>751</v>
      </c>
      <c r="B105" s="61" t="s">
        <v>44</v>
      </c>
      <c r="C105" s="65">
        <v>1</v>
      </c>
      <c r="D105" s="65" t="e">
        <f>AVERAGE(G105:AA105)/AVERAGE(AD105:AV105)</f>
        <v>#DIV/0!</v>
      </c>
      <c r="E105" s="65">
        <f>AVERAGE(G105:AA105)/AVERAGE(AY105:BQ105)</f>
        <v>235.53488372093022</v>
      </c>
      <c r="F105" s="65" t="e">
        <f>AVERAGE(G105:AA105)/AVERAGE(BT105:CL105)</f>
        <v>#DIV/0!</v>
      </c>
      <c r="G105" s="61">
        <v>1688</v>
      </c>
      <c r="AW105" s="315">
        <v>16</v>
      </c>
      <c r="AX105" s="61">
        <v>22</v>
      </c>
      <c r="AY105" s="61">
        <v>21</v>
      </c>
      <c r="AZ105" s="61">
        <v>15</v>
      </c>
      <c r="BA105" s="61">
        <v>18</v>
      </c>
      <c r="BB105" s="89">
        <v>12</v>
      </c>
      <c r="BC105" s="61">
        <v>7</v>
      </c>
      <c r="BD105" s="89" t="s">
        <v>765</v>
      </c>
      <c r="BE105" s="61">
        <v>0</v>
      </c>
      <c r="BF105" s="61">
        <v>5</v>
      </c>
      <c r="BG105" s="61">
        <v>3</v>
      </c>
      <c r="BH105" s="61">
        <v>3</v>
      </c>
      <c r="BI105" s="61">
        <v>1</v>
      </c>
      <c r="BJ105" s="61">
        <v>1</v>
      </c>
      <c r="BK105" s="61">
        <v>0</v>
      </c>
      <c r="CM105" s="342">
        <v>147</v>
      </c>
      <c r="CN105" s="342">
        <v>4</v>
      </c>
      <c r="CO105" s="63">
        <f t="shared" si="43"/>
        <v>2.7210884353741496</v>
      </c>
      <c r="CP105" s="62">
        <f t="shared" si="41"/>
        <v>1850</v>
      </c>
      <c r="CQ105" s="64"/>
      <c r="CR105" s="79">
        <f t="shared" si="44"/>
        <v>2189.323308270677</v>
      </c>
      <c r="CS105" s="65">
        <f t="shared" si="45"/>
        <v>74</v>
      </c>
      <c r="CT105" s="110">
        <f t="shared" si="33"/>
        <v>3.380039837900954</v>
      </c>
      <c r="CU105" s="110">
        <f t="shared" si="34"/>
        <v>2.9232776976440684</v>
      </c>
      <c r="CW105" s="65">
        <f t="shared" si="42"/>
        <v>3.380039837900954</v>
      </c>
      <c r="CX105" s="62"/>
      <c r="CZ105" s="62"/>
      <c r="DA105" s="342">
        <v>1330</v>
      </c>
      <c r="DB105" s="342">
        <v>1725</v>
      </c>
    </row>
    <row r="106" spans="1:111" ht="14.25" customHeight="1">
      <c r="A106" s="386" t="s">
        <v>809</v>
      </c>
      <c r="B106" s="76" t="s">
        <v>44</v>
      </c>
      <c r="C106" s="65">
        <v>1</v>
      </c>
      <c r="D106" s="65">
        <v>0.02</v>
      </c>
      <c r="E106" s="65">
        <v>0.9</v>
      </c>
      <c r="F106" s="65">
        <v>0.02</v>
      </c>
      <c r="G106" s="76">
        <v>2461.35</v>
      </c>
      <c r="AW106" s="337">
        <v>510</v>
      </c>
      <c r="AX106" s="273">
        <v>1004</v>
      </c>
      <c r="AY106" s="61">
        <v>639</v>
      </c>
      <c r="AZ106" s="61">
        <v>20</v>
      </c>
      <c r="BA106" s="61">
        <v>564</v>
      </c>
      <c r="BB106" s="61">
        <v>525</v>
      </c>
      <c r="BC106" s="61">
        <v>175</v>
      </c>
      <c r="BD106" s="61">
        <v>-291</v>
      </c>
      <c r="BE106" s="61">
        <v>346</v>
      </c>
      <c r="BF106" s="61">
        <v>474</v>
      </c>
      <c r="BG106" s="61">
        <v>315</v>
      </c>
      <c r="BH106" s="61">
        <v>364</v>
      </c>
      <c r="BI106" s="61">
        <v>354</v>
      </c>
      <c r="BJ106" s="61">
        <v>413</v>
      </c>
      <c r="BK106" s="61">
        <v>306</v>
      </c>
      <c r="CM106" s="342">
        <v>21194</v>
      </c>
      <c r="CN106" s="342">
        <v>7275</v>
      </c>
      <c r="CO106" s="170">
        <f t="shared" si="43"/>
        <v>34.325752571482496</v>
      </c>
      <c r="CP106" s="62">
        <f t="shared" si="41"/>
        <v>35.906529209621993</v>
      </c>
      <c r="CQ106" s="61">
        <v>0</v>
      </c>
      <c r="CR106" s="79">
        <f t="shared" si="44"/>
        <v>218547.06622418878</v>
      </c>
      <c r="CS106" s="65">
        <f t="shared" si="45"/>
        <v>2612.2000000000003</v>
      </c>
      <c r="CT106" s="110">
        <f t="shared" si="33"/>
        <v>1.1952574084524052</v>
      </c>
      <c r="CU106" s="110">
        <f t="shared" si="34"/>
        <v>0.93343737586819786</v>
      </c>
      <c r="CW106" s="62">
        <f t="shared" si="42"/>
        <v>1.1952574084524052</v>
      </c>
      <c r="CX106" s="65">
        <f t="shared" ref="CX106:CX112" si="46">SUM(K106:N106)/SUM(G106:J106)*CR106</f>
        <v>0</v>
      </c>
      <c r="CY106" s="65">
        <f>SUM(BC106:BF106)</f>
        <v>704</v>
      </c>
      <c r="CZ106" s="65" t="e">
        <f t="shared" ref="CZ106:CZ112" si="47">CY106/CX106%</f>
        <v>#DIV/0!</v>
      </c>
      <c r="DA106" s="342">
        <v>2034</v>
      </c>
      <c r="DB106" s="342">
        <v>180602</v>
      </c>
    </row>
    <row r="107" spans="1:111" ht="14.25" customHeight="1">
      <c r="A107" s="279" t="s">
        <v>230</v>
      </c>
      <c r="B107" s="76" t="s">
        <v>44</v>
      </c>
      <c r="C107" s="65">
        <v>1</v>
      </c>
      <c r="D107" s="65">
        <v>0.02</v>
      </c>
      <c r="E107" s="65">
        <v>0.9</v>
      </c>
      <c r="F107" s="65">
        <v>0.02</v>
      </c>
      <c r="G107" s="76">
        <v>411.5</v>
      </c>
      <c r="H107" s="65">
        <v>30</v>
      </c>
      <c r="I107" s="65">
        <v>60</v>
      </c>
      <c r="J107" s="65">
        <v>85.55</v>
      </c>
      <c r="K107" s="65">
        <v>92.65</v>
      </c>
      <c r="L107" s="65">
        <v>116.55</v>
      </c>
      <c r="M107" s="65">
        <v>158.65</v>
      </c>
      <c r="N107" s="65">
        <v>183.3</v>
      </c>
      <c r="O107" s="65">
        <v>244.1</v>
      </c>
      <c r="P107" s="65">
        <v>222.3</v>
      </c>
      <c r="Q107" s="65">
        <v>263.3</v>
      </c>
      <c r="R107" s="65">
        <v>282.14999999999998</v>
      </c>
      <c r="S107" s="65">
        <v>299.10000000000002</v>
      </c>
      <c r="T107" s="65">
        <v>340.5</v>
      </c>
      <c r="U107" s="65">
        <v>288.35000000000002</v>
      </c>
      <c r="V107" s="65">
        <v>289.35000000000002</v>
      </c>
      <c r="W107" s="65">
        <v>216.45</v>
      </c>
      <c r="X107" s="65">
        <v>260.7</v>
      </c>
      <c r="Y107" s="65">
        <v>328.12</v>
      </c>
      <c r="Z107" s="65">
        <v>332.23</v>
      </c>
      <c r="AA107" s="65">
        <v>291.7</v>
      </c>
      <c r="AB107" s="117">
        <v>13250.19</v>
      </c>
      <c r="AC107" s="107">
        <v>18428.599999999999</v>
      </c>
      <c r="AD107" s="107">
        <v>16099.82</v>
      </c>
      <c r="AE107" s="107">
        <v>17644.13</v>
      </c>
      <c r="AF107" s="107">
        <v>16592.330000000002</v>
      </c>
      <c r="AG107" s="107">
        <v>19779.32</v>
      </c>
      <c r="AH107" s="107">
        <v>16101.6</v>
      </c>
      <c r="AI107" s="107">
        <v>13400.08</v>
      </c>
      <c r="AJ107" s="107">
        <v>9094.34</v>
      </c>
      <c r="AK107" s="107">
        <v>13586.68</v>
      </c>
      <c r="AL107" s="107">
        <v>10123.93</v>
      </c>
      <c r="AM107" s="107">
        <v>10140.06</v>
      </c>
      <c r="AN107" s="107">
        <v>10166.049999999999</v>
      </c>
      <c r="AO107" s="107">
        <v>12799.68</v>
      </c>
      <c r="AP107" s="107">
        <v>9878.74</v>
      </c>
      <c r="AQ107" s="107">
        <v>10500.79</v>
      </c>
      <c r="AR107" s="107">
        <v>10262.76</v>
      </c>
      <c r="AS107" s="107">
        <v>10676.19</v>
      </c>
      <c r="AT107" s="107">
        <v>8943.57</v>
      </c>
      <c r="AU107" s="107">
        <v>8657.85</v>
      </c>
      <c r="AV107" s="108">
        <v>7612.89</v>
      </c>
      <c r="AW107" s="338">
        <v>-7510</v>
      </c>
      <c r="AX107" s="174">
        <v>3222</v>
      </c>
      <c r="AY107" s="142">
        <v>-2190.64</v>
      </c>
      <c r="AZ107" s="142">
        <v>-4871.05</v>
      </c>
      <c r="BA107" s="142">
        <v>-1039.51</v>
      </c>
      <c r="BB107" s="86">
        <v>-97.1</v>
      </c>
      <c r="BC107" s="84">
        <v>106.19</v>
      </c>
      <c r="BD107" s="86">
        <v>617.62</v>
      </c>
      <c r="BE107" s="86">
        <v>109.14</v>
      </c>
      <c r="BF107" s="108">
        <v>1187.6500000000001</v>
      </c>
      <c r="BG107" s="86">
        <v>-499.94</v>
      </c>
      <c r="BH107" s="86">
        <v>183.65</v>
      </c>
      <c r="BI107" s="86">
        <v>-295.3</v>
      </c>
      <c r="BJ107" s="86">
        <v>-467.05</v>
      </c>
      <c r="BK107" s="86">
        <v>-829.04</v>
      </c>
      <c r="BL107" s="108">
        <v>-1045.94</v>
      </c>
      <c r="BM107" s="86">
        <v>-630.76</v>
      </c>
      <c r="BN107" s="84">
        <v>25.75</v>
      </c>
      <c r="BO107" s="86">
        <v>397.95</v>
      </c>
      <c r="BP107" s="86">
        <v>-136.82</v>
      </c>
      <c r="BQ107" s="86">
        <v>-288.79000000000002</v>
      </c>
      <c r="BR107" s="101">
        <v>22162.52</v>
      </c>
      <c r="BS107" s="101">
        <v>22162.52</v>
      </c>
      <c r="BT107" s="101">
        <v>20170.98</v>
      </c>
      <c r="BU107" s="101">
        <v>20170.98</v>
      </c>
      <c r="BV107" s="101">
        <v>20170.98</v>
      </c>
      <c r="BW107" s="101">
        <v>20170.98</v>
      </c>
      <c r="BX107" s="101">
        <v>21162.61</v>
      </c>
      <c r="BY107" s="101">
        <v>21162.61</v>
      </c>
      <c r="BZ107" s="101">
        <v>21162.61</v>
      </c>
      <c r="CA107" s="101">
        <v>21162.61</v>
      </c>
      <c r="CB107" s="101">
        <v>23262.11</v>
      </c>
      <c r="CC107" s="101">
        <v>23262.11</v>
      </c>
      <c r="CD107" s="101">
        <v>23262.11</v>
      </c>
      <c r="CE107" s="101">
        <v>23262.11</v>
      </c>
      <c r="CF107" s="101">
        <v>14839.72</v>
      </c>
      <c r="CG107" s="101">
        <v>14839.72</v>
      </c>
      <c r="CH107" s="101">
        <v>14839.72</v>
      </c>
      <c r="CI107" s="101">
        <v>14839.72</v>
      </c>
      <c r="CJ107" s="101">
        <v>19153.78</v>
      </c>
      <c r="CK107" s="101">
        <v>19153.78</v>
      </c>
      <c r="CL107" s="101">
        <v>19153.78</v>
      </c>
      <c r="CM107" s="353">
        <v>39700.050000000003</v>
      </c>
      <c r="CN107" s="375">
        <v>17537.53</v>
      </c>
      <c r="CO107" s="63">
        <f t="shared" si="43"/>
        <v>44.175082902918248</v>
      </c>
      <c r="CP107" s="62">
        <f t="shared" si="41"/>
        <v>-76.648159689534396</v>
      </c>
      <c r="CQ107" s="114">
        <v>0</v>
      </c>
      <c r="CR107" s="79">
        <f t="shared" si="44"/>
        <v>118890.9405927835</v>
      </c>
      <c r="CS107" s="65">
        <f t="shared" si="45"/>
        <v>-13442.194</v>
      </c>
      <c r="CT107" s="80">
        <f t="shared" si="33"/>
        <v>-11.306323200891491</v>
      </c>
      <c r="CU107" s="110">
        <f t="shared" si="34"/>
        <v>-25.266853681384184</v>
      </c>
      <c r="CW107" s="65">
        <f t="shared" si="42"/>
        <v>-11.306323200891491</v>
      </c>
      <c r="CX107" s="65">
        <f t="shared" si="46"/>
        <v>111620.37630135873</v>
      </c>
      <c r="CY107" s="62">
        <f>SUM(BB107:BE107)</f>
        <v>735.85</v>
      </c>
      <c r="CZ107" s="65">
        <f t="shared" si="47"/>
        <v>0.65924343241175998</v>
      </c>
      <c r="DA107" s="365">
        <v>77.599999999999994</v>
      </c>
      <c r="DB107" s="380">
        <v>22420.26</v>
      </c>
      <c r="DC107" s="61" t="s">
        <v>401</v>
      </c>
      <c r="DD107" s="81">
        <f t="shared" ref="DD107:DD112" si="48">CR107/CS107</f>
        <v>-8.8446082977811145</v>
      </c>
      <c r="DE107" s="65">
        <v>704.92431284026031</v>
      </c>
      <c r="DF107" s="132"/>
      <c r="DG107" s="132"/>
    </row>
    <row r="108" spans="1:111" ht="14.25" customHeight="1">
      <c r="A108" s="392" t="s">
        <v>37</v>
      </c>
      <c r="B108" s="76" t="s">
        <v>268</v>
      </c>
      <c r="C108" s="65">
        <v>1</v>
      </c>
      <c r="D108" s="65">
        <f>AVERAGE(G108:AA108)/AVERAGE(AC108:AV108)</f>
        <v>5.8172784214821975</v>
      </c>
      <c r="E108" s="65">
        <f>AVERAGE(G108:AA108)/AVERAGE(BB108:BQ108)</f>
        <v>30.379721914605625</v>
      </c>
      <c r="F108" s="65">
        <f>AVERAGE(G108:AA108)/AVERAGE(BS108:CL108)</f>
        <v>1.5427289736818295</v>
      </c>
      <c r="G108" s="76">
        <v>128.15</v>
      </c>
      <c r="H108" s="76">
        <v>82.2</v>
      </c>
      <c r="I108" s="65">
        <v>52.4</v>
      </c>
      <c r="J108" s="65">
        <v>67.849999999999994</v>
      </c>
      <c r="K108" s="65">
        <v>82</v>
      </c>
      <c r="L108" s="65">
        <v>82.7</v>
      </c>
      <c r="M108" s="65">
        <v>79</v>
      </c>
      <c r="N108" s="65">
        <v>112</v>
      </c>
      <c r="O108" s="65">
        <v>126.1</v>
      </c>
      <c r="P108" s="65">
        <v>121.6</v>
      </c>
      <c r="Q108" s="65">
        <v>63.25</v>
      </c>
      <c r="R108" s="65">
        <v>78.75</v>
      </c>
      <c r="S108" s="65">
        <v>68.900000000000006</v>
      </c>
      <c r="T108" s="65">
        <v>68.7</v>
      </c>
      <c r="U108" s="65">
        <v>76.25</v>
      </c>
      <c r="V108" s="65">
        <v>42.75</v>
      </c>
      <c r="W108" s="65">
        <v>52.1</v>
      </c>
      <c r="X108" s="65">
        <v>65.8</v>
      </c>
      <c r="Y108" s="65">
        <v>49.25</v>
      </c>
      <c r="Z108" s="65">
        <v>21.35</v>
      </c>
      <c r="AA108" s="65">
        <v>22</v>
      </c>
      <c r="AB108" s="78">
        <v>19.62</v>
      </c>
      <c r="AC108" s="94">
        <v>20.75</v>
      </c>
      <c r="AD108" s="84">
        <v>15.58</v>
      </c>
      <c r="AE108" s="84">
        <v>11.47</v>
      </c>
      <c r="AF108" s="84">
        <v>11.47</v>
      </c>
      <c r="AG108" s="84">
        <v>15.08</v>
      </c>
      <c r="AH108" s="84">
        <v>16.07</v>
      </c>
      <c r="AI108" s="84">
        <v>11.32</v>
      </c>
      <c r="AJ108" s="84">
        <v>9.24</v>
      </c>
      <c r="AK108" s="84">
        <v>13.19</v>
      </c>
      <c r="AL108" s="84">
        <v>13.72</v>
      </c>
      <c r="AM108" s="84">
        <v>15.45</v>
      </c>
      <c r="AN108" s="84">
        <v>10.199999999999999</v>
      </c>
      <c r="AO108" s="84">
        <v>12.05</v>
      </c>
      <c r="AP108" s="84">
        <v>11.86</v>
      </c>
      <c r="AQ108" s="84">
        <v>8.14</v>
      </c>
      <c r="AR108" s="84">
        <v>12.35</v>
      </c>
      <c r="AS108" s="95">
        <v>12.59</v>
      </c>
      <c r="AT108" s="84">
        <v>8.91</v>
      </c>
      <c r="AU108" s="95">
        <v>11.25</v>
      </c>
      <c r="AV108" s="95">
        <v>11.94</v>
      </c>
      <c r="AW108" s="309">
        <v>4.25</v>
      </c>
      <c r="AX108" s="78">
        <v>1.73</v>
      </c>
      <c r="AY108" s="78">
        <v>1.1399999999999999</v>
      </c>
      <c r="AZ108" s="78">
        <v>6.58</v>
      </c>
      <c r="BA108" s="78">
        <v>6</v>
      </c>
      <c r="BB108" s="78">
        <v>5.85</v>
      </c>
      <c r="BC108" s="78">
        <v>3.42</v>
      </c>
      <c r="BD108" s="78">
        <v>5.0599999999999996</v>
      </c>
      <c r="BE108" s="94">
        <v>6.17</v>
      </c>
      <c r="BF108" s="92">
        <v>2.9</v>
      </c>
      <c r="BG108" s="92">
        <v>0.82</v>
      </c>
      <c r="BH108" s="86">
        <v>1.88</v>
      </c>
      <c r="BI108" s="86">
        <v>2.71</v>
      </c>
      <c r="BJ108" s="92">
        <v>1.73</v>
      </c>
      <c r="BK108" s="84">
        <v>0.21</v>
      </c>
      <c r="BL108" s="84">
        <v>1.27</v>
      </c>
      <c r="BM108" s="84">
        <v>2</v>
      </c>
      <c r="BN108" s="86">
        <v>2.39</v>
      </c>
      <c r="BO108" s="86">
        <v>0.02</v>
      </c>
      <c r="BP108" s="86">
        <v>1.02</v>
      </c>
      <c r="BQ108" s="92">
        <v>1.25</v>
      </c>
      <c r="BR108" s="87">
        <v>60.27</v>
      </c>
      <c r="BS108" s="87">
        <v>60.27</v>
      </c>
      <c r="BT108" s="87">
        <v>53.13</v>
      </c>
      <c r="BU108" s="87">
        <v>53.13</v>
      </c>
      <c r="BV108" s="87">
        <v>53.13</v>
      </c>
      <c r="BW108" s="87">
        <v>53.13</v>
      </c>
      <c r="BX108" s="87">
        <v>47.89</v>
      </c>
      <c r="BY108" s="87">
        <v>47.89</v>
      </c>
      <c r="BZ108" s="87">
        <v>47.89</v>
      </c>
      <c r="CA108" s="87">
        <v>47.89</v>
      </c>
      <c r="CB108" s="87">
        <v>45.59</v>
      </c>
      <c r="CC108" s="87">
        <v>45.59</v>
      </c>
      <c r="CD108" s="87">
        <v>45.59</v>
      </c>
      <c r="CE108" s="87">
        <v>45.59</v>
      </c>
      <c r="CF108" s="87">
        <v>43.79</v>
      </c>
      <c r="CG108" s="87">
        <v>43.79</v>
      </c>
      <c r="CH108" s="87">
        <v>43.79</v>
      </c>
      <c r="CI108" s="87">
        <v>43.79</v>
      </c>
      <c r="CJ108" s="87">
        <v>43.58</v>
      </c>
      <c r="CK108" s="87">
        <v>43.58</v>
      </c>
      <c r="CL108" s="87">
        <v>43.58</v>
      </c>
      <c r="CM108" s="352">
        <v>60.25</v>
      </c>
      <c r="CN108" s="352">
        <v>0.6</v>
      </c>
      <c r="CO108" s="63">
        <f t="shared" si="43"/>
        <v>0.99585062240663891</v>
      </c>
      <c r="CP108" s="62">
        <f t="shared" si="41"/>
        <v>2096</v>
      </c>
      <c r="CQ108" s="114">
        <v>0</v>
      </c>
      <c r="CR108" s="79">
        <f t="shared" si="44"/>
        <v>129.15858796296297</v>
      </c>
      <c r="CS108" s="65">
        <f t="shared" si="45"/>
        <v>12.576000000000001</v>
      </c>
      <c r="CT108" s="80">
        <f t="shared" si="33"/>
        <v>9.7368670549466252</v>
      </c>
      <c r="CU108" s="110">
        <f t="shared" si="34"/>
        <v>13.162113544377595</v>
      </c>
      <c r="CV108" s="87">
        <v>0.95</v>
      </c>
      <c r="CW108" s="65">
        <f t="shared" si="42"/>
        <v>10.686867054946624</v>
      </c>
      <c r="CX108" s="65">
        <f t="shared" si="46"/>
        <v>138.96463925718669</v>
      </c>
      <c r="CY108" s="65">
        <f>SUM(BB108:BE108)</f>
        <v>20.5</v>
      </c>
      <c r="CZ108" s="65">
        <f t="shared" si="47"/>
        <v>14.751954245036348</v>
      </c>
      <c r="DA108" s="342">
        <v>108</v>
      </c>
      <c r="DB108" s="379">
        <v>108.85</v>
      </c>
      <c r="DD108" s="81">
        <f t="shared" si="48"/>
        <v>10.270243953797946</v>
      </c>
    </row>
    <row r="109" spans="1:111" ht="14.25" customHeight="1">
      <c r="A109" s="426" t="s">
        <v>38</v>
      </c>
      <c r="B109" s="76" t="s">
        <v>165</v>
      </c>
      <c r="C109" s="65">
        <v>1</v>
      </c>
      <c r="D109" s="65" t="e">
        <f>AVERAGE(G109:AA109)/AVERAGE(AC109:AV109)</f>
        <v>#DIV/0!</v>
      </c>
      <c r="E109" s="65">
        <f>AVERAGE(G109:AA109)/AVERAGE(AZ109:BQ109)</f>
        <v>110.39323274609444</v>
      </c>
      <c r="F109" s="65" t="e">
        <f>AVERAGE(G109:AA109)/AVERAGE(BS109:CL109)</f>
        <v>#DIV/0!</v>
      </c>
      <c r="G109" s="65">
        <v>109.5</v>
      </c>
      <c r="H109" s="65">
        <v>140</v>
      </c>
      <c r="I109" s="65">
        <v>207.12</v>
      </c>
      <c r="J109" s="65">
        <v>241.95</v>
      </c>
      <c r="K109" s="65">
        <v>314.8</v>
      </c>
      <c r="L109" s="65">
        <v>393.35</v>
      </c>
      <c r="M109" s="65">
        <v>389.95</v>
      </c>
      <c r="N109" s="65">
        <v>459.05</v>
      </c>
      <c r="O109" s="65">
        <v>433.45</v>
      </c>
      <c r="P109" s="65">
        <v>376.45</v>
      </c>
      <c r="Q109" s="65">
        <v>466.65</v>
      </c>
      <c r="R109" s="65">
        <v>454.85</v>
      </c>
      <c r="S109" s="65">
        <v>479.45</v>
      </c>
      <c r="T109" s="65">
        <v>578.4</v>
      </c>
      <c r="U109" s="65">
        <v>511.35</v>
      </c>
      <c r="V109" s="65">
        <v>513.4</v>
      </c>
      <c r="W109" s="65">
        <v>549.9</v>
      </c>
      <c r="X109" s="65">
        <v>620</v>
      </c>
      <c r="Y109" s="65">
        <v>568.79999999999995</v>
      </c>
      <c r="AB109" s="89"/>
      <c r="AC109" s="89"/>
      <c r="AK109" s="89"/>
      <c r="AL109" s="89"/>
      <c r="AV109" s="89"/>
      <c r="AW109" s="339">
        <v>-19</v>
      </c>
      <c r="AX109" s="234">
        <v>-13</v>
      </c>
      <c r="AY109" s="234">
        <v>-26</v>
      </c>
      <c r="AZ109" s="234">
        <v>-27</v>
      </c>
      <c r="BA109" s="234">
        <v>-28</v>
      </c>
      <c r="BB109" s="235">
        <v>-31</v>
      </c>
      <c r="BC109" s="235">
        <v>-33</v>
      </c>
      <c r="BD109" s="234">
        <v>7</v>
      </c>
      <c r="BE109" s="235">
        <v>27</v>
      </c>
      <c r="BF109" s="235">
        <v>-4</v>
      </c>
      <c r="BG109" s="235">
        <v>8</v>
      </c>
      <c r="BH109" s="235">
        <v>34</v>
      </c>
      <c r="BI109" s="234">
        <v>15</v>
      </c>
      <c r="BJ109" s="200">
        <v>11</v>
      </c>
      <c r="BK109" s="191">
        <v>8</v>
      </c>
      <c r="BL109" s="190">
        <v>15</v>
      </c>
      <c r="BM109" s="191">
        <v>11</v>
      </c>
      <c r="BN109" s="191">
        <v>8</v>
      </c>
      <c r="BO109" s="86">
        <v>26</v>
      </c>
      <c r="BP109" s="86">
        <v>12</v>
      </c>
      <c r="BQ109" s="86">
        <v>8.01</v>
      </c>
      <c r="BR109" s="83">
        <v>492.48</v>
      </c>
      <c r="BT109" s="89"/>
      <c r="BU109" s="89"/>
      <c r="BV109" s="89"/>
      <c r="BW109" s="89"/>
      <c r="CB109" s="89"/>
      <c r="CC109" s="89"/>
      <c r="CD109" s="89"/>
      <c r="CE109" s="89"/>
      <c r="CM109" s="349">
        <v>520</v>
      </c>
      <c r="CN109" s="349">
        <v>71</v>
      </c>
      <c r="CO109" s="170">
        <f t="shared" si="43"/>
        <v>13.653846153846153</v>
      </c>
      <c r="CP109" s="62">
        <f t="shared" si="41"/>
        <v>-105.07042253521128</v>
      </c>
      <c r="CQ109" s="76">
        <v>0</v>
      </c>
      <c r="CR109" s="79">
        <f t="shared" si="44"/>
        <v>311.77790697674419</v>
      </c>
      <c r="CS109" s="65">
        <f t="shared" si="45"/>
        <v>-74.600000000000009</v>
      </c>
      <c r="CT109" s="110">
        <f t="shared" si="33"/>
        <v>-23.927288730424536</v>
      </c>
      <c r="CU109" s="110">
        <f t="shared" si="34"/>
        <v>-24.376326320539739</v>
      </c>
      <c r="CV109" s="65">
        <v>21.44</v>
      </c>
      <c r="CW109" s="62">
        <f t="shared" si="42"/>
        <v>-2.4872887304245346</v>
      </c>
      <c r="CX109" s="65">
        <f t="shared" si="46"/>
        <v>694.96967784021251</v>
      </c>
      <c r="CY109" s="65">
        <f>SUM(BC109:BF109)</f>
        <v>-3</v>
      </c>
      <c r="CZ109" s="65">
        <f t="shared" si="47"/>
        <v>-0.43167350974552304</v>
      </c>
      <c r="DA109" s="342">
        <v>116.1</v>
      </c>
      <c r="DB109" s="342">
        <v>330.57</v>
      </c>
      <c r="DD109" s="81">
        <f t="shared" si="48"/>
        <v>-4.1793285117526029</v>
      </c>
    </row>
    <row r="110" spans="1:111" ht="14.25" customHeight="1">
      <c r="A110" s="392" t="s">
        <v>39</v>
      </c>
      <c r="B110" s="76" t="s">
        <v>268</v>
      </c>
      <c r="C110" s="65">
        <v>1</v>
      </c>
      <c r="D110" s="65">
        <v>3.39</v>
      </c>
      <c r="E110" s="65">
        <v>41.77</v>
      </c>
      <c r="F110" s="65">
        <v>1</v>
      </c>
      <c r="G110" s="76">
        <v>416.75</v>
      </c>
      <c r="H110" s="76">
        <v>90.15</v>
      </c>
      <c r="I110" s="76">
        <v>90.15</v>
      </c>
      <c r="J110" s="65">
        <v>176.6</v>
      </c>
      <c r="K110" s="65">
        <v>198.75</v>
      </c>
      <c r="L110" s="65">
        <v>314.05</v>
      </c>
      <c r="M110" s="65">
        <v>263.8</v>
      </c>
      <c r="N110" s="65">
        <v>226.45</v>
      </c>
      <c r="O110" s="65">
        <v>173.9</v>
      </c>
      <c r="P110" s="65">
        <v>168</v>
      </c>
      <c r="Q110" s="65">
        <v>129.6</v>
      </c>
      <c r="R110" s="65">
        <v>140.44999999999999</v>
      </c>
      <c r="S110" s="65">
        <v>110.5</v>
      </c>
      <c r="T110" s="65">
        <v>103.75</v>
      </c>
      <c r="U110" s="65">
        <v>100.45</v>
      </c>
      <c r="V110" s="65">
        <v>72.45</v>
      </c>
      <c r="W110" s="65">
        <v>70.650000000000006</v>
      </c>
      <c r="X110" s="65">
        <v>102.6</v>
      </c>
      <c r="Y110" s="65">
        <v>66.45</v>
      </c>
      <c r="Z110" s="65">
        <v>68.650000000000006</v>
      </c>
      <c r="AA110" s="65">
        <v>75.05</v>
      </c>
      <c r="AB110" s="99">
        <v>51.48</v>
      </c>
      <c r="AC110" s="82">
        <v>42.45</v>
      </c>
      <c r="AD110" s="83">
        <v>44.04</v>
      </c>
      <c r="AE110" s="84">
        <v>53.58</v>
      </c>
      <c r="AF110" s="84">
        <v>50.69</v>
      </c>
      <c r="AG110" s="84">
        <v>53.83</v>
      </c>
      <c r="AH110" s="84">
        <v>54.55</v>
      </c>
      <c r="AI110" s="84">
        <v>51.94</v>
      </c>
      <c r="AJ110" s="84">
        <v>47.46</v>
      </c>
      <c r="AK110" s="84">
        <v>42.66</v>
      </c>
      <c r="AL110" s="86">
        <v>39.04</v>
      </c>
      <c r="AM110" s="86">
        <v>39.47</v>
      </c>
      <c r="AN110" s="84">
        <v>38.83</v>
      </c>
      <c r="AO110" s="84">
        <v>37.24</v>
      </c>
      <c r="AP110" s="84">
        <v>37.83</v>
      </c>
      <c r="AQ110" s="84">
        <v>32.909999999999997</v>
      </c>
      <c r="AR110" s="84">
        <v>29.65</v>
      </c>
      <c r="AS110" s="84">
        <v>33.97</v>
      </c>
      <c r="AT110" s="84">
        <v>28.18</v>
      </c>
      <c r="AU110" s="84">
        <v>28.42</v>
      </c>
      <c r="AV110" s="84">
        <v>25.15</v>
      </c>
      <c r="AW110" s="340">
        <v>12</v>
      </c>
      <c r="AX110" s="135">
        <v>12</v>
      </c>
      <c r="AY110" s="135">
        <v>9.51</v>
      </c>
      <c r="AZ110" s="135">
        <v>8.11</v>
      </c>
      <c r="BA110" s="135">
        <v>7.75</v>
      </c>
      <c r="BB110" s="135">
        <v>8</v>
      </c>
      <c r="BC110" s="144">
        <v>7</v>
      </c>
      <c r="BD110" s="78">
        <v>-1.88</v>
      </c>
      <c r="BE110" s="94">
        <v>0.14000000000000001</v>
      </c>
      <c r="BF110" s="103">
        <v>4.71</v>
      </c>
      <c r="BG110" s="86">
        <v>0.9</v>
      </c>
      <c r="BH110" s="86">
        <v>1.17</v>
      </c>
      <c r="BI110" s="86">
        <v>6.77</v>
      </c>
      <c r="BJ110" s="86">
        <v>5.12</v>
      </c>
      <c r="BK110" s="86">
        <v>6.97</v>
      </c>
      <c r="BL110" s="86">
        <v>6.46</v>
      </c>
      <c r="BM110" s="86">
        <v>5.07</v>
      </c>
      <c r="BN110" s="86">
        <v>5.97</v>
      </c>
      <c r="BO110" s="86">
        <v>4.33</v>
      </c>
      <c r="BP110" s="86">
        <v>1.06</v>
      </c>
      <c r="BQ110" s="86">
        <v>2.4</v>
      </c>
      <c r="BR110" s="87">
        <v>171.55</v>
      </c>
      <c r="BS110" s="87">
        <v>171.55</v>
      </c>
      <c r="BT110" s="87">
        <v>152.05000000000001</v>
      </c>
      <c r="BU110" s="87">
        <v>152.05000000000001</v>
      </c>
      <c r="BV110" s="87">
        <v>152.05000000000001</v>
      </c>
      <c r="BW110" s="87">
        <v>152.05000000000001</v>
      </c>
      <c r="BX110" s="87">
        <v>136.15</v>
      </c>
      <c r="BY110" s="87">
        <v>136.15</v>
      </c>
      <c r="BZ110" s="87">
        <v>136.15</v>
      </c>
      <c r="CA110" s="87">
        <v>136.15</v>
      </c>
      <c r="CB110" s="100">
        <v>126.1</v>
      </c>
      <c r="CC110" s="100">
        <v>126.1</v>
      </c>
      <c r="CD110" s="100">
        <v>126.1</v>
      </c>
      <c r="CE110" s="100">
        <v>126.1</v>
      </c>
      <c r="CF110" s="87">
        <v>122.33</v>
      </c>
      <c r="CG110" s="87">
        <v>122.33</v>
      </c>
      <c r="CH110" s="87">
        <v>122.33</v>
      </c>
      <c r="CI110" s="87">
        <v>122.33</v>
      </c>
      <c r="CJ110" s="87">
        <v>120.39</v>
      </c>
      <c r="CK110" s="87">
        <v>120.39</v>
      </c>
      <c r="CL110" s="87">
        <v>120.39</v>
      </c>
      <c r="CM110" s="376">
        <v>306</v>
      </c>
      <c r="CN110" s="377">
        <v>19</v>
      </c>
      <c r="CO110" s="170">
        <f t="shared" si="43"/>
        <v>6.2091503267973858</v>
      </c>
      <c r="CP110" s="62">
        <f t="shared" si="41"/>
        <v>240.67368421052629</v>
      </c>
      <c r="CQ110" s="114">
        <v>0</v>
      </c>
      <c r="CR110" s="79">
        <f t="shared" si="44"/>
        <v>794.39160389898109</v>
      </c>
      <c r="CS110" s="65">
        <f t="shared" si="45"/>
        <v>45.727999999999994</v>
      </c>
      <c r="CT110" s="80">
        <f t="shared" si="33"/>
        <v>5.7563548979572294</v>
      </c>
      <c r="CU110" s="110">
        <f t="shared" si="34"/>
        <v>6.0423599348746295</v>
      </c>
      <c r="CV110" s="87">
        <v>1.98</v>
      </c>
      <c r="CW110" s="65">
        <f t="shared" si="42"/>
        <v>7.736354897957229</v>
      </c>
      <c r="CX110" s="65">
        <f t="shared" si="46"/>
        <v>1029.9418319535616</v>
      </c>
      <c r="CY110" s="65">
        <f>SUM(BB110:BE110)</f>
        <v>13.260000000000002</v>
      </c>
      <c r="CZ110" s="65">
        <f t="shared" si="47"/>
        <v>1.2874513480871872</v>
      </c>
      <c r="DA110" s="342">
        <v>112.85</v>
      </c>
      <c r="DB110" s="342">
        <v>215.11</v>
      </c>
      <c r="DC110" s="61" t="s">
        <v>401</v>
      </c>
      <c r="DD110" s="81">
        <f t="shared" si="48"/>
        <v>17.372104703879049</v>
      </c>
      <c r="DE110" s="65">
        <v>704.92431284026031</v>
      </c>
    </row>
    <row r="111" spans="1:111" ht="14.25" customHeight="1">
      <c r="A111" s="400" t="s">
        <v>470</v>
      </c>
      <c r="B111" s="61" t="s">
        <v>165</v>
      </c>
      <c r="C111" s="65">
        <v>13</v>
      </c>
      <c r="D111" s="65" t="e">
        <f>AVERAGE(G111:AA111)/AVERAGE(AC111:AV111)</f>
        <v>#DIV/0!</v>
      </c>
      <c r="E111" s="65">
        <f>AVERAGE(G111:AA111)/AVERAGE(AX111:BQ111)</f>
        <v>28.040984753112326</v>
      </c>
      <c r="F111" s="65" t="e">
        <f>AVERAGE(G111:AA111)/AVERAGE(BS111:CL111)</f>
        <v>#DIV/0!</v>
      </c>
      <c r="G111" s="61">
        <v>2004.65</v>
      </c>
      <c r="AW111" s="305">
        <v>101</v>
      </c>
      <c r="AX111" s="187">
        <v>83</v>
      </c>
      <c r="AY111" s="187">
        <v>81.33</v>
      </c>
      <c r="AZ111" s="187">
        <v>81</v>
      </c>
      <c r="BA111" s="187">
        <v>71</v>
      </c>
      <c r="BB111" s="187">
        <v>64</v>
      </c>
      <c r="BC111" s="187">
        <v>62</v>
      </c>
      <c r="BD111" s="187">
        <v>72</v>
      </c>
      <c r="BE111" s="199">
        <v>75</v>
      </c>
      <c r="BF111" s="187">
        <v>67</v>
      </c>
      <c r="BG111" s="187">
        <v>110</v>
      </c>
      <c r="BH111" s="182">
        <v>82</v>
      </c>
      <c r="BI111" s="182">
        <v>83</v>
      </c>
      <c r="BJ111" s="182">
        <v>71</v>
      </c>
      <c r="BK111" s="182">
        <v>65</v>
      </c>
      <c r="BL111" s="182">
        <v>64</v>
      </c>
      <c r="BM111" s="61">
        <v>52</v>
      </c>
      <c r="BN111" s="61">
        <v>32</v>
      </c>
      <c r="CM111" s="356">
        <v>1582</v>
      </c>
      <c r="CN111" s="355">
        <v>0.27</v>
      </c>
      <c r="CO111" s="170">
        <f t="shared" si="43"/>
        <v>1.7067003792667509E-2</v>
      </c>
      <c r="CP111" s="62">
        <f t="shared" si="41"/>
        <v>135777.03703703702</v>
      </c>
      <c r="CQ111" s="61">
        <v>0</v>
      </c>
      <c r="CR111" s="79">
        <f t="shared" si="44"/>
        <v>20608.659251644738</v>
      </c>
      <c r="CS111" s="65">
        <f t="shared" si="45"/>
        <v>366.59800000000001</v>
      </c>
      <c r="CT111" s="77">
        <f t="shared" si="33"/>
        <v>1.7788541967898397</v>
      </c>
      <c r="CU111" s="110">
        <f t="shared" si="34"/>
        <v>1.960341015234931</v>
      </c>
      <c r="CW111" s="65">
        <f t="shared" si="42"/>
        <v>1.7788541967898397</v>
      </c>
      <c r="CX111" s="65">
        <f t="shared" si="46"/>
        <v>0</v>
      </c>
      <c r="CY111" s="65">
        <f>SUM(BB111:BE111)</f>
        <v>273</v>
      </c>
      <c r="CZ111" s="65" t="e">
        <f t="shared" si="47"/>
        <v>#DIV/0!</v>
      </c>
      <c r="DA111" s="342">
        <v>1216</v>
      </c>
      <c r="DB111" s="380">
        <v>12501</v>
      </c>
      <c r="DD111" s="81">
        <f t="shared" si="48"/>
        <v>56.215962039194807</v>
      </c>
    </row>
    <row r="112" spans="1:111" ht="14.25" customHeight="1">
      <c r="A112" s="392" t="s">
        <v>40</v>
      </c>
      <c r="B112" s="76" t="s">
        <v>268</v>
      </c>
      <c r="C112" s="65">
        <v>1</v>
      </c>
      <c r="D112" s="65">
        <f>AVERAGE(G112:AA112)/AVERAGE(AC112:AV112)</f>
        <v>1.2570275743203831</v>
      </c>
      <c r="E112" s="65">
        <f>AVERAGE(G112:AA112)/AVERAGE(AX112:BQ112)</f>
        <v>16.586630577666533</v>
      </c>
      <c r="F112" s="65">
        <f>AVERAGE(G112:AA112)/AVERAGE(BS112:CL112)</f>
        <v>0.86045930376261692</v>
      </c>
      <c r="G112" s="76">
        <v>483.35</v>
      </c>
      <c r="H112" s="76">
        <v>150</v>
      </c>
      <c r="I112" s="76">
        <v>276.35000000000002</v>
      </c>
      <c r="J112" s="65">
        <v>363.85</v>
      </c>
      <c r="K112" s="65">
        <v>408.75</v>
      </c>
      <c r="L112" s="65">
        <v>428.85</v>
      </c>
      <c r="M112" s="65">
        <v>442.35</v>
      </c>
      <c r="N112" s="65">
        <v>513.29999999999995</v>
      </c>
      <c r="O112" s="65">
        <v>646.85</v>
      </c>
      <c r="P112" s="65">
        <v>654</v>
      </c>
      <c r="Q112" s="65">
        <v>593.95000000000005</v>
      </c>
      <c r="R112" s="65">
        <v>505.7</v>
      </c>
      <c r="S112" s="65">
        <v>270.8</v>
      </c>
      <c r="T112" s="65">
        <v>183.75</v>
      </c>
      <c r="U112" s="65">
        <v>186.45</v>
      </c>
      <c r="V112" s="65">
        <v>156.94999999999999</v>
      </c>
      <c r="W112" s="65">
        <v>104.95</v>
      </c>
      <c r="X112" s="65">
        <v>122.75</v>
      </c>
      <c r="Y112" s="65">
        <v>129.5</v>
      </c>
      <c r="Z112" s="65">
        <v>125.05</v>
      </c>
      <c r="AA112" s="65">
        <v>91.4</v>
      </c>
      <c r="AB112" s="82">
        <v>228.41</v>
      </c>
      <c r="AC112" s="86">
        <v>352.82</v>
      </c>
      <c r="AD112" s="84">
        <v>299.75</v>
      </c>
      <c r="AE112" s="84">
        <v>239.93</v>
      </c>
      <c r="AF112" s="84">
        <v>251.04</v>
      </c>
      <c r="AG112" s="84">
        <v>345.69</v>
      </c>
      <c r="AH112" s="84">
        <v>259.60000000000002</v>
      </c>
      <c r="AI112" s="84">
        <v>241.84</v>
      </c>
      <c r="AJ112" s="84">
        <v>201.07</v>
      </c>
      <c r="AK112" s="86">
        <v>340.72</v>
      </c>
      <c r="AL112" s="84">
        <v>252.86</v>
      </c>
      <c r="AM112" s="84">
        <v>200.97</v>
      </c>
      <c r="AN112" s="84">
        <v>195.31</v>
      </c>
      <c r="AO112" s="84">
        <v>307.7</v>
      </c>
      <c r="AP112" s="84">
        <v>273.89</v>
      </c>
      <c r="AQ112" s="84">
        <v>208.27</v>
      </c>
      <c r="AR112" s="84">
        <v>189.58</v>
      </c>
      <c r="AS112" s="84">
        <v>317.81</v>
      </c>
      <c r="AT112" s="84">
        <v>281.72000000000003</v>
      </c>
      <c r="AU112" s="84">
        <v>212.6</v>
      </c>
      <c r="AV112" s="86">
        <v>208.29</v>
      </c>
      <c r="AW112" s="314">
        <v>30</v>
      </c>
      <c r="AX112" s="144">
        <v>24</v>
      </c>
      <c r="AY112" s="314">
        <v>24</v>
      </c>
      <c r="AZ112" s="144">
        <v>41</v>
      </c>
      <c r="BA112" s="144">
        <v>31</v>
      </c>
      <c r="BB112" s="144">
        <v>23</v>
      </c>
      <c r="BC112" s="144">
        <v>22</v>
      </c>
      <c r="BD112" s="144">
        <v>34.42</v>
      </c>
      <c r="BE112" s="144">
        <v>6.86</v>
      </c>
      <c r="BF112" s="78">
        <v>6.15</v>
      </c>
      <c r="BG112" s="86">
        <v>13.21</v>
      </c>
      <c r="BH112" s="86">
        <v>23.08</v>
      </c>
      <c r="BI112" s="86">
        <v>14.04</v>
      </c>
      <c r="BJ112" s="86">
        <v>9.09</v>
      </c>
      <c r="BK112" s="86">
        <v>13.94</v>
      </c>
      <c r="BL112" s="86">
        <v>30.34</v>
      </c>
      <c r="BM112" s="86">
        <v>15.19</v>
      </c>
      <c r="BN112" s="86">
        <v>14.26</v>
      </c>
      <c r="BO112" s="86">
        <v>14.14</v>
      </c>
      <c r="BP112" s="86">
        <v>22.96</v>
      </c>
      <c r="BQ112" s="86">
        <v>10</v>
      </c>
      <c r="BR112" s="86">
        <v>8.93</v>
      </c>
      <c r="BS112" s="87">
        <v>499.5</v>
      </c>
      <c r="BT112" s="87">
        <v>445.66</v>
      </c>
      <c r="BU112" s="87">
        <v>445.66</v>
      </c>
      <c r="BV112" s="87">
        <v>445.66</v>
      </c>
      <c r="BW112" s="87">
        <v>445.66</v>
      </c>
      <c r="BX112" s="87">
        <v>392.57</v>
      </c>
      <c r="BY112" s="87">
        <v>392.57</v>
      </c>
      <c r="BZ112" s="87">
        <v>392.57</v>
      </c>
      <c r="CA112" s="87">
        <v>392.57</v>
      </c>
      <c r="CB112" s="100">
        <v>347.06</v>
      </c>
      <c r="CC112" s="100">
        <v>347.06</v>
      </c>
      <c r="CD112" s="100">
        <v>347.06</v>
      </c>
      <c r="CE112" s="100">
        <v>347.06</v>
      </c>
      <c r="CF112" s="87">
        <v>332.18</v>
      </c>
      <c r="CG112" s="87">
        <v>332.18</v>
      </c>
      <c r="CH112" s="87">
        <v>332.18</v>
      </c>
      <c r="CI112" s="87">
        <v>332.18</v>
      </c>
      <c r="CJ112" s="87">
        <v>333.37</v>
      </c>
      <c r="CK112" s="87">
        <v>333.37</v>
      </c>
      <c r="CL112" s="87">
        <v>333.37</v>
      </c>
      <c r="CM112" s="371">
        <v>1108</v>
      </c>
      <c r="CN112" s="352">
        <v>167</v>
      </c>
      <c r="CO112" s="170">
        <f t="shared" si="43"/>
        <v>15.072202166064981</v>
      </c>
      <c r="CP112" s="62">
        <f t="shared" si="41"/>
        <v>66.706586826347305</v>
      </c>
      <c r="CQ112" s="114">
        <v>36.409999999999997</v>
      </c>
      <c r="CR112" s="79">
        <f t="shared" si="44"/>
        <v>767.31460477762676</v>
      </c>
      <c r="CS112" s="65">
        <f t="shared" si="45"/>
        <v>111.39999999999999</v>
      </c>
      <c r="CT112" s="80">
        <f t="shared" si="33"/>
        <v>14.518164949080372</v>
      </c>
      <c r="CU112" s="110">
        <f t="shared" si="34"/>
        <v>15.63895685717814</v>
      </c>
      <c r="CV112" s="87">
        <v>2.31</v>
      </c>
      <c r="CW112" s="65">
        <f t="shared" si="42"/>
        <v>16.828164949080371</v>
      </c>
      <c r="CX112" s="65">
        <f t="shared" si="46"/>
        <v>1080.4341525793875</v>
      </c>
      <c r="CY112" s="65">
        <f>SUM(BB112:BE112)</f>
        <v>86.28</v>
      </c>
      <c r="CZ112" s="65">
        <f t="shared" si="47"/>
        <v>7.9856787009202179</v>
      </c>
      <c r="DA112" s="365">
        <v>257.45</v>
      </c>
      <c r="DB112" s="379">
        <v>408.7</v>
      </c>
      <c r="DC112" s="61" t="s">
        <v>401</v>
      </c>
      <c r="DD112" s="81">
        <f t="shared" si="48"/>
        <v>6.887922843605268</v>
      </c>
      <c r="DE112" s="65">
        <v>10.48</v>
      </c>
      <c r="DF112" s="61" t="s">
        <v>225</v>
      </c>
      <c r="DG112" s="61" t="s">
        <v>224</v>
      </c>
    </row>
    <row r="113" spans="1:108" ht="14.25" customHeight="1">
      <c r="A113" s="386" t="s">
        <v>749</v>
      </c>
      <c r="B113" s="61" t="s">
        <v>268</v>
      </c>
      <c r="C113" s="65">
        <v>1</v>
      </c>
      <c r="D113" s="65" t="e">
        <f>AVERAGE(G113:AA113)/AVERAGE(AD113:AV113)</f>
        <v>#DIV/0!</v>
      </c>
      <c r="E113" s="65">
        <f>AVERAGE(G113:AA113)/AVERAGE(AY113:BQ113)</f>
        <v>4.9761658031088079</v>
      </c>
      <c r="F113" s="65" t="e">
        <f>AVERAGE(G113:AA113)/AVERAGE(BT113:CL113)</f>
        <v>#DIV/0!</v>
      </c>
      <c r="G113" s="61">
        <v>68.599999999999994</v>
      </c>
      <c r="AW113" s="315">
        <v>11</v>
      </c>
      <c r="AX113" s="61">
        <v>12</v>
      </c>
      <c r="AY113" s="61">
        <v>19</v>
      </c>
      <c r="AZ113" s="61">
        <v>11</v>
      </c>
      <c r="BA113" s="61">
        <v>14</v>
      </c>
      <c r="BB113" s="61">
        <v>15</v>
      </c>
      <c r="BC113" s="61">
        <v>15</v>
      </c>
      <c r="BD113" s="61">
        <v>18</v>
      </c>
      <c r="BE113" s="61">
        <v>18</v>
      </c>
      <c r="BF113" s="61">
        <v>6</v>
      </c>
      <c r="BG113" s="61">
        <v>19</v>
      </c>
      <c r="BH113" s="61">
        <v>12</v>
      </c>
      <c r="BI113" s="61">
        <v>16</v>
      </c>
      <c r="BJ113" s="61">
        <v>13</v>
      </c>
      <c r="BK113" s="61">
        <v>8</v>
      </c>
      <c r="BL113" s="61">
        <v>9</v>
      </c>
      <c r="CM113" s="342">
        <v>673</v>
      </c>
      <c r="CN113" s="342">
        <v>2</v>
      </c>
      <c r="CO113" s="63">
        <f t="shared" si="43"/>
        <v>0.29717682020802377</v>
      </c>
      <c r="CP113" s="62">
        <f t="shared" si="41"/>
        <v>2500</v>
      </c>
      <c r="CQ113" s="64"/>
      <c r="CR113" s="79">
        <f t="shared" si="44"/>
        <v>762.73898305084742</v>
      </c>
      <c r="CS113" s="65">
        <f t="shared" si="45"/>
        <v>50</v>
      </c>
      <c r="CT113" s="110">
        <f t="shared" si="33"/>
        <v>6.555322477423025</v>
      </c>
      <c r="CU113" s="110">
        <f t="shared" si="34"/>
        <v>5.7686837801322621</v>
      </c>
      <c r="CW113" s="65">
        <f t="shared" si="42"/>
        <v>6.555322477423025</v>
      </c>
      <c r="CX113" s="62"/>
      <c r="CZ113" s="62"/>
      <c r="DA113" s="342">
        <v>118</v>
      </c>
      <c r="DB113" s="342">
        <v>1312</v>
      </c>
    </row>
    <row r="114" spans="1:108" ht="14.25" customHeight="1">
      <c r="A114" s="400" t="s">
        <v>823</v>
      </c>
      <c r="B114" s="61" t="s">
        <v>268</v>
      </c>
      <c r="C114" s="65">
        <v>1</v>
      </c>
      <c r="D114" s="65" t="e">
        <f>AVERAGE(G114:AA114)/AVERAGE(AC114:AV114)</f>
        <v>#DIV/0!</v>
      </c>
      <c r="E114" s="65">
        <f>AVERAGE(G114:AA114)/AVERAGE(AZ114:BQ114)</f>
        <v>1.0579573934837094</v>
      </c>
      <c r="F114" s="65" t="e">
        <f>AVERAGE(G114:AA114)/AVERAGE(BS114:CL114)</f>
        <v>#DIV/0!</v>
      </c>
      <c r="G114" s="61">
        <v>230.25</v>
      </c>
      <c r="AW114" s="341">
        <v>182</v>
      </c>
      <c r="AX114" s="295">
        <v>299</v>
      </c>
      <c r="AY114" s="295">
        <v>270</v>
      </c>
      <c r="AZ114" s="295">
        <v>214</v>
      </c>
      <c r="BA114" s="295">
        <v>276</v>
      </c>
      <c r="BB114" s="295">
        <v>400</v>
      </c>
      <c r="BC114" s="296">
        <v>94</v>
      </c>
      <c r="BD114" s="295">
        <v>30</v>
      </c>
      <c r="BE114" s="295">
        <v>-767</v>
      </c>
      <c r="BF114" s="295">
        <v>349</v>
      </c>
      <c r="BG114" s="295">
        <v>413</v>
      </c>
      <c r="BH114" s="295">
        <v>531</v>
      </c>
      <c r="BI114" s="61">
        <v>292</v>
      </c>
      <c r="BJ114" s="61">
        <v>562</v>
      </c>
      <c r="CM114" s="342">
        <v>13240</v>
      </c>
      <c r="CN114" s="342">
        <v>76</v>
      </c>
      <c r="CO114" s="170">
        <f t="shared" si="43"/>
        <v>0.57401812688821752</v>
      </c>
      <c r="CP114" s="62">
        <f t="shared" si="41"/>
        <v>1220.5263157894735</v>
      </c>
      <c r="CQ114" s="64">
        <v>5.38</v>
      </c>
      <c r="CR114" s="79">
        <f t="shared" si="44"/>
        <v>22094.436900958466</v>
      </c>
      <c r="CS114" s="65">
        <f t="shared" si="45"/>
        <v>927.59999999999991</v>
      </c>
      <c r="CT114" s="110">
        <f>CS114/CR114%</f>
        <v>4.1983418910294121</v>
      </c>
      <c r="CU114" s="110">
        <f t="shared" si="34"/>
        <v>3.2949470641110525</v>
      </c>
      <c r="CW114" s="62">
        <f t="shared" si="42"/>
        <v>4.1983418910294121</v>
      </c>
      <c r="CX114" s="65">
        <f>SUM(K114:N114)/SUM(G114:J114)*CR114</f>
        <v>0</v>
      </c>
      <c r="CY114" s="65">
        <f>SUM(BC114:BF114)</f>
        <v>-294</v>
      </c>
      <c r="CZ114" s="65" t="e">
        <f>CY114/CX114%</f>
        <v>#DIV/0!</v>
      </c>
      <c r="DA114" s="342">
        <v>313</v>
      </c>
      <c r="DB114" s="342">
        <v>30035</v>
      </c>
    </row>
    <row r="115" spans="1:108" ht="14.25" customHeight="1">
      <c r="A115" s="421" t="s">
        <v>159</v>
      </c>
      <c r="B115" s="65" t="s">
        <v>264</v>
      </c>
      <c r="C115" s="65">
        <v>1</v>
      </c>
      <c r="D115" s="65" t="e">
        <f>AVERAGE(G115:AA115)/AVERAGE(AC115:AV115)</f>
        <v>#DIV/0!</v>
      </c>
      <c r="E115" s="65">
        <f>AVERAGE(G115:AA115)/AVERAGE(AX115:BQ115)</f>
        <v>3.132990408710314</v>
      </c>
      <c r="F115" s="65" t="e">
        <f>AVERAGE(G115:AA115)/AVERAGE(BS115:CL115)</f>
        <v>#DIV/0!</v>
      </c>
      <c r="G115" s="65">
        <v>294.89999999999998</v>
      </c>
      <c r="H115" s="65">
        <v>186.5</v>
      </c>
      <c r="I115" s="65">
        <v>210.65</v>
      </c>
      <c r="J115" s="65">
        <v>234.65</v>
      </c>
      <c r="K115" s="65">
        <v>224.65</v>
      </c>
      <c r="L115" s="65">
        <v>256.5</v>
      </c>
      <c r="M115" s="65">
        <v>247.16</v>
      </c>
      <c r="N115" s="65">
        <v>256.04000000000002</v>
      </c>
      <c r="O115" s="65">
        <v>190.69</v>
      </c>
      <c r="P115" s="65">
        <v>158.31</v>
      </c>
      <c r="Q115" s="65">
        <v>160.05000000000001</v>
      </c>
      <c r="R115" s="65">
        <v>173.04</v>
      </c>
      <c r="S115" s="65">
        <v>178.54</v>
      </c>
      <c r="T115" s="65">
        <v>184.93</v>
      </c>
      <c r="U115" s="65">
        <v>210.33</v>
      </c>
      <c r="V115" s="65">
        <v>195.42</v>
      </c>
      <c r="W115" s="65">
        <v>180.87</v>
      </c>
      <c r="X115" s="65">
        <v>192.64</v>
      </c>
      <c r="Y115" s="65">
        <v>191.06</v>
      </c>
      <c r="Z115" s="65">
        <v>139.71</v>
      </c>
      <c r="AA115" s="65">
        <v>130.47999999999999</v>
      </c>
      <c r="AB115" s="77"/>
      <c r="AC115" s="89"/>
      <c r="AK115" s="89"/>
      <c r="AL115" s="89"/>
      <c r="AQ115" s="89"/>
      <c r="AV115" s="77"/>
      <c r="AW115" s="314">
        <v>130</v>
      </c>
      <c r="AX115" s="144">
        <v>91</v>
      </c>
      <c r="AY115" s="144">
        <v>94</v>
      </c>
      <c r="AZ115" s="144">
        <v>101</v>
      </c>
      <c r="BA115" s="144">
        <v>81</v>
      </c>
      <c r="BB115" s="144">
        <v>79</v>
      </c>
      <c r="BC115" s="135">
        <v>63</v>
      </c>
      <c r="BD115" s="78">
        <v>65.349999999999994</v>
      </c>
      <c r="BE115" s="77">
        <v>70.56</v>
      </c>
      <c r="BF115" s="121">
        <v>48.61</v>
      </c>
      <c r="BG115" s="121">
        <v>64.290000000000006</v>
      </c>
      <c r="BH115" s="121">
        <v>47.58</v>
      </c>
      <c r="BI115" s="121">
        <v>82.91</v>
      </c>
      <c r="BJ115" s="121">
        <v>33.369999999999997</v>
      </c>
      <c r="BK115" s="121">
        <v>82.6</v>
      </c>
      <c r="BL115" s="122">
        <v>59.12</v>
      </c>
      <c r="BM115" s="122">
        <v>57.7</v>
      </c>
      <c r="BN115" s="122">
        <v>38.299999999999997</v>
      </c>
      <c r="BO115" s="121">
        <v>61.55</v>
      </c>
      <c r="BP115" s="121">
        <v>35.03</v>
      </c>
      <c r="BQ115" s="121">
        <v>19.89</v>
      </c>
      <c r="BR115" s="121">
        <v>53.13</v>
      </c>
      <c r="CM115" s="356">
        <v>3871</v>
      </c>
      <c r="CN115" s="355">
        <v>335</v>
      </c>
      <c r="CO115" s="170">
        <f t="shared" si="43"/>
        <v>8.6540945492120898</v>
      </c>
      <c r="CP115" s="62">
        <f t="shared" si="41"/>
        <v>133.07462686567163</v>
      </c>
      <c r="CR115" s="79">
        <f t="shared" si="44"/>
        <v>6647.6480608129068</v>
      </c>
      <c r="CS115" s="65">
        <f t="shared" si="45"/>
        <v>445.79999999999995</v>
      </c>
      <c r="CT115" s="77">
        <f>CS115/CR115%</f>
        <v>6.706131189885606</v>
      </c>
      <c r="CU115" s="110">
        <f t="shared" si="34"/>
        <v>7.8223154301043412</v>
      </c>
      <c r="CW115" s="65">
        <f t="shared" si="42"/>
        <v>6.706131189885606</v>
      </c>
      <c r="CX115" s="65">
        <f>SUM(K115:N115)/SUM(G115:J115)*CR115</f>
        <v>7061.1981964618371</v>
      </c>
      <c r="CY115" s="65">
        <f>SUM(BB115:BE115)</f>
        <v>277.90999999999997</v>
      </c>
      <c r="CZ115" s="65">
        <f>CY115/CX115%</f>
        <v>3.9357343083678442</v>
      </c>
      <c r="DA115" s="342">
        <v>161.15</v>
      </c>
      <c r="DB115" s="380">
        <v>3632.65</v>
      </c>
      <c r="DD115" s="81">
        <f>CR115/CS115</f>
        <v>14.911727368355557</v>
      </c>
    </row>
    <row r="116" spans="1:108" ht="14.25" customHeight="1">
      <c r="A116" s="470" t="s">
        <v>1172</v>
      </c>
      <c r="B116" s="61" t="s">
        <v>44</v>
      </c>
      <c r="C116" s="65">
        <v>1</v>
      </c>
      <c r="D116" s="65" t="e">
        <f t="shared" ref="D116:D120" si="49">AVERAGE(G116:AA116)/AVERAGE(AC116:AV116)</f>
        <v>#DIV/0!</v>
      </c>
      <c r="E116" s="65">
        <f t="shared" ref="E116:E120" si="50">AVERAGE(G116:AA116)/AVERAGE(AX116:BQ116)</f>
        <v>39.148063127690101</v>
      </c>
      <c r="F116" s="65" t="e">
        <f t="shared" ref="F116:F120" si="51">AVERAGE(G116:AA116)/AVERAGE(BS116:CL116)</f>
        <v>#DIV/0!</v>
      </c>
      <c r="G116" s="65">
        <v>2273.85</v>
      </c>
      <c r="AW116" s="472">
        <v>70</v>
      </c>
      <c r="AX116" s="469">
        <v>62</v>
      </c>
      <c r="AY116" s="469">
        <v>68</v>
      </c>
      <c r="AZ116" s="469">
        <v>72</v>
      </c>
      <c r="BA116" s="469">
        <v>65</v>
      </c>
      <c r="BB116" s="469">
        <v>84</v>
      </c>
      <c r="BC116" s="471">
        <v>53</v>
      </c>
      <c r="BD116" s="469">
        <v>74</v>
      </c>
      <c r="BE116" s="469">
        <v>55</v>
      </c>
      <c r="BF116" s="469">
        <v>36</v>
      </c>
      <c r="BG116" s="469">
        <v>40</v>
      </c>
      <c r="BH116" s="469">
        <v>46</v>
      </c>
      <c r="BI116" s="469">
        <v>42</v>
      </c>
      <c r="CM116" s="469">
        <v>981</v>
      </c>
      <c r="CN116" s="61">
        <v>72</v>
      </c>
      <c r="CO116" s="170">
        <f t="shared" si="43"/>
        <v>7.3394495412844032</v>
      </c>
      <c r="CP116" s="62">
        <f t="shared" si="41"/>
        <v>374.4444444444444</v>
      </c>
      <c r="CQ116" s="61">
        <v>0</v>
      </c>
      <c r="CR116" s="79">
        <f t="shared" si="44"/>
        <v>11139.222126560482</v>
      </c>
      <c r="CS116" s="65">
        <f>((0.5*AW116)+(0.3*AX116)+(0.15*AY116)+(0.05*AZ116))*4</f>
        <v>269.59999999999997</v>
      </c>
      <c r="CT116" s="110">
        <f t="shared" ref="CT116" si="52">CS116/CR116%</f>
        <v>2.4202767207340519</v>
      </c>
      <c r="CU116" s="110">
        <f t="shared" si="34"/>
        <v>2.5136405111481257</v>
      </c>
      <c r="CX116" s="62"/>
      <c r="CZ116" s="62"/>
      <c r="DA116" s="61">
        <v>2323</v>
      </c>
      <c r="DB116" s="61">
        <v>11380</v>
      </c>
    </row>
    <row r="117" spans="1:108" ht="14.25" customHeight="1">
      <c r="A117" s="470" t="s">
        <v>1175</v>
      </c>
      <c r="B117" s="61" t="s">
        <v>44</v>
      </c>
      <c r="C117" s="65">
        <v>1</v>
      </c>
      <c r="D117" s="65" t="e">
        <f t="shared" si="49"/>
        <v>#DIV/0!</v>
      </c>
      <c r="E117" s="65">
        <f t="shared" si="50"/>
        <v>19.670273794002611</v>
      </c>
      <c r="F117" s="65" t="e">
        <f t="shared" si="51"/>
        <v>#DIV/0!</v>
      </c>
      <c r="G117" s="65">
        <v>1077.6500000000001</v>
      </c>
      <c r="AW117" s="472">
        <v>80</v>
      </c>
      <c r="AX117" s="471">
        <v>58</v>
      </c>
      <c r="AY117" s="469">
        <v>78</v>
      </c>
      <c r="AZ117" s="471">
        <v>84</v>
      </c>
      <c r="BA117" s="469">
        <v>86</v>
      </c>
      <c r="BB117" s="469">
        <v>64</v>
      </c>
      <c r="BC117" s="471">
        <v>52</v>
      </c>
      <c r="BD117" s="469">
        <v>64</v>
      </c>
      <c r="BE117" s="471">
        <v>52</v>
      </c>
      <c r="BF117" s="469">
        <v>54</v>
      </c>
      <c r="BG117" s="469">
        <v>49</v>
      </c>
      <c r="BH117" s="469">
        <v>47</v>
      </c>
      <c r="BI117" s="469">
        <v>28</v>
      </c>
      <c r="BJ117" s="469">
        <v>22</v>
      </c>
      <c r="BK117" s="469">
        <v>29</v>
      </c>
      <c r="CM117" s="61">
        <v>1389</v>
      </c>
      <c r="CN117" s="61">
        <v>3</v>
      </c>
      <c r="CO117" s="170">
        <f t="shared" ref="CO117" si="53">CN117/CM117%</f>
        <v>0.21598272138228941</v>
      </c>
      <c r="CP117" s="62">
        <f t="shared" ref="CP117" si="54">CS117/CN117%</f>
        <v>9773.3333333333339</v>
      </c>
      <c r="CQ117" s="61">
        <v>0</v>
      </c>
      <c r="CR117" s="79">
        <f t="shared" ref="CR117" si="55">( G117/DA117) * DB117</f>
        <v>11261.354022988506</v>
      </c>
      <c r="CS117" s="65">
        <f>((0.5*AW117)+(0.3*AX117)+(0.15*AY117)+(0.05*AZ117))*4</f>
        <v>293.2</v>
      </c>
      <c r="CT117" s="110">
        <f t="shared" ref="CT117" si="56">CS117/CR117%</f>
        <v>2.6035945535632083</v>
      </c>
      <c r="CU117" s="110">
        <f t="shared" ref="CU117" si="57">(4*AW117)/CR117%</f>
        <v>2.8415765932477037</v>
      </c>
      <c r="CW117" s="62">
        <f t="shared" ref="CW117" si="58">CT117+CV117</f>
        <v>2.6035945535632083</v>
      </c>
      <c r="CX117" s="65">
        <f>SUM(K117:N117)/SUM(G117:J117)*CR117</f>
        <v>0</v>
      </c>
      <c r="CY117" s="65">
        <f>SUM(BC117:BF117)</f>
        <v>222</v>
      </c>
      <c r="CZ117" s="65" t="e">
        <f>CY117/CX117%</f>
        <v>#DIV/0!</v>
      </c>
      <c r="DA117" s="61">
        <v>1218</v>
      </c>
      <c r="DB117" s="61">
        <v>12728</v>
      </c>
    </row>
    <row r="118" spans="1:108" ht="14.25" customHeight="1">
      <c r="A118" s="123" t="s">
        <v>1176</v>
      </c>
      <c r="B118" s="61" t="s">
        <v>44</v>
      </c>
      <c r="C118" s="65">
        <v>1</v>
      </c>
      <c r="D118" s="65" t="e">
        <f t="shared" si="49"/>
        <v>#DIV/0!</v>
      </c>
      <c r="E118" s="65">
        <f t="shared" si="50"/>
        <v>1.7163183279742766</v>
      </c>
      <c r="F118" s="65" t="e">
        <f t="shared" si="51"/>
        <v>#DIV/0!</v>
      </c>
      <c r="G118" s="65">
        <v>711.7</v>
      </c>
      <c r="AW118" s="472">
        <v>563</v>
      </c>
      <c r="AX118" s="471">
        <v>562</v>
      </c>
      <c r="AY118" s="469">
        <v>687</v>
      </c>
      <c r="AZ118" s="469">
        <v>528</v>
      </c>
      <c r="BA118" s="469">
        <v>611</v>
      </c>
      <c r="BB118" s="469">
        <v>329</v>
      </c>
      <c r="BC118" s="469">
        <v>245</v>
      </c>
      <c r="BD118" s="469">
        <v>410</v>
      </c>
      <c r="BE118" s="469">
        <v>435</v>
      </c>
      <c r="BF118" s="469">
        <v>431</v>
      </c>
      <c r="BG118" s="469">
        <v>42</v>
      </c>
      <c r="BH118" s="469">
        <v>389</v>
      </c>
      <c r="BI118" s="469">
        <v>307</v>
      </c>
      <c r="CM118" s="473">
        <v>93653</v>
      </c>
      <c r="CN118" s="473">
        <v>79322</v>
      </c>
      <c r="CO118" s="170">
        <f t="shared" ref="CO118" si="59">CN118/CM118%</f>
        <v>84.697767289889271</v>
      </c>
      <c r="CP118" s="62">
        <f t="shared" ref="CP118" si="60">CS118/CN118%</f>
        <v>2.9225183429565567</v>
      </c>
      <c r="CQ118" s="61">
        <v>0</v>
      </c>
      <c r="CR118" s="79">
        <f t="shared" ref="CR118" si="61">( G118/DA118) * DB118</f>
        <v>58448.239112343967</v>
      </c>
      <c r="CS118" s="65">
        <f>((0.5*AW118)+(0.3*AX118)+(0.15*AY118)+(0.05*AZ118))*4</f>
        <v>2318.1999999999998</v>
      </c>
      <c r="CT118" s="110">
        <f t="shared" ref="CT118" si="62">CS118/CR118%</f>
        <v>3.9662443817069724</v>
      </c>
      <c r="CU118" s="110">
        <f t="shared" ref="CU118" si="63">(4*AW118)/CR118%</f>
        <v>3.8529817736192316</v>
      </c>
      <c r="CW118" s="62">
        <f t="shared" ref="CW118" si="64">CT118+CV118</f>
        <v>3.9662443817069724</v>
      </c>
      <c r="CX118" s="65">
        <f>SUM(K118:N118)/SUM(G118:J118)*CR118</f>
        <v>0</v>
      </c>
      <c r="CY118" s="65">
        <f>SUM(BC118:BF118)</f>
        <v>1521</v>
      </c>
      <c r="CZ118" s="65" t="e">
        <f>CY118/CX118%</f>
        <v>#DIV/0!</v>
      </c>
      <c r="DA118" s="61">
        <v>721</v>
      </c>
      <c r="DB118" s="61">
        <v>59212</v>
      </c>
    </row>
    <row r="119" spans="1:108" ht="14.25" customHeight="1">
      <c r="A119" s="437" t="s">
        <v>1147</v>
      </c>
      <c r="B119" s="61" t="s">
        <v>44</v>
      </c>
      <c r="C119" s="65">
        <v>1</v>
      </c>
      <c r="D119" s="65" t="e">
        <f t="shared" si="49"/>
        <v>#DIV/0!</v>
      </c>
      <c r="E119" s="65" t="e">
        <f t="shared" si="50"/>
        <v>#DIV/0!</v>
      </c>
      <c r="F119" s="65" t="e">
        <f t="shared" si="51"/>
        <v>#DIV/0!</v>
      </c>
      <c r="G119" s="65">
        <v>228.95</v>
      </c>
      <c r="CO119" s="63"/>
      <c r="CP119" s="63"/>
      <c r="CQ119" s="64"/>
      <c r="CR119" s="62"/>
      <c r="CS119" s="62"/>
      <c r="CT119" s="62"/>
      <c r="CU119" s="62"/>
      <c r="CX119" s="62"/>
      <c r="CZ119" s="62"/>
    </row>
    <row r="120" spans="1:108" ht="14.25" customHeight="1">
      <c r="A120" s="475" t="s">
        <v>1084</v>
      </c>
      <c r="B120" s="61" t="s">
        <v>44</v>
      </c>
      <c r="C120" s="65">
        <v>1</v>
      </c>
      <c r="D120" s="65" t="e">
        <f t="shared" si="49"/>
        <v>#DIV/0!</v>
      </c>
      <c r="E120" s="65">
        <f t="shared" si="50"/>
        <v>5.8309392265193374</v>
      </c>
      <c r="F120" s="65" t="e">
        <f t="shared" si="51"/>
        <v>#DIV/0!</v>
      </c>
      <c r="G120" s="474">
        <v>2198.75</v>
      </c>
      <c r="AW120" s="315">
        <v>481</v>
      </c>
      <c r="AX120" s="61">
        <v>608</v>
      </c>
      <c r="AY120" s="61">
        <v>606</v>
      </c>
      <c r="AZ120" s="61">
        <v>506</v>
      </c>
      <c r="BA120" s="61">
        <v>382</v>
      </c>
      <c r="BB120" s="61">
        <v>395</v>
      </c>
      <c r="BC120" s="61">
        <v>381</v>
      </c>
      <c r="BD120" s="61">
        <v>325</v>
      </c>
      <c r="BE120" s="61">
        <v>315</v>
      </c>
      <c r="BF120" s="61">
        <v>177</v>
      </c>
      <c r="BG120" s="61">
        <v>186</v>
      </c>
      <c r="BH120" s="61">
        <v>343</v>
      </c>
      <c r="BI120" s="61">
        <v>301</v>
      </c>
      <c r="CM120" s="473">
        <v>17053</v>
      </c>
      <c r="CN120" s="473">
        <v>3833</v>
      </c>
      <c r="CO120" s="170">
        <f t="shared" ref="CO120" si="65">CN120/CM120%</f>
        <v>22.476983521960946</v>
      </c>
      <c r="CP120" s="62">
        <f t="shared" ref="CP120" si="66">CS120/CN120%</f>
        <v>56.258805113488123</v>
      </c>
      <c r="CQ120" s="61">
        <v>0</v>
      </c>
      <c r="CR120" s="79">
        <f t="shared" ref="CR120" si="67">( G120/DA120) * DB120</f>
        <v>65167.515357612989</v>
      </c>
      <c r="CS120" s="65">
        <f>((0.5*AW120)+(0.3*AX120)+(0.15*AY120)+(0.05*AZ120))*4</f>
        <v>2156.3999999999996</v>
      </c>
      <c r="CT120" s="110">
        <f t="shared" ref="CT120" si="68">CS120/CR120%</f>
        <v>3.3090106139025677</v>
      </c>
      <c r="CU120" s="110">
        <f t="shared" ref="CU120" si="69">(4*AW120)/CR120%</f>
        <v>2.952391217375506</v>
      </c>
      <c r="CW120" s="62">
        <f t="shared" ref="CW120" si="70">CT120+CV120</f>
        <v>3.3090106139025677</v>
      </c>
      <c r="CX120" s="65">
        <f>SUM(K120:N120)/SUM(G120:J120)*CR120</f>
        <v>0</v>
      </c>
      <c r="CY120" s="65">
        <f>SUM(BC120:BF120)</f>
        <v>1198</v>
      </c>
      <c r="CZ120" s="65" t="e">
        <f>CY120/CX120%</f>
        <v>#DIV/0!</v>
      </c>
      <c r="DA120" s="473">
        <v>2279</v>
      </c>
      <c r="DB120" s="473">
        <v>67546</v>
      </c>
    </row>
    <row r="121" spans="1:108" ht="14.25" customHeight="1">
      <c r="CO121" s="63"/>
      <c r="CP121" s="63"/>
      <c r="CQ121" s="64"/>
      <c r="CR121" s="62"/>
      <c r="CS121" s="62"/>
      <c r="CT121" s="62"/>
      <c r="CU121" s="62"/>
      <c r="CX121" s="62"/>
      <c r="CZ121" s="62"/>
    </row>
    <row r="122" spans="1:108" ht="14.25" customHeight="1">
      <c r="CO122" s="63"/>
      <c r="CP122" s="63"/>
      <c r="CQ122" s="64"/>
      <c r="CR122" s="62"/>
      <c r="CS122" s="62"/>
      <c r="CT122" s="62"/>
      <c r="CU122" s="62"/>
      <c r="CX122" s="62"/>
      <c r="CZ122" s="62"/>
    </row>
    <row r="123" spans="1:108" ht="14.25" customHeight="1">
      <c r="CO123" s="63"/>
      <c r="CP123" s="63"/>
      <c r="CQ123" s="64"/>
      <c r="CR123" s="62"/>
      <c r="CS123" s="62"/>
      <c r="CT123" s="62"/>
      <c r="CU123" s="62"/>
      <c r="CX123" s="62"/>
      <c r="CZ123" s="62"/>
    </row>
    <row r="124" spans="1:108" ht="14.25" customHeight="1">
      <c r="CO124" s="63"/>
      <c r="CP124" s="63"/>
      <c r="CQ124" s="64"/>
      <c r="CR124" s="62"/>
      <c r="CS124" s="62"/>
      <c r="CT124" s="62"/>
      <c r="CU124" s="62"/>
      <c r="CX124" s="62"/>
      <c r="CZ124" s="62"/>
    </row>
    <row r="125" spans="1:108" ht="14.25" customHeight="1">
      <c r="CO125" s="63"/>
      <c r="CP125" s="63"/>
      <c r="CQ125" s="64"/>
      <c r="CR125" s="62"/>
      <c r="CS125" s="62"/>
      <c r="CT125" s="62"/>
      <c r="CU125" s="62"/>
      <c r="CX125" s="62"/>
      <c r="CZ125" s="62"/>
    </row>
    <row r="126" spans="1:108" ht="14.25" customHeight="1">
      <c r="CO126" s="63"/>
      <c r="CP126" s="63"/>
      <c r="CQ126" s="64"/>
      <c r="CR126" s="62"/>
      <c r="CS126" s="62"/>
      <c r="CT126" s="62"/>
      <c r="CU126" s="62"/>
      <c r="CX126" s="62"/>
      <c r="CZ126" s="62"/>
    </row>
    <row r="127" spans="1:108" ht="14.25" customHeight="1">
      <c r="CO127" s="63"/>
      <c r="CP127" s="63"/>
      <c r="CQ127" s="64"/>
      <c r="CR127" s="62"/>
      <c r="CS127" s="62"/>
      <c r="CT127" s="62"/>
      <c r="CU127" s="62"/>
      <c r="CX127" s="62"/>
      <c r="CZ127" s="62"/>
    </row>
    <row r="128" spans="1:108" ht="14.25" customHeight="1">
      <c r="CO128" s="63"/>
      <c r="CP128" s="63"/>
      <c r="CQ128" s="64"/>
      <c r="CR128" s="62"/>
      <c r="CS128" s="62"/>
      <c r="CT128" s="62"/>
      <c r="CU128" s="62"/>
      <c r="CX128" s="62"/>
      <c r="CZ128" s="62"/>
    </row>
    <row r="129" spans="93:104" ht="14.25" customHeight="1">
      <c r="CO129" s="63"/>
      <c r="CP129" s="63"/>
      <c r="CQ129" s="64"/>
      <c r="CR129" s="62"/>
      <c r="CS129" s="62"/>
      <c r="CT129" s="62"/>
      <c r="CU129" s="62"/>
      <c r="CX129" s="62"/>
      <c r="CZ129" s="62"/>
    </row>
    <row r="130" spans="93:104" ht="14.25" customHeight="1">
      <c r="CO130" s="63"/>
      <c r="CP130" s="63"/>
      <c r="CQ130" s="64"/>
      <c r="CR130" s="62"/>
      <c r="CS130" s="62"/>
      <c r="CT130" s="62"/>
      <c r="CU130" s="62"/>
      <c r="CX130" s="62"/>
      <c r="CZ130" s="62"/>
    </row>
    <row r="131" spans="93:104" ht="14.25" customHeight="1">
      <c r="CO131" s="63"/>
      <c r="CP131" s="63"/>
      <c r="CQ131" s="64"/>
      <c r="CR131" s="62"/>
      <c r="CS131" s="62"/>
      <c r="CT131" s="62"/>
      <c r="CU131" s="62"/>
      <c r="CX131" s="62"/>
      <c r="CZ131" s="62"/>
    </row>
    <row r="132" spans="93:104" ht="14.25" customHeight="1">
      <c r="CO132" s="63"/>
      <c r="CP132" s="63"/>
      <c r="CQ132" s="64"/>
      <c r="CR132" s="62"/>
      <c r="CS132" s="62"/>
      <c r="CT132" s="62"/>
      <c r="CU132" s="62"/>
      <c r="CX132" s="62"/>
      <c r="CZ132" s="62"/>
    </row>
    <row r="133" spans="93:104" ht="14.25" customHeight="1">
      <c r="CO133" s="63"/>
      <c r="CP133" s="63"/>
      <c r="CQ133" s="64"/>
      <c r="CR133" s="62"/>
      <c r="CS133" s="62"/>
      <c r="CT133" s="62"/>
      <c r="CU133" s="62"/>
      <c r="CX133" s="62"/>
      <c r="CZ133" s="62"/>
    </row>
    <row r="134" spans="93:104" ht="14.25" customHeight="1">
      <c r="CO134" s="63"/>
      <c r="CP134" s="63"/>
      <c r="CQ134" s="64"/>
      <c r="CR134" s="62"/>
      <c r="CS134" s="62"/>
      <c r="CT134" s="62"/>
      <c r="CU134" s="62"/>
      <c r="CX134" s="62"/>
      <c r="CZ134" s="62"/>
    </row>
    <row r="135" spans="93:104" ht="14.25" customHeight="1">
      <c r="CO135" s="63"/>
      <c r="CP135" s="63"/>
      <c r="CQ135" s="64"/>
      <c r="CR135" s="62"/>
      <c r="CS135" s="62"/>
      <c r="CT135" s="62"/>
      <c r="CU135" s="62"/>
      <c r="CX135" s="62"/>
      <c r="CZ135" s="62"/>
    </row>
    <row r="136" spans="93:104" ht="14.25" customHeight="1">
      <c r="CO136" s="63"/>
      <c r="CP136" s="63"/>
      <c r="CQ136" s="64"/>
      <c r="CR136" s="62"/>
      <c r="CS136" s="62"/>
      <c r="CT136" s="62"/>
      <c r="CU136" s="62"/>
      <c r="CX136" s="62"/>
      <c r="CZ136" s="62"/>
    </row>
    <row r="137" spans="93:104" ht="14.25" customHeight="1">
      <c r="CO137" s="63"/>
      <c r="CP137" s="63"/>
      <c r="CQ137" s="64"/>
      <c r="CR137" s="62"/>
      <c r="CS137" s="62"/>
      <c r="CT137" s="62"/>
      <c r="CU137" s="62"/>
      <c r="CX137" s="62"/>
      <c r="CZ137" s="62"/>
    </row>
    <row r="138" spans="93:104" ht="14.25" customHeight="1">
      <c r="CO138" s="63"/>
      <c r="CP138" s="63"/>
      <c r="CQ138" s="64"/>
      <c r="CR138" s="62"/>
      <c r="CS138" s="62"/>
      <c r="CT138" s="62"/>
      <c r="CU138" s="62"/>
      <c r="CX138" s="62"/>
      <c r="CZ138" s="62"/>
    </row>
    <row r="139" spans="93:104" ht="14.25" customHeight="1">
      <c r="CO139" s="63"/>
      <c r="CP139" s="63"/>
      <c r="CQ139" s="64"/>
      <c r="CR139" s="62"/>
      <c r="CS139" s="62"/>
      <c r="CT139" s="62"/>
      <c r="CU139" s="62"/>
      <c r="CX139" s="62"/>
      <c r="CZ139" s="62"/>
    </row>
    <row r="140" spans="93:104" ht="14.25" customHeight="1">
      <c r="CO140" s="63"/>
      <c r="CP140" s="63"/>
      <c r="CQ140" s="64"/>
      <c r="CR140" s="62"/>
      <c r="CS140" s="62"/>
      <c r="CT140" s="62"/>
      <c r="CU140" s="62"/>
      <c r="CX140" s="62"/>
      <c r="CZ140" s="62"/>
    </row>
    <row r="141" spans="93:104" ht="14.25" customHeight="1">
      <c r="CO141" s="63"/>
      <c r="CP141" s="63"/>
      <c r="CQ141" s="64"/>
      <c r="CR141" s="62"/>
      <c r="CS141" s="62"/>
      <c r="CT141" s="62"/>
      <c r="CU141" s="62"/>
      <c r="CX141" s="62"/>
      <c r="CZ141" s="62"/>
    </row>
    <row r="142" spans="93:104" ht="14.25" customHeight="1">
      <c r="CO142" s="63"/>
      <c r="CP142" s="63"/>
      <c r="CQ142" s="64"/>
      <c r="CR142" s="62"/>
      <c r="CS142" s="62"/>
      <c r="CT142" s="62"/>
      <c r="CU142" s="62"/>
      <c r="CX142" s="62"/>
      <c r="CZ142" s="62"/>
    </row>
    <row r="143" spans="93:104" ht="14.25" customHeight="1">
      <c r="CO143" s="63"/>
      <c r="CP143" s="63"/>
      <c r="CQ143" s="64"/>
      <c r="CR143" s="62"/>
      <c r="CS143" s="62"/>
      <c r="CT143" s="62"/>
      <c r="CU143" s="62"/>
      <c r="CX143" s="62"/>
      <c r="CZ143" s="62"/>
    </row>
    <row r="144" spans="93:104" ht="14.25" customHeight="1">
      <c r="CO144" s="63"/>
      <c r="CP144" s="63"/>
      <c r="CQ144" s="64"/>
      <c r="CR144" s="62"/>
      <c r="CS144" s="62"/>
      <c r="CT144" s="62"/>
      <c r="CU144" s="62"/>
      <c r="CX144" s="62"/>
      <c r="CZ144" s="62"/>
    </row>
    <row r="145" spans="93:104" ht="14.25" customHeight="1">
      <c r="CO145" s="63"/>
      <c r="CP145" s="63"/>
      <c r="CQ145" s="64"/>
      <c r="CR145" s="62"/>
      <c r="CS145" s="62"/>
      <c r="CT145" s="62"/>
      <c r="CU145" s="62"/>
      <c r="CX145" s="62"/>
      <c r="CZ145" s="62"/>
    </row>
    <row r="146" spans="93:104" ht="14.25" customHeight="1">
      <c r="CO146" s="63"/>
      <c r="CP146" s="63"/>
      <c r="CQ146" s="64"/>
      <c r="CR146" s="62"/>
      <c r="CS146" s="62"/>
      <c r="CT146" s="62"/>
      <c r="CU146" s="62"/>
      <c r="CX146" s="62"/>
      <c r="CZ146" s="62"/>
    </row>
    <row r="147" spans="93:104" ht="14.25" customHeight="1">
      <c r="CO147" s="63"/>
      <c r="CP147" s="63"/>
      <c r="CQ147" s="64"/>
      <c r="CR147" s="62"/>
      <c r="CS147" s="62"/>
      <c r="CT147" s="62"/>
      <c r="CU147" s="62"/>
      <c r="CX147" s="62"/>
      <c r="CZ147" s="62"/>
    </row>
    <row r="148" spans="93:104" ht="14.25" customHeight="1">
      <c r="CO148" s="63"/>
      <c r="CP148" s="63"/>
      <c r="CQ148" s="64"/>
      <c r="CR148" s="62"/>
      <c r="CS148" s="62"/>
      <c r="CT148" s="62"/>
      <c r="CU148" s="62"/>
      <c r="CX148" s="62"/>
      <c r="CZ148" s="62"/>
    </row>
    <row r="149" spans="93:104" ht="14.25" customHeight="1">
      <c r="CO149" s="63"/>
      <c r="CP149" s="63"/>
      <c r="CQ149" s="64"/>
      <c r="CR149" s="62"/>
      <c r="CS149" s="62"/>
      <c r="CT149" s="62"/>
      <c r="CU149" s="62"/>
      <c r="CX149" s="62"/>
      <c r="CZ149" s="62"/>
    </row>
    <row r="150" spans="93:104" ht="14.25" customHeight="1">
      <c r="CO150" s="63"/>
      <c r="CP150" s="63"/>
      <c r="CQ150" s="64"/>
      <c r="CR150" s="62"/>
      <c r="CS150" s="62"/>
      <c r="CT150" s="62"/>
      <c r="CU150" s="62"/>
      <c r="CX150" s="62"/>
      <c r="CZ150" s="62"/>
    </row>
    <row r="151" spans="93:104" ht="14.25" customHeight="1">
      <c r="CO151" s="63"/>
      <c r="CP151" s="63"/>
      <c r="CQ151" s="64"/>
      <c r="CR151" s="62"/>
      <c r="CS151" s="62"/>
      <c r="CT151" s="62"/>
      <c r="CU151" s="62"/>
      <c r="CX151" s="62"/>
      <c r="CZ151" s="62"/>
    </row>
    <row r="152" spans="93:104" ht="14.25" customHeight="1">
      <c r="CO152" s="63"/>
      <c r="CP152" s="63"/>
      <c r="CQ152" s="64"/>
      <c r="CR152" s="62"/>
      <c r="CS152" s="62"/>
      <c r="CT152" s="62"/>
      <c r="CU152" s="62"/>
      <c r="CX152" s="62"/>
      <c r="CZ152" s="62"/>
    </row>
    <row r="153" spans="93:104" ht="14.25" customHeight="1">
      <c r="CO153" s="63"/>
      <c r="CP153" s="63"/>
      <c r="CQ153" s="64"/>
      <c r="CR153" s="62"/>
      <c r="CS153" s="62"/>
      <c r="CT153" s="62"/>
      <c r="CU153" s="62"/>
      <c r="CX153" s="62"/>
      <c r="CZ153" s="62"/>
    </row>
    <row r="154" spans="93:104" ht="14.25" customHeight="1">
      <c r="CO154" s="63"/>
      <c r="CP154" s="63"/>
      <c r="CQ154" s="64"/>
      <c r="CR154" s="62"/>
      <c r="CS154" s="62"/>
      <c r="CT154" s="62"/>
      <c r="CU154" s="62"/>
      <c r="CX154" s="62"/>
      <c r="CZ154" s="62"/>
    </row>
    <row r="155" spans="93:104" ht="14.25" customHeight="1">
      <c r="CO155" s="63"/>
      <c r="CP155" s="63"/>
      <c r="CQ155" s="64"/>
      <c r="CR155" s="62"/>
      <c r="CS155" s="62"/>
      <c r="CT155" s="62"/>
      <c r="CU155" s="62"/>
      <c r="CX155" s="62"/>
      <c r="CZ155" s="62"/>
    </row>
    <row r="156" spans="93:104" ht="14.25" customHeight="1">
      <c r="CO156" s="63"/>
      <c r="CP156" s="63"/>
      <c r="CQ156" s="64"/>
      <c r="CR156" s="62"/>
      <c r="CS156" s="62"/>
      <c r="CT156" s="62"/>
      <c r="CU156" s="62"/>
      <c r="CX156" s="62"/>
      <c r="CZ156" s="62"/>
    </row>
    <row r="157" spans="93:104" ht="14.25" customHeight="1">
      <c r="CO157" s="63"/>
      <c r="CP157" s="63"/>
      <c r="CQ157" s="64"/>
      <c r="CR157" s="62"/>
      <c r="CS157" s="62"/>
      <c r="CT157" s="62"/>
      <c r="CU157" s="62"/>
      <c r="CX157" s="62"/>
      <c r="CZ157" s="62"/>
    </row>
    <row r="158" spans="93:104" ht="14.25" customHeight="1">
      <c r="CO158" s="63"/>
      <c r="CP158" s="63"/>
      <c r="CQ158" s="64"/>
      <c r="CR158" s="62"/>
      <c r="CS158" s="62"/>
      <c r="CT158" s="62"/>
      <c r="CU158" s="62"/>
      <c r="CX158" s="62"/>
      <c r="CZ158" s="62"/>
    </row>
    <row r="159" spans="93:104" ht="14.25" customHeight="1">
      <c r="CO159" s="63"/>
      <c r="CP159" s="63"/>
      <c r="CQ159" s="64"/>
      <c r="CR159" s="62"/>
      <c r="CS159" s="62"/>
      <c r="CT159" s="62"/>
      <c r="CU159" s="62"/>
      <c r="CX159" s="62"/>
      <c r="CZ159" s="62"/>
    </row>
    <row r="160" spans="93:104" ht="14.25" customHeight="1">
      <c r="CO160" s="63"/>
      <c r="CP160" s="63"/>
      <c r="CQ160" s="64"/>
      <c r="CR160" s="62"/>
      <c r="CS160" s="62"/>
      <c r="CT160" s="62"/>
      <c r="CU160" s="62"/>
      <c r="CX160" s="62"/>
      <c r="CZ160" s="62"/>
    </row>
    <row r="161" spans="93:104" ht="14.25" customHeight="1">
      <c r="CO161" s="63"/>
      <c r="CP161" s="63"/>
      <c r="CQ161" s="64"/>
      <c r="CR161" s="62"/>
      <c r="CS161" s="62"/>
      <c r="CT161" s="62"/>
      <c r="CU161" s="62"/>
      <c r="CX161" s="62"/>
      <c r="CZ161" s="62"/>
    </row>
    <row r="162" spans="93:104" ht="14.25" customHeight="1">
      <c r="CO162" s="63"/>
      <c r="CP162" s="63"/>
      <c r="CQ162" s="64"/>
      <c r="CR162" s="62"/>
      <c r="CS162" s="62"/>
      <c r="CT162" s="62"/>
      <c r="CU162" s="62"/>
      <c r="CX162" s="62"/>
      <c r="CZ162" s="62"/>
    </row>
    <row r="163" spans="93:104" ht="14.25" customHeight="1">
      <c r="CO163" s="63"/>
      <c r="CP163" s="63"/>
      <c r="CQ163" s="64"/>
      <c r="CR163" s="62"/>
      <c r="CS163" s="62"/>
      <c r="CT163" s="62"/>
      <c r="CU163" s="62"/>
      <c r="CX163" s="62"/>
      <c r="CZ163" s="62"/>
    </row>
    <row r="164" spans="93:104" ht="14.25" customHeight="1">
      <c r="CO164" s="63"/>
      <c r="CP164" s="63"/>
      <c r="CQ164" s="64"/>
      <c r="CR164" s="62"/>
      <c r="CS164" s="62"/>
      <c r="CT164" s="62"/>
      <c r="CU164" s="62"/>
      <c r="CX164" s="62"/>
      <c r="CZ164" s="62"/>
    </row>
    <row r="165" spans="93:104" ht="14.25" customHeight="1">
      <c r="CO165" s="63"/>
      <c r="CP165" s="63"/>
      <c r="CQ165" s="64"/>
      <c r="CR165" s="62"/>
      <c r="CS165" s="62"/>
      <c r="CT165" s="62"/>
      <c r="CU165" s="62"/>
      <c r="CX165" s="62"/>
      <c r="CZ165" s="62"/>
    </row>
    <row r="166" spans="93:104" ht="14.25" customHeight="1">
      <c r="CO166" s="63"/>
      <c r="CP166" s="63"/>
      <c r="CQ166" s="64"/>
      <c r="CR166" s="62"/>
      <c r="CS166" s="62"/>
      <c r="CT166" s="62"/>
      <c r="CU166" s="62"/>
      <c r="CX166" s="62"/>
      <c r="CZ166" s="62"/>
    </row>
    <row r="167" spans="93:104" ht="14.25" customHeight="1">
      <c r="CO167" s="63"/>
      <c r="CP167" s="63"/>
      <c r="CQ167" s="64"/>
      <c r="CR167" s="62"/>
      <c r="CS167" s="62"/>
      <c r="CT167" s="62"/>
      <c r="CU167" s="62"/>
      <c r="CX167" s="62"/>
      <c r="CZ167" s="62"/>
    </row>
    <row r="168" spans="93:104" ht="14.25" customHeight="1">
      <c r="CO168" s="63"/>
      <c r="CP168" s="63"/>
      <c r="CQ168" s="64"/>
      <c r="CR168" s="62"/>
      <c r="CS168" s="62"/>
      <c r="CT168" s="62"/>
      <c r="CU168" s="62"/>
      <c r="CX168" s="62"/>
      <c r="CZ168" s="62"/>
    </row>
    <row r="169" spans="93:104" ht="14.25" customHeight="1">
      <c r="CO169" s="63"/>
      <c r="CP169" s="63"/>
      <c r="CQ169" s="64"/>
      <c r="CR169" s="62"/>
      <c r="CS169" s="62"/>
      <c r="CT169" s="62"/>
      <c r="CU169" s="62"/>
      <c r="CX169" s="62"/>
      <c r="CZ169" s="62"/>
    </row>
    <row r="170" spans="93:104" ht="14.25" customHeight="1">
      <c r="CO170" s="63"/>
      <c r="CP170" s="63"/>
      <c r="CQ170" s="64"/>
      <c r="CR170" s="62"/>
      <c r="CS170" s="62"/>
      <c r="CT170" s="62"/>
      <c r="CU170" s="62"/>
      <c r="CX170" s="62"/>
      <c r="CZ170" s="62"/>
    </row>
    <row r="171" spans="93:104" ht="14.25" customHeight="1">
      <c r="CO171" s="63"/>
      <c r="CP171" s="63"/>
      <c r="CQ171" s="64"/>
      <c r="CR171" s="62"/>
      <c r="CS171" s="62"/>
      <c r="CT171" s="62"/>
      <c r="CU171" s="62"/>
      <c r="CX171" s="62"/>
      <c r="CZ171" s="62"/>
    </row>
    <row r="172" spans="93:104" ht="14.25" customHeight="1">
      <c r="CO172" s="63"/>
      <c r="CP172" s="63"/>
      <c r="CQ172" s="64"/>
      <c r="CR172" s="62"/>
      <c r="CS172" s="62"/>
      <c r="CT172" s="62"/>
      <c r="CU172" s="62"/>
      <c r="CX172" s="62"/>
      <c r="CZ172" s="62"/>
    </row>
    <row r="173" spans="93:104" ht="14.25" customHeight="1">
      <c r="CO173" s="63"/>
      <c r="CP173" s="63"/>
      <c r="CQ173" s="64"/>
      <c r="CR173" s="62"/>
      <c r="CS173" s="62"/>
      <c r="CT173" s="62"/>
      <c r="CU173" s="62"/>
      <c r="CX173" s="62"/>
      <c r="CZ173" s="62"/>
    </row>
    <row r="174" spans="93:104" ht="14.25" customHeight="1">
      <c r="CO174" s="63"/>
      <c r="CP174" s="63"/>
      <c r="CQ174" s="64"/>
      <c r="CR174" s="62"/>
      <c r="CS174" s="62"/>
      <c r="CT174" s="62"/>
      <c r="CU174" s="62"/>
      <c r="CX174" s="62"/>
      <c r="CZ174" s="62"/>
    </row>
    <row r="175" spans="93:104" ht="14.25" customHeight="1">
      <c r="CO175" s="63"/>
      <c r="CP175" s="63"/>
      <c r="CQ175" s="64"/>
      <c r="CR175" s="62"/>
      <c r="CS175" s="62"/>
      <c r="CT175" s="62"/>
      <c r="CU175" s="62"/>
      <c r="CX175" s="62"/>
      <c r="CZ175" s="62"/>
    </row>
    <row r="176" spans="93:104" ht="14.25" customHeight="1">
      <c r="CO176" s="63"/>
      <c r="CP176" s="63"/>
      <c r="CQ176" s="64"/>
      <c r="CR176" s="62"/>
      <c r="CS176" s="62"/>
      <c r="CT176" s="62"/>
      <c r="CU176" s="62"/>
      <c r="CX176" s="62"/>
      <c r="CZ176" s="62"/>
    </row>
    <row r="177" spans="93:104" ht="14.25" customHeight="1">
      <c r="CO177" s="63"/>
      <c r="CP177" s="63"/>
      <c r="CQ177" s="64"/>
      <c r="CR177" s="62"/>
      <c r="CS177" s="62"/>
      <c r="CT177" s="62"/>
      <c r="CU177" s="62"/>
      <c r="CX177" s="62"/>
      <c r="CZ177" s="62"/>
    </row>
    <row r="178" spans="93:104" ht="14.25" customHeight="1">
      <c r="CO178" s="63"/>
      <c r="CP178" s="63"/>
      <c r="CQ178" s="64"/>
      <c r="CR178" s="62"/>
      <c r="CS178" s="62"/>
      <c r="CT178" s="62"/>
      <c r="CU178" s="62"/>
      <c r="CX178" s="62"/>
      <c r="CZ178" s="62"/>
    </row>
    <row r="179" spans="93:104" ht="14.25" customHeight="1">
      <c r="CO179" s="63"/>
      <c r="CP179" s="63"/>
      <c r="CQ179" s="64"/>
      <c r="CR179" s="62"/>
      <c r="CS179" s="62"/>
      <c r="CT179" s="62"/>
      <c r="CU179" s="62"/>
      <c r="CX179" s="62"/>
      <c r="CZ179" s="62"/>
    </row>
    <row r="180" spans="93:104" ht="14.25" customHeight="1">
      <c r="CO180" s="63"/>
      <c r="CP180" s="63"/>
      <c r="CQ180" s="64"/>
      <c r="CR180" s="62"/>
      <c r="CS180" s="62"/>
      <c r="CT180" s="62"/>
      <c r="CU180" s="62"/>
      <c r="CX180" s="62"/>
      <c r="CZ180" s="62"/>
    </row>
    <row r="181" spans="93:104" ht="14.25" customHeight="1">
      <c r="CO181" s="63"/>
      <c r="CP181" s="63"/>
      <c r="CQ181" s="64"/>
      <c r="CR181" s="62"/>
      <c r="CS181" s="62"/>
      <c r="CT181" s="62"/>
      <c r="CU181" s="62"/>
      <c r="CX181" s="62"/>
      <c r="CZ181" s="62"/>
    </row>
    <row r="182" spans="93:104" ht="14.25" customHeight="1">
      <c r="CO182" s="63"/>
      <c r="CP182" s="63"/>
      <c r="CQ182" s="64"/>
      <c r="CR182" s="62"/>
      <c r="CS182" s="62"/>
      <c r="CT182" s="62"/>
      <c r="CU182" s="62"/>
      <c r="CX182" s="62"/>
      <c r="CZ182" s="62"/>
    </row>
    <row r="183" spans="93:104" ht="14.25" customHeight="1">
      <c r="CO183" s="63"/>
      <c r="CP183" s="63"/>
      <c r="CQ183" s="64"/>
      <c r="CR183" s="62"/>
      <c r="CS183" s="62"/>
      <c r="CT183" s="62"/>
      <c r="CU183" s="62"/>
      <c r="CX183" s="62"/>
      <c r="CZ183" s="62"/>
    </row>
    <row r="184" spans="93:104" ht="14.25" customHeight="1">
      <c r="CO184" s="63"/>
      <c r="CP184" s="63"/>
      <c r="CQ184" s="64"/>
      <c r="CR184" s="62"/>
      <c r="CS184" s="62"/>
      <c r="CT184" s="62"/>
      <c r="CU184" s="62"/>
      <c r="CX184" s="62"/>
      <c r="CZ184" s="62"/>
    </row>
    <row r="185" spans="93:104" ht="14.25" customHeight="1">
      <c r="CO185" s="63"/>
      <c r="CP185" s="63"/>
      <c r="CQ185" s="64"/>
      <c r="CR185" s="62"/>
      <c r="CS185" s="62"/>
      <c r="CT185" s="62"/>
      <c r="CU185" s="62"/>
      <c r="CX185" s="62"/>
      <c r="CZ185" s="62"/>
    </row>
    <row r="186" spans="93:104" ht="14.25" customHeight="1">
      <c r="CO186" s="63"/>
      <c r="CP186" s="63"/>
      <c r="CQ186" s="64"/>
      <c r="CR186" s="62"/>
      <c r="CS186" s="62"/>
      <c r="CT186" s="62"/>
      <c r="CU186" s="62"/>
      <c r="CX186" s="62"/>
      <c r="CZ186" s="62"/>
    </row>
    <row r="187" spans="93:104" ht="14.25" customHeight="1">
      <c r="CO187" s="63"/>
      <c r="CP187" s="63"/>
      <c r="CQ187" s="64"/>
      <c r="CR187" s="62"/>
      <c r="CS187" s="62"/>
      <c r="CT187" s="62"/>
      <c r="CU187" s="62"/>
      <c r="CX187" s="62"/>
      <c r="CZ187" s="62"/>
    </row>
    <row r="188" spans="93:104" ht="14.25" customHeight="1">
      <c r="CO188" s="63"/>
      <c r="CP188" s="63"/>
      <c r="CQ188" s="64"/>
      <c r="CR188" s="62"/>
      <c r="CS188" s="62"/>
      <c r="CT188" s="62"/>
      <c r="CU188" s="62"/>
      <c r="CX188" s="62"/>
      <c r="CZ188" s="62"/>
    </row>
    <row r="189" spans="93:104" ht="14.25" customHeight="1">
      <c r="CO189" s="63"/>
      <c r="CP189" s="63"/>
      <c r="CQ189" s="64"/>
      <c r="CR189" s="62"/>
      <c r="CS189" s="62"/>
      <c r="CT189" s="62"/>
      <c r="CU189" s="62"/>
      <c r="CX189" s="62"/>
      <c r="CZ189" s="62"/>
    </row>
    <row r="190" spans="93:104" ht="14.25" customHeight="1">
      <c r="CO190" s="63"/>
      <c r="CP190" s="63"/>
      <c r="CQ190" s="64"/>
      <c r="CR190" s="62"/>
      <c r="CS190" s="62"/>
      <c r="CT190" s="62"/>
      <c r="CU190" s="62"/>
      <c r="CX190" s="62"/>
      <c r="CZ190" s="62"/>
    </row>
    <row r="191" spans="93:104" ht="14.25" customHeight="1">
      <c r="CO191" s="63"/>
      <c r="CP191" s="63"/>
      <c r="CQ191" s="64"/>
      <c r="CR191" s="62"/>
      <c r="CS191" s="62"/>
      <c r="CT191" s="62"/>
      <c r="CU191" s="62"/>
      <c r="CX191" s="62"/>
      <c r="CZ191" s="62"/>
    </row>
    <row r="192" spans="93:104" ht="14.25" customHeight="1">
      <c r="CO192" s="63"/>
      <c r="CP192" s="63"/>
      <c r="CQ192" s="64"/>
      <c r="CR192" s="62"/>
      <c r="CS192" s="62"/>
      <c r="CT192" s="62"/>
      <c r="CU192" s="62"/>
      <c r="CX192" s="62"/>
      <c r="CZ192" s="62"/>
    </row>
    <row r="193" spans="93:104" ht="14.25" customHeight="1">
      <c r="CO193" s="63"/>
      <c r="CP193" s="63"/>
      <c r="CQ193" s="64"/>
      <c r="CR193" s="62"/>
      <c r="CS193" s="62"/>
      <c r="CT193" s="62"/>
      <c r="CU193" s="62"/>
      <c r="CX193" s="62"/>
      <c r="CZ193" s="62"/>
    </row>
    <row r="194" spans="93:104" ht="14.25" customHeight="1">
      <c r="CO194" s="63"/>
      <c r="CP194" s="63"/>
      <c r="CQ194" s="64"/>
      <c r="CR194" s="62"/>
      <c r="CS194" s="62"/>
      <c r="CT194" s="62"/>
      <c r="CU194" s="62"/>
      <c r="CX194" s="62"/>
      <c r="CZ194" s="62"/>
    </row>
    <row r="195" spans="93:104" ht="14.25" customHeight="1">
      <c r="CO195" s="63"/>
      <c r="CP195" s="63"/>
      <c r="CQ195" s="64"/>
      <c r="CR195" s="62"/>
      <c r="CS195" s="62"/>
      <c r="CT195" s="62"/>
      <c r="CU195" s="62"/>
      <c r="CX195" s="62"/>
      <c r="CZ195" s="62"/>
    </row>
    <row r="196" spans="93:104" ht="14.25" customHeight="1">
      <c r="CO196" s="63"/>
      <c r="CP196" s="63"/>
      <c r="CQ196" s="64"/>
      <c r="CR196" s="62"/>
      <c r="CS196" s="62"/>
      <c r="CT196" s="62"/>
      <c r="CU196" s="62"/>
      <c r="CX196" s="62"/>
      <c r="CZ196" s="62"/>
    </row>
    <row r="197" spans="93:104" ht="14.25" customHeight="1">
      <c r="CO197" s="63"/>
      <c r="CP197" s="63"/>
      <c r="CQ197" s="64"/>
      <c r="CR197" s="62"/>
      <c r="CS197" s="62"/>
      <c r="CT197" s="62"/>
      <c r="CU197" s="62"/>
      <c r="CX197" s="62"/>
      <c r="CZ197" s="62"/>
    </row>
    <row r="198" spans="93:104" ht="14.25" customHeight="1">
      <c r="CO198" s="63"/>
      <c r="CP198" s="63"/>
      <c r="CQ198" s="64"/>
      <c r="CR198" s="62"/>
      <c r="CS198" s="62"/>
      <c r="CT198" s="62"/>
      <c r="CU198" s="62"/>
      <c r="CX198" s="62"/>
      <c r="CZ198" s="62"/>
    </row>
    <row r="199" spans="93:104" ht="14.25" customHeight="1">
      <c r="CO199" s="63"/>
      <c r="CP199" s="63"/>
      <c r="CQ199" s="64"/>
      <c r="CR199" s="62"/>
      <c r="CS199" s="62"/>
      <c r="CT199" s="62"/>
      <c r="CU199" s="62"/>
      <c r="CX199" s="62"/>
      <c r="CZ199" s="62"/>
    </row>
    <row r="200" spans="93:104" ht="14.25" customHeight="1">
      <c r="CO200" s="63"/>
      <c r="CP200" s="63"/>
      <c r="CQ200" s="64"/>
      <c r="CR200" s="62"/>
      <c r="CS200" s="62"/>
      <c r="CT200" s="62"/>
      <c r="CU200" s="62"/>
      <c r="CX200" s="62"/>
      <c r="CZ200" s="62"/>
    </row>
    <row r="201" spans="93:104" ht="14.25" customHeight="1">
      <c r="CO201" s="63"/>
      <c r="CP201" s="63"/>
      <c r="CQ201" s="64"/>
      <c r="CR201" s="62"/>
      <c r="CS201" s="62"/>
      <c r="CT201" s="62"/>
      <c r="CU201" s="62"/>
      <c r="CX201" s="62"/>
      <c r="CZ201" s="62"/>
    </row>
    <row r="202" spans="93:104" ht="14.25" customHeight="1">
      <c r="CO202" s="63"/>
      <c r="CP202" s="63"/>
      <c r="CQ202" s="64"/>
      <c r="CR202" s="62"/>
      <c r="CS202" s="62"/>
      <c r="CT202" s="62"/>
      <c r="CU202" s="62"/>
      <c r="CX202" s="62"/>
      <c r="CZ202" s="62"/>
    </row>
    <row r="203" spans="93:104" ht="14.25" customHeight="1">
      <c r="CO203" s="63"/>
      <c r="CP203" s="63"/>
      <c r="CQ203" s="64"/>
      <c r="CR203" s="62"/>
      <c r="CS203" s="62"/>
      <c r="CT203" s="62"/>
      <c r="CU203" s="62"/>
      <c r="CX203" s="62"/>
      <c r="CZ203" s="62"/>
    </row>
    <row r="204" spans="93:104" ht="14.25" customHeight="1">
      <c r="CO204" s="63"/>
      <c r="CP204" s="63"/>
      <c r="CQ204" s="64"/>
      <c r="CR204" s="62"/>
      <c r="CS204" s="62"/>
      <c r="CT204" s="62"/>
      <c r="CU204" s="62"/>
      <c r="CX204" s="62"/>
      <c r="CZ204" s="62"/>
    </row>
    <row r="205" spans="93:104" ht="14.25" customHeight="1">
      <c r="CO205" s="63"/>
      <c r="CP205" s="63"/>
      <c r="CQ205" s="64"/>
      <c r="CR205" s="62"/>
      <c r="CS205" s="62"/>
      <c r="CT205" s="62"/>
      <c r="CU205" s="62"/>
      <c r="CX205" s="62"/>
      <c r="CZ205" s="62"/>
    </row>
    <row r="206" spans="93:104" ht="14.25" customHeight="1">
      <c r="CO206" s="63"/>
      <c r="CP206" s="63"/>
      <c r="CQ206" s="64"/>
      <c r="CR206" s="62"/>
      <c r="CS206" s="62"/>
      <c r="CT206" s="62"/>
      <c r="CU206" s="62"/>
      <c r="CX206" s="62"/>
      <c r="CZ206" s="62"/>
    </row>
    <row r="207" spans="93:104" ht="14.25" customHeight="1">
      <c r="CO207" s="63"/>
      <c r="CP207" s="63"/>
      <c r="CQ207" s="64"/>
      <c r="CR207" s="62"/>
      <c r="CS207" s="62"/>
      <c r="CT207" s="62"/>
      <c r="CU207" s="62"/>
      <c r="CX207" s="62"/>
      <c r="CZ207" s="62"/>
    </row>
    <row r="208" spans="93:104" ht="14.25" customHeight="1">
      <c r="CO208" s="63"/>
      <c r="CP208" s="63"/>
      <c r="CQ208" s="64"/>
      <c r="CR208" s="62"/>
      <c r="CS208" s="62"/>
      <c r="CT208" s="62"/>
      <c r="CU208" s="62"/>
      <c r="CX208" s="62"/>
      <c r="CZ208" s="62"/>
    </row>
    <row r="209" spans="93:104" ht="14.25" customHeight="1">
      <c r="CO209" s="63"/>
      <c r="CP209" s="63"/>
      <c r="CQ209" s="64"/>
      <c r="CR209" s="62"/>
      <c r="CS209" s="62"/>
      <c r="CT209" s="62"/>
      <c r="CU209" s="62"/>
      <c r="CX209" s="62"/>
      <c r="CZ209" s="62"/>
    </row>
    <row r="210" spans="93:104" ht="14.25" customHeight="1">
      <c r="CO210" s="63"/>
      <c r="CP210" s="63"/>
      <c r="CQ210" s="64"/>
      <c r="CR210" s="62"/>
      <c r="CS210" s="62"/>
      <c r="CT210" s="62"/>
      <c r="CU210" s="62"/>
      <c r="CX210" s="62"/>
      <c r="CZ210" s="62"/>
    </row>
    <row r="211" spans="93:104" ht="14.25" customHeight="1">
      <c r="CO211" s="63"/>
      <c r="CP211" s="63"/>
      <c r="CQ211" s="64"/>
      <c r="CR211" s="62"/>
      <c r="CS211" s="62"/>
      <c r="CT211" s="62"/>
      <c r="CU211" s="62"/>
      <c r="CX211" s="62"/>
      <c r="CZ211" s="62"/>
    </row>
    <row r="212" spans="93:104" ht="14.25" customHeight="1">
      <c r="CO212" s="63"/>
      <c r="CP212" s="63"/>
      <c r="CQ212" s="64"/>
      <c r="CR212" s="62"/>
      <c r="CS212" s="62"/>
      <c r="CT212" s="62"/>
      <c r="CU212" s="62"/>
      <c r="CX212" s="62"/>
      <c r="CZ212" s="62"/>
    </row>
    <row r="213" spans="93:104" ht="14.25" customHeight="1">
      <c r="CO213" s="63"/>
      <c r="CP213" s="63"/>
      <c r="CQ213" s="64"/>
      <c r="CR213" s="62"/>
      <c r="CS213" s="62"/>
      <c r="CT213" s="62"/>
      <c r="CU213" s="62"/>
      <c r="CX213" s="62"/>
      <c r="CZ213" s="62"/>
    </row>
    <row r="214" spans="93:104" ht="14.25" customHeight="1">
      <c r="CO214" s="63"/>
      <c r="CP214" s="63"/>
      <c r="CQ214" s="64"/>
      <c r="CR214" s="62"/>
      <c r="CS214" s="62"/>
      <c r="CT214" s="62"/>
      <c r="CU214" s="62"/>
      <c r="CX214" s="62"/>
      <c r="CZ214" s="62"/>
    </row>
    <row r="215" spans="93:104" ht="14.25" customHeight="1">
      <c r="CO215" s="63"/>
      <c r="CP215" s="63"/>
      <c r="CQ215" s="64"/>
      <c r="CR215" s="62"/>
      <c r="CS215" s="62"/>
      <c r="CT215" s="62"/>
      <c r="CU215" s="62"/>
      <c r="CX215" s="62"/>
      <c r="CZ215" s="62"/>
    </row>
    <row r="216" spans="93:104" ht="14.25" customHeight="1">
      <c r="CO216" s="63"/>
      <c r="CP216" s="63"/>
      <c r="CQ216" s="64"/>
      <c r="CR216" s="62"/>
      <c r="CS216" s="62"/>
      <c r="CT216" s="62"/>
      <c r="CU216" s="62"/>
      <c r="CX216" s="62"/>
      <c r="CZ216" s="62"/>
    </row>
    <row r="217" spans="93:104" ht="14.25" customHeight="1">
      <c r="CO217" s="63"/>
      <c r="CP217" s="63"/>
      <c r="CQ217" s="64"/>
      <c r="CR217" s="62"/>
      <c r="CS217" s="62"/>
      <c r="CT217" s="62"/>
      <c r="CU217" s="62"/>
      <c r="CX217" s="62"/>
      <c r="CZ217" s="62"/>
    </row>
    <row r="218" spans="93:104" ht="14.25" customHeight="1">
      <c r="CO218" s="63"/>
      <c r="CP218" s="63"/>
      <c r="CQ218" s="64"/>
      <c r="CR218" s="62"/>
      <c r="CS218" s="62"/>
      <c r="CT218" s="62"/>
      <c r="CU218" s="62"/>
      <c r="CX218" s="62"/>
      <c r="CZ218" s="62"/>
    </row>
    <row r="219" spans="93:104" ht="14.25" customHeight="1">
      <c r="CO219" s="63"/>
      <c r="CP219" s="63"/>
      <c r="CQ219" s="64"/>
      <c r="CR219" s="62"/>
      <c r="CS219" s="62"/>
      <c r="CT219" s="62"/>
      <c r="CU219" s="62"/>
      <c r="CX219" s="62"/>
      <c r="CZ219" s="62"/>
    </row>
    <row r="220" spans="93:104" ht="14.25" customHeight="1">
      <c r="CO220" s="63"/>
      <c r="CP220" s="63"/>
      <c r="CQ220" s="64"/>
      <c r="CR220" s="62"/>
      <c r="CS220" s="62"/>
      <c r="CT220" s="62"/>
      <c r="CU220" s="62"/>
      <c r="CX220" s="62"/>
      <c r="CZ220" s="62"/>
    </row>
    <row r="221" spans="93:104" ht="14.25" customHeight="1">
      <c r="CO221" s="63"/>
      <c r="CP221" s="63"/>
      <c r="CQ221" s="64"/>
      <c r="CR221" s="62"/>
      <c r="CS221" s="62"/>
      <c r="CT221" s="62"/>
      <c r="CU221" s="62"/>
      <c r="CX221" s="62"/>
      <c r="CZ221" s="62"/>
    </row>
    <row r="222" spans="93:104" ht="14.25" customHeight="1">
      <c r="CO222" s="63"/>
      <c r="CP222" s="63"/>
      <c r="CQ222" s="64"/>
      <c r="CR222" s="62"/>
      <c r="CS222" s="62"/>
      <c r="CT222" s="62"/>
      <c r="CU222" s="62"/>
      <c r="CX222" s="62"/>
      <c r="CZ222" s="62"/>
    </row>
    <row r="223" spans="93:104" ht="14.25" customHeight="1">
      <c r="CO223" s="63"/>
      <c r="CP223" s="63"/>
      <c r="CQ223" s="64"/>
      <c r="CR223" s="62"/>
      <c r="CS223" s="62"/>
      <c r="CT223" s="62"/>
      <c r="CU223" s="62"/>
      <c r="CX223" s="62"/>
      <c r="CZ223" s="62"/>
    </row>
    <row r="224" spans="93:104" ht="14.25" customHeight="1">
      <c r="CO224" s="63"/>
      <c r="CP224" s="63"/>
      <c r="CQ224" s="64"/>
      <c r="CR224" s="62"/>
      <c r="CS224" s="62"/>
      <c r="CT224" s="62"/>
      <c r="CU224" s="62"/>
      <c r="CX224" s="62"/>
      <c r="CZ224" s="62"/>
    </row>
    <row r="225" spans="93:104" ht="14.25" customHeight="1">
      <c r="CO225" s="63"/>
      <c r="CP225" s="63"/>
      <c r="CQ225" s="64"/>
      <c r="CR225" s="62"/>
      <c r="CS225" s="62"/>
      <c r="CT225" s="62"/>
      <c r="CU225" s="62"/>
      <c r="CX225" s="62"/>
      <c r="CZ225" s="62"/>
    </row>
    <row r="226" spans="93:104" ht="14.25" customHeight="1">
      <c r="CO226" s="63"/>
      <c r="CP226" s="63"/>
      <c r="CQ226" s="64"/>
      <c r="CR226" s="62"/>
      <c r="CS226" s="62"/>
      <c r="CT226" s="62"/>
      <c r="CU226" s="62"/>
      <c r="CX226" s="62"/>
      <c r="CZ226" s="62"/>
    </row>
    <row r="227" spans="93:104" ht="14.25" customHeight="1">
      <c r="CO227" s="63"/>
      <c r="CP227" s="63"/>
      <c r="CQ227" s="64"/>
      <c r="CR227" s="62"/>
      <c r="CS227" s="62"/>
      <c r="CT227" s="62"/>
      <c r="CU227" s="62"/>
      <c r="CX227" s="62"/>
      <c r="CZ227" s="62"/>
    </row>
    <row r="228" spans="93:104" ht="14.25" customHeight="1">
      <c r="CO228" s="63"/>
      <c r="CP228" s="63"/>
      <c r="CQ228" s="64"/>
      <c r="CR228" s="62"/>
      <c r="CS228" s="62"/>
      <c r="CT228" s="62"/>
      <c r="CU228" s="62"/>
      <c r="CX228" s="62"/>
      <c r="CZ228" s="62"/>
    </row>
    <row r="229" spans="93:104" ht="14.25" customHeight="1">
      <c r="CO229" s="63"/>
      <c r="CP229" s="63"/>
      <c r="CQ229" s="64"/>
      <c r="CR229" s="62"/>
      <c r="CS229" s="62"/>
      <c r="CT229" s="62"/>
      <c r="CU229" s="62"/>
      <c r="CX229" s="62"/>
      <c r="CZ229" s="62"/>
    </row>
    <row r="230" spans="93:104" ht="14.25" customHeight="1">
      <c r="CO230" s="63"/>
      <c r="CP230" s="63"/>
      <c r="CQ230" s="64"/>
      <c r="CR230" s="62"/>
      <c r="CS230" s="62"/>
      <c r="CT230" s="62"/>
      <c r="CU230" s="62"/>
      <c r="CX230" s="62"/>
      <c r="CZ230" s="62"/>
    </row>
    <row r="231" spans="93:104" ht="14.25" customHeight="1">
      <c r="CO231" s="63"/>
      <c r="CP231" s="63"/>
      <c r="CQ231" s="64"/>
      <c r="CR231" s="62"/>
      <c r="CS231" s="62"/>
      <c r="CT231" s="62"/>
      <c r="CU231" s="62"/>
      <c r="CX231" s="62"/>
      <c r="CZ231" s="62"/>
    </row>
    <row r="232" spans="93:104" ht="14.25" customHeight="1">
      <c r="CO232" s="63"/>
      <c r="CP232" s="63"/>
      <c r="CQ232" s="64"/>
      <c r="CR232" s="62"/>
      <c r="CS232" s="62"/>
      <c r="CT232" s="62"/>
      <c r="CU232" s="62"/>
      <c r="CX232" s="62"/>
      <c r="CZ232" s="62"/>
    </row>
    <row r="233" spans="93:104" ht="14.25" customHeight="1">
      <c r="CO233" s="63"/>
      <c r="CP233" s="63"/>
      <c r="CQ233" s="64"/>
      <c r="CR233" s="62"/>
      <c r="CS233" s="62"/>
      <c r="CT233" s="62"/>
      <c r="CU233" s="62"/>
      <c r="CX233" s="62"/>
      <c r="CZ233" s="62"/>
    </row>
    <row r="234" spans="93:104" ht="14.25" customHeight="1">
      <c r="CO234" s="63"/>
      <c r="CP234" s="63"/>
      <c r="CQ234" s="64"/>
      <c r="CR234" s="62"/>
      <c r="CS234" s="62"/>
      <c r="CT234" s="62"/>
      <c r="CU234" s="62"/>
      <c r="CX234" s="62"/>
      <c r="CZ234" s="62"/>
    </row>
    <row r="235" spans="93:104" ht="14.25" customHeight="1">
      <c r="CO235" s="63"/>
      <c r="CP235" s="63"/>
      <c r="CQ235" s="64"/>
      <c r="CR235" s="62"/>
      <c r="CS235" s="62"/>
      <c r="CT235" s="62"/>
      <c r="CU235" s="62"/>
      <c r="CX235" s="62"/>
      <c r="CZ235" s="62"/>
    </row>
    <row r="236" spans="93:104" ht="14.25" customHeight="1">
      <c r="CO236" s="63"/>
      <c r="CP236" s="63"/>
      <c r="CQ236" s="64"/>
      <c r="CR236" s="62"/>
      <c r="CS236" s="62"/>
      <c r="CT236" s="62"/>
      <c r="CU236" s="62"/>
      <c r="CX236" s="62"/>
      <c r="CZ236" s="62"/>
    </row>
    <row r="237" spans="93:104" ht="14.25" customHeight="1">
      <c r="CO237" s="63"/>
      <c r="CP237" s="63"/>
      <c r="CQ237" s="64"/>
      <c r="CR237" s="62"/>
      <c r="CS237" s="62"/>
      <c r="CT237" s="62"/>
      <c r="CU237" s="62"/>
      <c r="CX237" s="62"/>
      <c r="CZ237" s="62"/>
    </row>
    <row r="238" spans="93:104" ht="14.25" customHeight="1">
      <c r="CO238" s="63"/>
      <c r="CP238" s="63"/>
      <c r="CQ238" s="64"/>
      <c r="CR238" s="62"/>
      <c r="CS238" s="62"/>
      <c r="CT238" s="62"/>
      <c r="CU238" s="62"/>
      <c r="CX238" s="62"/>
      <c r="CZ238" s="62"/>
    </row>
    <row r="239" spans="93:104" ht="14.25" customHeight="1">
      <c r="CO239" s="63"/>
      <c r="CP239" s="63"/>
      <c r="CQ239" s="64"/>
      <c r="CR239" s="62"/>
      <c r="CS239" s="62"/>
      <c r="CT239" s="62"/>
      <c r="CU239" s="62"/>
      <c r="CX239" s="62"/>
      <c r="CZ239" s="62"/>
    </row>
    <row r="240" spans="93:104" ht="14.25" customHeight="1">
      <c r="CO240" s="63"/>
      <c r="CP240" s="63"/>
      <c r="CQ240" s="64"/>
      <c r="CR240" s="62"/>
      <c r="CS240" s="62"/>
      <c r="CT240" s="62"/>
      <c r="CU240" s="62"/>
      <c r="CX240" s="62"/>
      <c r="CZ240" s="62"/>
    </row>
    <row r="241" spans="93:104" ht="14.25" customHeight="1">
      <c r="CO241" s="63"/>
      <c r="CP241" s="63"/>
      <c r="CQ241" s="64"/>
      <c r="CR241" s="62"/>
      <c r="CS241" s="62"/>
      <c r="CT241" s="62"/>
      <c r="CU241" s="62"/>
      <c r="CX241" s="62"/>
      <c r="CZ241" s="62"/>
    </row>
    <row r="242" spans="93:104" ht="14.25" customHeight="1">
      <c r="CO242" s="63"/>
      <c r="CP242" s="63"/>
      <c r="CQ242" s="64"/>
      <c r="CR242" s="62"/>
      <c r="CS242" s="62"/>
      <c r="CT242" s="62"/>
      <c r="CU242" s="62"/>
      <c r="CX242" s="62"/>
      <c r="CZ242" s="62"/>
    </row>
    <row r="243" spans="93:104" ht="14.25" customHeight="1">
      <c r="CO243" s="63"/>
      <c r="CP243" s="63"/>
      <c r="CQ243" s="64"/>
      <c r="CR243" s="62"/>
      <c r="CS243" s="62"/>
      <c r="CT243" s="62"/>
      <c r="CU243" s="62"/>
      <c r="CX243" s="62"/>
      <c r="CZ243" s="62"/>
    </row>
    <row r="244" spans="93:104" ht="14.25" customHeight="1">
      <c r="CO244" s="63"/>
      <c r="CP244" s="63"/>
      <c r="CQ244" s="64"/>
      <c r="CR244" s="62"/>
      <c r="CS244" s="62"/>
      <c r="CT244" s="62"/>
      <c r="CU244" s="62"/>
      <c r="CX244" s="62"/>
      <c r="CZ244" s="62"/>
    </row>
    <row r="245" spans="93:104" ht="14.25" customHeight="1">
      <c r="CO245" s="63"/>
      <c r="CP245" s="63"/>
      <c r="CQ245" s="64"/>
      <c r="CR245" s="62"/>
      <c r="CS245" s="62"/>
      <c r="CT245" s="62"/>
      <c r="CU245" s="62"/>
      <c r="CX245" s="62"/>
      <c r="CZ245" s="62"/>
    </row>
    <row r="246" spans="93:104" ht="14.25" customHeight="1">
      <c r="CO246" s="63"/>
      <c r="CP246" s="63"/>
      <c r="CQ246" s="64"/>
      <c r="CR246" s="62"/>
      <c r="CS246" s="62"/>
      <c r="CT246" s="62"/>
      <c r="CU246" s="62"/>
      <c r="CX246" s="62"/>
      <c r="CZ246" s="62"/>
    </row>
    <row r="247" spans="93:104" ht="14.25" customHeight="1">
      <c r="CO247" s="63"/>
      <c r="CP247" s="63"/>
      <c r="CQ247" s="64"/>
      <c r="CR247" s="62"/>
      <c r="CS247" s="62"/>
      <c r="CT247" s="62"/>
      <c r="CU247" s="62"/>
      <c r="CX247" s="62"/>
      <c r="CZ247" s="62"/>
    </row>
    <row r="248" spans="93:104" ht="14.25" customHeight="1">
      <c r="CO248" s="63"/>
      <c r="CP248" s="63"/>
      <c r="CQ248" s="64"/>
      <c r="CR248" s="62"/>
      <c r="CS248" s="62"/>
      <c r="CT248" s="62"/>
      <c r="CU248" s="62"/>
      <c r="CX248" s="62"/>
      <c r="CZ248" s="62"/>
    </row>
    <row r="249" spans="93:104" ht="14.25" customHeight="1">
      <c r="CO249" s="63"/>
      <c r="CP249" s="63"/>
      <c r="CQ249" s="64"/>
      <c r="CR249" s="62"/>
      <c r="CS249" s="62"/>
      <c r="CT249" s="62"/>
      <c r="CU249" s="62"/>
      <c r="CX249" s="62"/>
      <c r="CZ249" s="62"/>
    </row>
    <row r="250" spans="93:104" ht="14.25" customHeight="1">
      <c r="CO250" s="63"/>
      <c r="CP250" s="63"/>
      <c r="CQ250" s="64"/>
      <c r="CR250" s="62"/>
      <c r="CS250" s="62"/>
      <c r="CT250" s="62"/>
      <c r="CU250" s="62"/>
      <c r="CX250" s="62"/>
      <c r="CZ250" s="62"/>
    </row>
    <row r="251" spans="93:104" ht="14.25" customHeight="1">
      <c r="CO251" s="63"/>
      <c r="CP251" s="63"/>
      <c r="CQ251" s="64"/>
      <c r="CR251" s="62"/>
      <c r="CS251" s="62"/>
      <c r="CT251" s="62"/>
      <c r="CU251" s="62"/>
      <c r="CX251" s="62"/>
      <c r="CZ251" s="62"/>
    </row>
    <row r="252" spans="93:104" ht="14.25" customHeight="1">
      <c r="CO252" s="63"/>
      <c r="CP252" s="63"/>
      <c r="CQ252" s="64"/>
      <c r="CR252" s="62"/>
      <c r="CS252" s="62"/>
      <c r="CT252" s="62"/>
      <c r="CU252" s="62"/>
      <c r="CX252" s="62"/>
      <c r="CZ252" s="62"/>
    </row>
    <row r="253" spans="93:104" ht="14.25" customHeight="1">
      <c r="CO253" s="63"/>
      <c r="CP253" s="63"/>
      <c r="CQ253" s="64"/>
      <c r="CR253" s="62"/>
      <c r="CS253" s="62"/>
      <c r="CT253" s="62"/>
      <c r="CU253" s="62"/>
      <c r="CX253" s="62"/>
      <c r="CZ253" s="62"/>
    </row>
    <row r="254" spans="93:104" ht="14.25" customHeight="1">
      <c r="CO254" s="63"/>
      <c r="CP254" s="63"/>
      <c r="CQ254" s="64"/>
      <c r="CR254" s="62"/>
      <c r="CS254" s="62"/>
      <c r="CT254" s="62"/>
      <c r="CU254" s="62"/>
      <c r="CX254" s="62"/>
      <c r="CZ254" s="62"/>
    </row>
    <row r="255" spans="93:104" ht="14.25" customHeight="1">
      <c r="CO255" s="63"/>
      <c r="CP255" s="63"/>
      <c r="CQ255" s="64"/>
      <c r="CR255" s="62"/>
      <c r="CS255" s="62"/>
      <c r="CT255" s="62"/>
      <c r="CU255" s="62"/>
      <c r="CX255" s="62"/>
      <c r="CZ255" s="62"/>
    </row>
    <row r="256" spans="93:104" ht="14.25" customHeight="1">
      <c r="CO256" s="63"/>
      <c r="CP256" s="63"/>
      <c r="CQ256" s="64"/>
      <c r="CR256" s="62"/>
      <c r="CS256" s="62"/>
      <c r="CT256" s="62"/>
      <c r="CU256" s="62"/>
      <c r="CX256" s="62"/>
      <c r="CZ256" s="62"/>
    </row>
    <row r="257" spans="93:104" ht="14.25" customHeight="1">
      <c r="CO257" s="63"/>
      <c r="CP257" s="63"/>
      <c r="CQ257" s="64"/>
      <c r="CR257" s="62"/>
      <c r="CS257" s="62"/>
      <c r="CT257" s="62"/>
      <c r="CU257" s="62"/>
      <c r="CX257" s="62"/>
      <c r="CZ257" s="62"/>
    </row>
    <row r="258" spans="93:104" ht="14.25" customHeight="1">
      <c r="CO258" s="63"/>
      <c r="CP258" s="63"/>
      <c r="CQ258" s="64"/>
      <c r="CR258" s="62"/>
      <c r="CS258" s="62"/>
      <c r="CT258" s="62"/>
      <c r="CU258" s="62"/>
      <c r="CX258" s="62"/>
      <c r="CZ258" s="62"/>
    </row>
    <row r="259" spans="93:104" ht="14.25" customHeight="1">
      <c r="CO259" s="63"/>
      <c r="CP259" s="63"/>
      <c r="CQ259" s="64"/>
      <c r="CR259" s="62"/>
      <c r="CS259" s="62"/>
      <c r="CT259" s="62"/>
      <c r="CU259" s="62"/>
      <c r="CX259" s="62"/>
      <c r="CZ259" s="62"/>
    </row>
    <row r="260" spans="93:104" ht="14.25" customHeight="1">
      <c r="CO260" s="63"/>
      <c r="CP260" s="63"/>
      <c r="CQ260" s="64"/>
      <c r="CR260" s="62"/>
      <c r="CS260" s="62"/>
      <c r="CT260" s="62"/>
      <c r="CU260" s="62"/>
      <c r="CX260" s="62"/>
      <c r="CZ260" s="62"/>
    </row>
    <row r="261" spans="93:104" ht="14.25" customHeight="1">
      <c r="CO261" s="63"/>
      <c r="CP261" s="63"/>
      <c r="CQ261" s="64"/>
      <c r="CR261" s="62"/>
      <c r="CS261" s="62"/>
      <c r="CT261" s="62"/>
      <c r="CU261" s="62"/>
      <c r="CX261" s="62"/>
      <c r="CZ261" s="62"/>
    </row>
    <row r="262" spans="93:104" ht="14.25" customHeight="1">
      <c r="CO262" s="63"/>
      <c r="CP262" s="63"/>
      <c r="CQ262" s="64"/>
      <c r="CR262" s="62"/>
      <c r="CS262" s="62"/>
      <c r="CT262" s="62"/>
      <c r="CU262" s="62"/>
      <c r="CX262" s="62"/>
      <c r="CZ262" s="62"/>
    </row>
    <row r="263" spans="93:104" ht="14.25" customHeight="1">
      <c r="CO263" s="63"/>
      <c r="CP263" s="63"/>
      <c r="CQ263" s="64"/>
      <c r="CR263" s="62"/>
      <c r="CS263" s="62"/>
      <c r="CT263" s="62"/>
      <c r="CU263" s="62"/>
      <c r="CX263" s="62"/>
      <c r="CZ263" s="62"/>
    </row>
    <row r="264" spans="93:104" ht="14.25" customHeight="1">
      <c r="CO264" s="63"/>
      <c r="CP264" s="63"/>
      <c r="CQ264" s="64"/>
      <c r="CR264" s="62"/>
      <c r="CS264" s="62"/>
      <c r="CT264" s="62"/>
      <c r="CU264" s="62"/>
      <c r="CX264" s="62"/>
      <c r="CZ264" s="62"/>
    </row>
    <row r="265" spans="93:104" ht="14.25" customHeight="1">
      <c r="CO265" s="63"/>
      <c r="CP265" s="63"/>
      <c r="CQ265" s="64"/>
      <c r="CR265" s="62"/>
      <c r="CS265" s="62"/>
      <c r="CT265" s="62"/>
      <c r="CU265" s="62"/>
      <c r="CX265" s="62"/>
      <c r="CZ265" s="62"/>
    </row>
    <row r="266" spans="93:104" ht="14.25" customHeight="1">
      <c r="CO266" s="63"/>
      <c r="CP266" s="63"/>
      <c r="CQ266" s="64"/>
      <c r="CR266" s="62"/>
      <c r="CS266" s="62"/>
      <c r="CT266" s="62"/>
      <c r="CU266" s="62"/>
      <c r="CX266" s="62"/>
      <c r="CZ266" s="62"/>
    </row>
    <row r="267" spans="93:104" ht="14.25" customHeight="1">
      <c r="CO267" s="63"/>
      <c r="CP267" s="63"/>
      <c r="CQ267" s="64"/>
      <c r="CR267" s="62"/>
      <c r="CS267" s="62"/>
      <c r="CT267" s="62"/>
      <c r="CU267" s="62"/>
      <c r="CX267" s="62"/>
      <c r="CZ267" s="62"/>
    </row>
    <row r="268" spans="93:104" ht="14.25" customHeight="1">
      <c r="CO268" s="63"/>
      <c r="CP268" s="63"/>
      <c r="CQ268" s="64"/>
      <c r="CR268" s="62"/>
      <c r="CS268" s="62"/>
      <c r="CT268" s="62"/>
      <c r="CU268" s="62"/>
      <c r="CX268" s="62"/>
      <c r="CZ268" s="62"/>
    </row>
    <row r="269" spans="93:104" ht="14.25" customHeight="1">
      <c r="CO269" s="63"/>
      <c r="CP269" s="63"/>
      <c r="CQ269" s="64"/>
      <c r="CR269" s="62"/>
      <c r="CS269" s="62"/>
      <c r="CT269" s="62"/>
      <c r="CU269" s="62"/>
      <c r="CX269" s="62"/>
      <c r="CZ269" s="62"/>
    </row>
    <row r="270" spans="93:104" ht="14.25" customHeight="1">
      <c r="CO270" s="63"/>
      <c r="CP270" s="63"/>
      <c r="CQ270" s="64"/>
      <c r="CR270" s="62"/>
      <c r="CS270" s="62"/>
      <c r="CT270" s="62"/>
      <c r="CU270" s="62"/>
      <c r="CX270" s="62"/>
      <c r="CZ270" s="62"/>
    </row>
    <row r="271" spans="93:104" ht="14.25" customHeight="1">
      <c r="CO271" s="63"/>
      <c r="CP271" s="63"/>
      <c r="CQ271" s="64"/>
      <c r="CR271" s="62"/>
      <c r="CS271" s="62"/>
      <c r="CT271" s="62"/>
      <c r="CU271" s="62"/>
      <c r="CX271" s="62"/>
      <c r="CZ271" s="62"/>
    </row>
    <row r="272" spans="93:104" ht="14.25" customHeight="1">
      <c r="CO272" s="63"/>
      <c r="CP272" s="63"/>
      <c r="CQ272" s="64"/>
      <c r="CR272" s="62"/>
      <c r="CS272" s="62"/>
      <c r="CT272" s="62"/>
      <c r="CU272" s="62"/>
      <c r="CX272" s="62"/>
      <c r="CZ272" s="62"/>
    </row>
    <row r="273" spans="93:104" ht="14.25" customHeight="1">
      <c r="CO273" s="63"/>
      <c r="CP273" s="63"/>
      <c r="CQ273" s="64"/>
      <c r="CR273" s="62"/>
      <c r="CS273" s="62"/>
      <c r="CT273" s="62"/>
      <c r="CU273" s="62"/>
      <c r="CX273" s="62"/>
      <c r="CZ273" s="62"/>
    </row>
    <row r="274" spans="93:104" ht="14.25" customHeight="1">
      <c r="CO274" s="63"/>
      <c r="CP274" s="63"/>
      <c r="CQ274" s="64"/>
      <c r="CR274" s="62"/>
      <c r="CS274" s="62"/>
      <c r="CT274" s="62"/>
      <c r="CU274" s="62"/>
      <c r="CX274" s="62"/>
      <c r="CZ274" s="62"/>
    </row>
    <row r="275" spans="93:104" ht="14.25" customHeight="1">
      <c r="CO275" s="63"/>
      <c r="CP275" s="63"/>
      <c r="CQ275" s="64"/>
      <c r="CR275" s="62"/>
      <c r="CS275" s="62"/>
      <c r="CT275" s="62"/>
      <c r="CU275" s="62"/>
      <c r="CX275" s="62"/>
      <c r="CZ275" s="62"/>
    </row>
    <row r="276" spans="93:104" ht="14.25" customHeight="1">
      <c r="CO276" s="63"/>
      <c r="CP276" s="63"/>
      <c r="CQ276" s="64"/>
      <c r="CR276" s="62"/>
      <c r="CS276" s="62"/>
      <c r="CT276" s="62"/>
      <c r="CU276" s="62"/>
      <c r="CX276" s="62"/>
      <c r="CZ276" s="62"/>
    </row>
    <row r="277" spans="93:104" ht="14.25" customHeight="1">
      <c r="CO277" s="63"/>
      <c r="CP277" s="63"/>
      <c r="CQ277" s="64"/>
      <c r="CR277" s="62"/>
      <c r="CS277" s="62"/>
      <c r="CT277" s="62"/>
      <c r="CU277" s="62"/>
      <c r="CX277" s="62"/>
      <c r="CZ277" s="62"/>
    </row>
    <row r="278" spans="93:104" ht="14.25" customHeight="1">
      <c r="CO278" s="63"/>
      <c r="CP278" s="63"/>
      <c r="CQ278" s="64"/>
      <c r="CR278" s="62"/>
      <c r="CS278" s="62"/>
      <c r="CT278" s="62"/>
      <c r="CU278" s="62"/>
      <c r="CX278" s="62"/>
      <c r="CZ278" s="62"/>
    </row>
    <row r="279" spans="93:104" ht="14.25" customHeight="1">
      <c r="CO279" s="63"/>
      <c r="CP279" s="63"/>
      <c r="CQ279" s="64"/>
      <c r="CR279" s="62"/>
      <c r="CS279" s="62"/>
      <c r="CT279" s="62"/>
      <c r="CU279" s="62"/>
      <c r="CX279" s="62"/>
      <c r="CZ279" s="62"/>
    </row>
    <row r="280" spans="93:104" ht="14.25" customHeight="1">
      <c r="CO280" s="63"/>
      <c r="CP280" s="63"/>
      <c r="CQ280" s="64"/>
      <c r="CR280" s="62"/>
      <c r="CS280" s="62"/>
      <c r="CT280" s="62"/>
      <c r="CU280" s="62"/>
      <c r="CX280" s="62"/>
      <c r="CZ280" s="62"/>
    </row>
    <row r="281" spans="93:104" ht="14.25" customHeight="1">
      <c r="CO281" s="63"/>
      <c r="CP281" s="63"/>
      <c r="CQ281" s="64"/>
      <c r="CR281" s="62"/>
      <c r="CS281" s="62"/>
      <c r="CT281" s="62"/>
      <c r="CU281" s="62"/>
      <c r="CX281" s="62"/>
      <c r="CZ281" s="62"/>
    </row>
    <row r="282" spans="93:104" ht="14.25" customHeight="1">
      <c r="CO282" s="63"/>
      <c r="CP282" s="63"/>
      <c r="CQ282" s="64"/>
      <c r="CR282" s="62"/>
      <c r="CS282" s="62"/>
      <c r="CT282" s="62"/>
      <c r="CU282" s="62"/>
      <c r="CX282" s="62"/>
      <c r="CZ282" s="62"/>
    </row>
    <row r="283" spans="93:104" ht="14.25" customHeight="1">
      <c r="CO283" s="63"/>
      <c r="CP283" s="63"/>
      <c r="CQ283" s="64"/>
      <c r="CR283" s="62"/>
      <c r="CS283" s="62"/>
      <c r="CT283" s="62"/>
      <c r="CU283" s="62"/>
      <c r="CX283" s="62"/>
      <c r="CZ283" s="62"/>
    </row>
    <row r="284" spans="93:104" ht="14.25" customHeight="1">
      <c r="CO284" s="63"/>
      <c r="CP284" s="63"/>
      <c r="CQ284" s="64"/>
      <c r="CR284" s="62"/>
      <c r="CS284" s="62"/>
      <c r="CT284" s="62"/>
      <c r="CU284" s="62"/>
      <c r="CX284" s="62"/>
      <c r="CZ284" s="62"/>
    </row>
    <row r="285" spans="93:104" ht="14.25" customHeight="1">
      <c r="CO285" s="63"/>
      <c r="CP285" s="63"/>
      <c r="CQ285" s="64"/>
      <c r="CR285" s="62"/>
      <c r="CS285" s="62"/>
      <c r="CT285" s="62"/>
      <c r="CU285" s="62"/>
      <c r="CX285" s="62"/>
      <c r="CZ285" s="62"/>
    </row>
    <row r="286" spans="93:104" ht="14.25" customHeight="1">
      <c r="CO286" s="63"/>
      <c r="CP286" s="63"/>
      <c r="CQ286" s="64"/>
      <c r="CR286" s="62"/>
      <c r="CS286" s="62"/>
      <c r="CT286" s="62"/>
      <c r="CU286" s="62"/>
      <c r="CX286" s="62"/>
      <c r="CZ286" s="62"/>
    </row>
    <row r="287" spans="93:104" ht="14.25" customHeight="1">
      <c r="CO287" s="63"/>
      <c r="CP287" s="63"/>
      <c r="CQ287" s="64"/>
      <c r="CR287" s="62"/>
      <c r="CS287" s="62"/>
      <c r="CT287" s="62"/>
      <c r="CU287" s="62"/>
      <c r="CX287" s="62"/>
      <c r="CZ287" s="62"/>
    </row>
    <row r="288" spans="93:104" ht="14.25" customHeight="1">
      <c r="CO288" s="63"/>
      <c r="CP288" s="63"/>
      <c r="CQ288" s="64"/>
      <c r="CR288" s="62"/>
      <c r="CS288" s="62"/>
      <c r="CT288" s="62"/>
      <c r="CU288" s="62"/>
      <c r="CX288" s="62"/>
      <c r="CZ288" s="62"/>
    </row>
    <row r="289" spans="93:104" ht="14.25" customHeight="1">
      <c r="CO289" s="63"/>
      <c r="CP289" s="63"/>
      <c r="CQ289" s="64"/>
      <c r="CR289" s="62"/>
      <c r="CS289" s="62"/>
      <c r="CT289" s="62"/>
      <c r="CU289" s="62"/>
      <c r="CX289" s="62"/>
      <c r="CZ289" s="62"/>
    </row>
    <row r="290" spans="93:104" ht="14.25" customHeight="1">
      <c r="CO290" s="63"/>
      <c r="CP290" s="63"/>
      <c r="CQ290" s="64"/>
      <c r="CR290" s="62"/>
      <c r="CS290" s="62"/>
      <c r="CT290" s="62"/>
      <c r="CU290" s="62"/>
      <c r="CX290" s="62"/>
      <c r="CZ290" s="62"/>
    </row>
    <row r="291" spans="93:104" ht="14.25" customHeight="1">
      <c r="CO291" s="63"/>
      <c r="CP291" s="63"/>
      <c r="CQ291" s="64"/>
      <c r="CR291" s="62"/>
      <c r="CS291" s="62"/>
      <c r="CT291" s="62"/>
      <c r="CU291" s="62"/>
      <c r="CX291" s="62"/>
      <c r="CZ291" s="62"/>
    </row>
    <row r="292" spans="93:104" ht="14.25" customHeight="1">
      <c r="CO292" s="63"/>
      <c r="CP292" s="63"/>
      <c r="CQ292" s="64"/>
      <c r="CR292" s="62"/>
      <c r="CS292" s="62"/>
      <c r="CT292" s="62"/>
      <c r="CU292" s="62"/>
      <c r="CX292" s="62"/>
      <c r="CZ292" s="62"/>
    </row>
    <row r="293" spans="93:104" ht="14.25" customHeight="1">
      <c r="CO293" s="63"/>
      <c r="CP293" s="63"/>
      <c r="CQ293" s="64"/>
      <c r="CR293" s="62"/>
      <c r="CS293" s="62"/>
      <c r="CT293" s="62"/>
      <c r="CU293" s="62"/>
      <c r="CX293" s="62"/>
      <c r="CZ293" s="62"/>
    </row>
    <row r="294" spans="93:104" ht="14.25" customHeight="1">
      <c r="CO294" s="63"/>
      <c r="CP294" s="63"/>
      <c r="CQ294" s="64"/>
      <c r="CR294" s="62"/>
      <c r="CS294" s="62"/>
      <c r="CT294" s="62"/>
      <c r="CU294" s="62"/>
      <c r="CX294" s="62"/>
      <c r="CZ294" s="62"/>
    </row>
    <row r="295" spans="93:104" ht="14.25" customHeight="1">
      <c r="CO295" s="63"/>
      <c r="CP295" s="63"/>
      <c r="CQ295" s="64"/>
      <c r="CR295" s="62"/>
      <c r="CS295" s="62"/>
      <c r="CT295" s="62"/>
      <c r="CU295" s="62"/>
      <c r="CX295" s="62"/>
      <c r="CZ295" s="62"/>
    </row>
    <row r="296" spans="93:104" ht="14.25" customHeight="1">
      <c r="CO296" s="63"/>
      <c r="CP296" s="63"/>
      <c r="CQ296" s="64"/>
      <c r="CR296" s="62"/>
      <c r="CS296" s="62"/>
      <c r="CT296" s="62"/>
      <c r="CU296" s="62"/>
      <c r="CX296" s="62"/>
      <c r="CZ296" s="62"/>
    </row>
    <row r="297" spans="93:104" ht="14.25" customHeight="1">
      <c r="CO297" s="63"/>
      <c r="CP297" s="63"/>
      <c r="CQ297" s="64"/>
      <c r="CR297" s="62"/>
      <c r="CS297" s="62"/>
      <c r="CT297" s="62"/>
      <c r="CU297" s="62"/>
      <c r="CX297" s="62"/>
      <c r="CZ297" s="62"/>
    </row>
    <row r="298" spans="93:104" ht="14.25" customHeight="1">
      <c r="CO298" s="63"/>
      <c r="CP298" s="63"/>
      <c r="CQ298" s="64"/>
      <c r="CR298" s="62"/>
      <c r="CS298" s="62"/>
      <c r="CT298" s="62"/>
      <c r="CU298" s="62"/>
      <c r="CX298" s="62"/>
      <c r="CZ298" s="62"/>
    </row>
    <row r="299" spans="93:104" ht="14.25" customHeight="1">
      <c r="CO299" s="63"/>
      <c r="CP299" s="63"/>
      <c r="CQ299" s="64"/>
      <c r="CR299" s="62"/>
      <c r="CS299" s="62"/>
      <c r="CT299" s="62"/>
      <c r="CU299" s="62"/>
      <c r="CX299" s="62"/>
      <c r="CZ299" s="62"/>
    </row>
    <row r="300" spans="93:104" ht="14.25" customHeight="1">
      <c r="CO300" s="63"/>
      <c r="CP300" s="63"/>
      <c r="CQ300" s="64"/>
      <c r="CR300" s="62"/>
      <c r="CS300" s="62"/>
      <c r="CT300" s="62"/>
      <c r="CU300" s="62"/>
      <c r="CX300" s="62"/>
      <c r="CZ300" s="62"/>
    </row>
    <row r="301" spans="93:104" ht="14.25" customHeight="1">
      <c r="CO301" s="63"/>
      <c r="CP301" s="63"/>
      <c r="CQ301" s="64"/>
      <c r="CR301" s="62"/>
      <c r="CS301" s="62"/>
      <c r="CT301" s="62"/>
      <c r="CU301" s="62"/>
      <c r="CX301" s="62"/>
      <c r="CZ301" s="62"/>
    </row>
    <row r="302" spans="93:104" ht="14.25" customHeight="1">
      <c r="CO302" s="63"/>
      <c r="CP302" s="63"/>
      <c r="CQ302" s="64"/>
      <c r="CR302" s="62"/>
      <c r="CS302" s="62"/>
      <c r="CT302" s="62"/>
      <c r="CU302" s="62"/>
      <c r="CX302" s="62"/>
      <c r="CZ302" s="62"/>
    </row>
    <row r="303" spans="93:104" ht="14.25" customHeight="1">
      <c r="CO303" s="63"/>
      <c r="CP303" s="63"/>
      <c r="CQ303" s="64"/>
      <c r="CR303" s="62"/>
      <c r="CS303" s="62"/>
      <c r="CT303" s="62"/>
      <c r="CU303" s="62"/>
      <c r="CX303" s="62"/>
      <c r="CZ303" s="62"/>
    </row>
    <row r="304" spans="93:104" ht="14.25" customHeight="1">
      <c r="CO304" s="63"/>
      <c r="CP304" s="63"/>
      <c r="CQ304" s="64"/>
      <c r="CR304" s="62"/>
      <c r="CS304" s="62"/>
      <c r="CT304" s="62"/>
      <c r="CU304" s="62"/>
      <c r="CX304" s="62"/>
      <c r="CZ304" s="62"/>
    </row>
    <row r="305" spans="93:104" ht="14.25" customHeight="1">
      <c r="CO305" s="63"/>
      <c r="CP305" s="63"/>
      <c r="CQ305" s="64"/>
      <c r="CR305" s="62"/>
      <c r="CS305" s="62"/>
      <c r="CT305" s="62"/>
      <c r="CU305" s="62"/>
      <c r="CX305" s="62"/>
      <c r="CZ305" s="62"/>
    </row>
    <row r="306" spans="93:104" ht="14.25" customHeight="1">
      <c r="CO306" s="63"/>
      <c r="CP306" s="63"/>
      <c r="CQ306" s="64"/>
      <c r="CR306" s="62"/>
      <c r="CS306" s="62"/>
      <c r="CT306" s="62"/>
      <c r="CU306" s="62"/>
      <c r="CX306" s="62"/>
      <c r="CZ306" s="62"/>
    </row>
    <row r="307" spans="93:104" ht="14.25" customHeight="1">
      <c r="CO307" s="63"/>
      <c r="CP307" s="63"/>
      <c r="CQ307" s="64"/>
      <c r="CR307" s="62"/>
      <c r="CS307" s="62"/>
      <c r="CT307" s="62"/>
      <c r="CU307" s="62"/>
      <c r="CX307" s="62"/>
      <c r="CZ307" s="62"/>
    </row>
    <row r="308" spans="93:104" ht="14.25" customHeight="1">
      <c r="CO308" s="63"/>
      <c r="CP308" s="63"/>
      <c r="CQ308" s="64"/>
      <c r="CR308" s="62"/>
      <c r="CS308" s="62"/>
      <c r="CT308" s="62"/>
      <c r="CU308" s="62"/>
      <c r="CX308" s="62"/>
      <c r="CZ308" s="62"/>
    </row>
    <row r="309" spans="93:104" ht="14.25" customHeight="1">
      <c r="CO309" s="63"/>
      <c r="CP309" s="63"/>
      <c r="CQ309" s="64"/>
      <c r="CR309" s="62"/>
      <c r="CS309" s="62"/>
      <c r="CT309" s="62"/>
      <c r="CU309" s="62"/>
      <c r="CX309" s="62"/>
      <c r="CZ309" s="62"/>
    </row>
    <row r="310" spans="93:104" ht="14.25" customHeight="1">
      <c r="CO310" s="63"/>
      <c r="CP310" s="63"/>
      <c r="CQ310" s="64"/>
      <c r="CR310" s="62"/>
      <c r="CS310" s="62"/>
      <c r="CT310" s="62"/>
      <c r="CU310" s="62"/>
      <c r="CX310" s="62"/>
      <c r="CZ310" s="62"/>
    </row>
    <row r="311" spans="93:104" ht="14.25" customHeight="1">
      <c r="CO311" s="63"/>
      <c r="CP311" s="63"/>
      <c r="CQ311" s="64"/>
      <c r="CR311" s="62"/>
      <c r="CS311" s="62"/>
      <c r="CT311" s="62"/>
      <c r="CU311" s="62"/>
      <c r="CX311" s="62"/>
      <c r="CZ311" s="62"/>
    </row>
    <row r="312" spans="93:104" ht="14.25" customHeight="1">
      <c r="CO312" s="63"/>
      <c r="CP312" s="63"/>
      <c r="CQ312" s="64"/>
      <c r="CR312" s="62"/>
      <c r="CS312" s="62"/>
      <c r="CT312" s="62"/>
      <c r="CU312" s="62"/>
      <c r="CX312" s="62"/>
      <c r="CZ312" s="62"/>
    </row>
    <row r="313" spans="93:104" ht="14.25" customHeight="1">
      <c r="CO313" s="63"/>
      <c r="CP313" s="63"/>
      <c r="CQ313" s="64"/>
      <c r="CR313" s="62"/>
      <c r="CS313" s="62"/>
      <c r="CT313" s="62"/>
      <c r="CU313" s="62"/>
      <c r="CX313" s="62"/>
      <c r="CZ313" s="62"/>
    </row>
    <row r="314" spans="93:104" ht="14.25" customHeight="1">
      <c r="CO314" s="63"/>
      <c r="CP314" s="63"/>
      <c r="CQ314" s="64"/>
      <c r="CR314" s="62"/>
      <c r="CS314" s="62"/>
      <c r="CT314" s="62"/>
      <c r="CU314" s="62"/>
      <c r="CX314" s="62"/>
      <c r="CZ314" s="62"/>
    </row>
    <row r="315" spans="93:104" ht="14.25" customHeight="1">
      <c r="CO315" s="63"/>
      <c r="CP315" s="63"/>
      <c r="CQ315" s="64"/>
      <c r="CR315" s="62"/>
      <c r="CS315" s="62"/>
      <c r="CT315" s="62"/>
      <c r="CU315" s="62"/>
      <c r="CX315" s="62"/>
      <c r="CZ315" s="62"/>
    </row>
    <row r="316" spans="93:104" ht="14.25" customHeight="1">
      <c r="CO316" s="63"/>
      <c r="CP316" s="63"/>
      <c r="CQ316" s="64"/>
      <c r="CR316" s="62"/>
      <c r="CS316" s="62"/>
      <c r="CT316" s="62"/>
      <c r="CU316" s="62"/>
      <c r="CX316" s="62"/>
      <c r="CZ316" s="62"/>
    </row>
    <row r="317" spans="93:104" ht="14.25" customHeight="1">
      <c r="CO317" s="63"/>
      <c r="CP317" s="63"/>
      <c r="CQ317" s="64"/>
      <c r="CR317" s="62"/>
      <c r="CS317" s="62"/>
      <c r="CT317" s="62"/>
      <c r="CU317" s="62"/>
      <c r="CX317" s="62"/>
      <c r="CZ317" s="62"/>
    </row>
    <row r="318" spans="93:104" ht="14.25" customHeight="1">
      <c r="CO318" s="63"/>
      <c r="CP318" s="63"/>
      <c r="CQ318" s="64"/>
      <c r="CR318" s="62"/>
      <c r="CS318" s="62"/>
      <c r="CT318" s="62"/>
      <c r="CU318" s="62"/>
      <c r="CX318" s="62"/>
      <c r="CZ318" s="62"/>
    </row>
    <row r="319" spans="93:104" ht="14.25" customHeight="1">
      <c r="CO319" s="63"/>
      <c r="CP319" s="63"/>
      <c r="CQ319" s="64"/>
      <c r="CR319" s="62"/>
      <c r="CS319" s="62"/>
      <c r="CT319" s="62"/>
      <c r="CU319" s="62"/>
      <c r="CX319" s="62"/>
      <c r="CZ319" s="62"/>
    </row>
    <row r="320" spans="93:104" ht="14.25" customHeight="1">
      <c r="CO320" s="63"/>
      <c r="CP320" s="63"/>
      <c r="CQ320" s="64"/>
      <c r="CR320" s="62"/>
      <c r="CS320" s="62"/>
      <c r="CT320" s="62"/>
      <c r="CU320" s="62"/>
      <c r="CX320" s="62"/>
      <c r="CZ320" s="62"/>
    </row>
    <row r="321" spans="93:104" ht="14.25" customHeight="1">
      <c r="CO321" s="63"/>
      <c r="CP321" s="63"/>
      <c r="CQ321" s="64"/>
      <c r="CR321" s="62"/>
      <c r="CS321" s="62"/>
      <c r="CT321" s="62"/>
      <c r="CU321" s="62"/>
      <c r="CX321" s="62"/>
      <c r="CZ321" s="62"/>
    </row>
    <row r="322" spans="93:104" ht="14.25" customHeight="1">
      <c r="CO322" s="63"/>
      <c r="CP322" s="63"/>
      <c r="CQ322" s="64"/>
      <c r="CR322" s="62"/>
      <c r="CS322" s="62"/>
      <c r="CT322" s="62"/>
      <c r="CU322" s="62"/>
      <c r="CX322" s="62"/>
      <c r="CZ322" s="62"/>
    </row>
    <row r="323" spans="93:104" ht="14.25" customHeight="1">
      <c r="CO323" s="63"/>
      <c r="CP323" s="63"/>
      <c r="CQ323" s="64"/>
      <c r="CR323" s="62"/>
      <c r="CS323" s="62"/>
      <c r="CT323" s="62"/>
      <c r="CU323" s="62"/>
      <c r="CX323" s="62"/>
      <c r="CZ323" s="62"/>
    </row>
    <row r="324" spans="93:104" ht="14.25" customHeight="1">
      <c r="CO324" s="63"/>
      <c r="CP324" s="63"/>
      <c r="CQ324" s="64"/>
      <c r="CR324" s="62"/>
      <c r="CS324" s="62"/>
      <c r="CT324" s="62"/>
      <c r="CU324" s="62"/>
      <c r="CX324" s="62"/>
      <c r="CZ324" s="62"/>
    </row>
    <row r="325" spans="93:104" ht="14.25" customHeight="1">
      <c r="CO325" s="63"/>
      <c r="CP325" s="63"/>
      <c r="CQ325" s="64"/>
      <c r="CR325" s="62"/>
      <c r="CS325" s="62"/>
      <c r="CT325" s="62"/>
      <c r="CU325" s="62"/>
      <c r="CX325" s="62"/>
      <c r="CZ325" s="62"/>
    </row>
    <row r="326" spans="93:104" ht="14.25" customHeight="1">
      <c r="CO326" s="63"/>
      <c r="CP326" s="63"/>
      <c r="CQ326" s="64"/>
      <c r="CR326" s="62"/>
      <c r="CS326" s="62"/>
      <c r="CT326" s="62"/>
      <c r="CU326" s="62"/>
      <c r="CX326" s="62"/>
      <c r="CZ326" s="62"/>
    </row>
    <row r="327" spans="93:104" ht="14.25" customHeight="1">
      <c r="CO327" s="63"/>
      <c r="CP327" s="63"/>
      <c r="CQ327" s="64"/>
      <c r="CR327" s="62"/>
      <c r="CS327" s="62"/>
      <c r="CT327" s="62"/>
      <c r="CU327" s="62"/>
      <c r="CX327" s="62"/>
      <c r="CZ327" s="62"/>
    </row>
    <row r="328" spans="93:104" ht="14.25" customHeight="1">
      <c r="CO328" s="63"/>
      <c r="CP328" s="63"/>
      <c r="CQ328" s="64"/>
      <c r="CR328" s="62"/>
      <c r="CS328" s="62"/>
      <c r="CT328" s="62"/>
      <c r="CU328" s="62"/>
      <c r="CX328" s="62"/>
      <c r="CZ328" s="62"/>
    </row>
    <row r="329" spans="93:104" ht="14.25" customHeight="1">
      <c r="CO329" s="63"/>
      <c r="CP329" s="63"/>
      <c r="CQ329" s="64"/>
      <c r="CR329" s="62"/>
      <c r="CS329" s="62"/>
      <c r="CT329" s="62"/>
      <c r="CU329" s="62"/>
      <c r="CX329" s="62"/>
      <c r="CZ329" s="62"/>
    </row>
    <row r="330" spans="93:104" ht="14.25" customHeight="1">
      <c r="CO330" s="63"/>
      <c r="CP330" s="63"/>
      <c r="CQ330" s="64"/>
      <c r="CR330" s="62"/>
      <c r="CS330" s="62"/>
      <c r="CT330" s="62"/>
      <c r="CU330" s="62"/>
      <c r="CX330" s="62"/>
      <c r="CZ330" s="62"/>
    </row>
    <row r="331" spans="93:104" ht="14.25" customHeight="1">
      <c r="CO331" s="63"/>
      <c r="CP331" s="63"/>
      <c r="CQ331" s="64"/>
      <c r="CR331" s="62"/>
      <c r="CS331" s="62"/>
      <c r="CT331" s="62"/>
      <c r="CU331" s="62"/>
      <c r="CX331" s="62"/>
      <c r="CZ331" s="62"/>
    </row>
    <row r="332" spans="93:104" ht="14.25" customHeight="1">
      <c r="CO332" s="63"/>
      <c r="CP332" s="63"/>
      <c r="CQ332" s="64"/>
      <c r="CR332" s="62"/>
      <c r="CS332" s="62"/>
      <c r="CT332" s="62"/>
      <c r="CU332" s="62"/>
      <c r="CX332" s="62"/>
      <c r="CZ332" s="62"/>
    </row>
    <row r="333" spans="93:104" ht="14.25" customHeight="1">
      <c r="CO333" s="63"/>
      <c r="CP333" s="63"/>
      <c r="CQ333" s="64"/>
      <c r="CR333" s="62"/>
      <c r="CS333" s="62"/>
      <c r="CT333" s="62"/>
      <c r="CU333" s="62"/>
      <c r="CX333" s="62"/>
      <c r="CZ333" s="62"/>
    </row>
    <row r="334" spans="93:104" ht="14.25" customHeight="1">
      <c r="CO334" s="63"/>
      <c r="CP334" s="63"/>
      <c r="CQ334" s="64"/>
      <c r="CR334" s="62"/>
      <c r="CS334" s="62"/>
      <c r="CT334" s="62"/>
      <c r="CU334" s="62"/>
      <c r="CX334" s="62"/>
      <c r="CZ334" s="62"/>
    </row>
    <row r="335" spans="93:104" ht="14.25" customHeight="1">
      <c r="CO335" s="63"/>
      <c r="CP335" s="63"/>
      <c r="CQ335" s="64"/>
      <c r="CR335" s="62"/>
      <c r="CS335" s="62"/>
      <c r="CT335" s="62"/>
      <c r="CU335" s="62"/>
      <c r="CX335" s="62"/>
      <c r="CZ335" s="62"/>
    </row>
    <row r="336" spans="93:104" ht="14.25" customHeight="1">
      <c r="CO336" s="63"/>
      <c r="CP336" s="63"/>
      <c r="CQ336" s="64"/>
      <c r="CR336" s="62"/>
      <c r="CS336" s="62"/>
      <c r="CT336" s="62"/>
      <c r="CU336" s="62"/>
      <c r="CX336" s="62"/>
      <c r="CZ336" s="62"/>
    </row>
    <row r="337" spans="93:104" ht="14.25" customHeight="1">
      <c r="CO337" s="63"/>
      <c r="CP337" s="63"/>
      <c r="CQ337" s="64"/>
      <c r="CR337" s="62"/>
      <c r="CS337" s="62"/>
      <c r="CT337" s="62"/>
      <c r="CU337" s="62"/>
      <c r="CX337" s="62"/>
      <c r="CZ337" s="62"/>
    </row>
    <row r="338" spans="93:104" ht="14.25" customHeight="1">
      <c r="CO338" s="63"/>
      <c r="CP338" s="63"/>
      <c r="CQ338" s="64"/>
      <c r="CR338" s="62"/>
      <c r="CS338" s="62"/>
      <c r="CT338" s="62"/>
      <c r="CU338" s="62"/>
      <c r="CX338" s="62"/>
      <c r="CZ338" s="62"/>
    </row>
    <row r="339" spans="93:104" ht="14.25" customHeight="1">
      <c r="CO339" s="63"/>
      <c r="CP339" s="63"/>
      <c r="CQ339" s="64"/>
      <c r="CR339" s="62"/>
      <c r="CS339" s="62"/>
      <c r="CT339" s="62"/>
      <c r="CU339" s="62"/>
      <c r="CX339" s="62"/>
      <c r="CZ339" s="62"/>
    </row>
    <row r="340" spans="93:104" ht="14.25" customHeight="1">
      <c r="CO340" s="63"/>
      <c r="CP340" s="63"/>
      <c r="CQ340" s="64"/>
      <c r="CR340" s="62"/>
      <c r="CS340" s="62"/>
      <c r="CT340" s="62"/>
      <c r="CU340" s="62"/>
      <c r="CX340" s="62"/>
      <c r="CZ340" s="62"/>
    </row>
    <row r="341" spans="93:104" ht="14.25" customHeight="1">
      <c r="CO341" s="63"/>
      <c r="CP341" s="63"/>
      <c r="CQ341" s="64"/>
      <c r="CR341" s="62"/>
      <c r="CS341" s="62"/>
      <c r="CT341" s="62"/>
      <c r="CU341" s="62"/>
      <c r="CX341" s="62"/>
      <c r="CZ341" s="62"/>
    </row>
    <row r="342" spans="93:104" ht="14.25" customHeight="1">
      <c r="CO342" s="63"/>
      <c r="CP342" s="63"/>
      <c r="CQ342" s="64"/>
      <c r="CR342" s="62"/>
      <c r="CS342" s="62"/>
      <c r="CT342" s="62"/>
      <c r="CU342" s="62"/>
      <c r="CX342" s="62"/>
      <c r="CZ342" s="62"/>
    </row>
    <row r="343" spans="93:104" ht="14.25" customHeight="1">
      <c r="CO343" s="63"/>
      <c r="CP343" s="63"/>
      <c r="CQ343" s="64"/>
      <c r="CR343" s="62"/>
      <c r="CS343" s="62"/>
      <c r="CT343" s="62"/>
      <c r="CU343" s="62"/>
      <c r="CX343" s="62"/>
      <c r="CZ343" s="62"/>
    </row>
    <row r="344" spans="93:104" ht="14.25" customHeight="1">
      <c r="CO344" s="63"/>
      <c r="CP344" s="63"/>
      <c r="CQ344" s="64"/>
      <c r="CR344" s="62"/>
      <c r="CS344" s="62"/>
      <c r="CT344" s="62"/>
      <c r="CU344" s="62"/>
      <c r="CX344" s="62"/>
      <c r="CZ344" s="62"/>
    </row>
    <row r="345" spans="93:104" ht="14.25" customHeight="1">
      <c r="CO345" s="63"/>
      <c r="CP345" s="63"/>
      <c r="CQ345" s="64"/>
      <c r="CR345" s="62"/>
      <c r="CS345" s="62"/>
      <c r="CT345" s="62"/>
      <c r="CU345" s="62"/>
      <c r="CX345" s="62"/>
      <c r="CZ345" s="62"/>
    </row>
    <row r="346" spans="93:104" ht="14.25" customHeight="1">
      <c r="CO346" s="63"/>
      <c r="CP346" s="63"/>
      <c r="CQ346" s="64"/>
      <c r="CR346" s="62"/>
      <c r="CS346" s="62"/>
      <c r="CT346" s="62"/>
      <c r="CU346" s="62"/>
      <c r="CX346" s="62"/>
      <c r="CZ346" s="62"/>
    </row>
    <row r="347" spans="93:104" ht="14.25" customHeight="1">
      <c r="CO347" s="63"/>
      <c r="CP347" s="63"/>
      <c r="CQ347" s="64"/>
      <c r="CR347" s="62"/>
      <c r="CS347" s="62"/>
      <c r="CT347" s="62"/>
      <c r="CU347" s="62"/>
      <c r="CX347" s="62"/>
      <c r="CZ347" s="62"/>
    </row>
    <row r="348" spans="93:104" ht="14.25" customHeight="1">
      <c r="CO348" s="63"/>
      <c r="CP348" s="63"/>
      <c r="CQ348" s="64"/>
      <c r="CR348" s="62"/>
      <c r="CS348" s="62"/>
      <c r="CT348" s="62"/>
      <c r="CU348" s="62"/>
      <c r="CX348" s="62"/>
      <c r="CZ348" s="62"/>
    </row>
    <row r="349" spans="93:104" ht="14.25" customHeight="1">
      <c r="CO349" s="63"/>
      <c r="CP349" s="63"/>
      <c r="CQ349" s="64"/>
      <c r="CR349" s="62"/>
      <c r="CS349" s="62"/>
      <c r="CT349" s="62"/>
      <c r="CU349" s="62"/>
      <c r="CX349" s="62"/>
      <c r="CZ349" s="62"/>
    </row>
    <row r="350" spans="93:104" ht="14.25" customHeight="1">
      <c r="CO350" s="63"/>
      <c r="CP350" s="63"/>
      <c r="CQ350" s="64"/>
      <c r="CR350" s="62"/>
      <c r="CS350" s="62"/>
      <c r="CT350" s="62"/>
      <c r="CU350" s="62"/>
      <c r="CX350" s="62"/>
      <c r="CZ350" s="62"/>
    </row>
    <row r="351" spans="93:104" ht="14.25" customHeight="1">
      <c r="CO351" s="63"/>
      <c r="CP351" s="63"/>
      <c r="CQ351" s="64"/>
      <c r="CR351" s="62"/>
      <c r="CS351" s="62"/>
      <c r="CT351" s="62"/>
      <c r="CU351" s="62"/>
      <c r="CX351" s="62"/>
      <c r="CZ351" s="62"/>
    </row>
    <row r="352" spans="93:104" ht="14.25" customHeight="1">
      <c r="CO352" s="63"/>
      <c r="CP352" s="63"/>
      <c r="CQ352" s="64"/>
      <c r="CR352" s="62"/>
      <c r="CS352" s="62"/>
      <c r="CT352" s="62"/>
      <c r="CU352" s="62"/>
      <c r="CX352" s="62"/>
      <c r="CZ352" s="62"/>
    </row>
    <row r="353" spans="93:104" ht="14.25" customHeight="1">
      <c r="CO353" s="63"/>
      <c r="CP353" s="63"/>
      <c r="CQ353" s="64"/>
      <c r="CR353" s="62"/>
      <c r="CS353" s="62"/>
      <c r="CT353" s="62"/>
      <c r="CU353" s="62"/>
      <c r="CX353" s="62"/>
      <c r="CZ353" s="62"/>
    </row>
    <row r="354" spans="93:104" ht="14.25" customHeight="1">
      <c r="CO354" s="63"/>
      <c r="CP354" s="63"/>
      <c r="CQ354" s="64"/>
      <c r="CR354" s="62"/>
      <c r="CS354" s="62"/>
      <c r="CT354" s="62"/>
      <c r="CU354" s="62"/>
      <c r="CX354" s="62"/>
      <c r="CZ354" s="62"/>
    </row>
    <row r="355" spans="93:104" ht="14.25" customHeight="1">
      <c r="CO355" s="63"/>
      <c r="CP355" s="63"/>
      <c r="CQ355" s="64"/>
      <c r="CR355" s="62"/>
      <c r="CS355" s="62"/>
      <c r="CT355" s="62"/>
      <c r="CU355" s="62"/>
      <c r="CX355" s="62"/>
      <c r="CZ355" s="62"/>
    </row>
    <row r="356" spans="93:104" ht="14.25" customHeight="1">
      <c r="CO356" s="63"/>
      <c r="CP356" s="63"/>
      <c r="CQ356" s="64"/>
      <c r="CR356" s="62"/>
      <c r="CS356" s="62"/>
      <c r="CT356" s="62"/>
      <c r="CU356" s="62"/>
      <c r="CX356" s="62"/>
      <c r="CZ356" s="62"/>
    </row>
    <row r="357" spans="93:104" ht="14.25" customHeight="1">
      <c r="CO357" s="63"/>
      <c r="CP357" s="63"/>
      <c r="CQ357" s="64"/>
      <c r="CR357" s="62"/>
      <c r="CS357" s="62"/>
      <c r="CT357" s="62"/>
      <c r="CU357" s="62"/>
      <c r="CX357" s="62"/>
      <c r="CZ357" s="62"/>
    </row>
    <row r="358" spans="93:104" ht="14.25" customHeight="1">
      <c r="CO358" s="63"/>
      <c r="CP358" s="63"/>
      <c r="CQ358" s="64"/>
      <c r="CR358" s="62"/>
      <c r="CS358" s="62"/>
      <c r="CT358" s="62"/>
      <c r="CU358" s="62"/>
      <c r="CX358" s="62"/>
      <c r="CZ358" s="62"/>
    </row>
    <row r="359" spans="93:104" ht="14.25" customHeight="1">
      <c r="CO359" s="63"/>
      <c r="CP359" s="63"/>
      <c r="CQ359" s="64"/>
      <c r="CR359" s="62"/>
      <c r="CS359" s="62"/>
      <c r="CT359" s="62"/>
      <c r="CU359" s="62"/>
      <c r="CX359" s="62"/>
      <c r="CZ359" s="62"/>
    </row>
    <row r="360" spans="93:104" ht="14.25" customHeight="1">
      <c r="CO360" s="63"/>
      <c r="CP360" s="63"/>
      <c r="CQ360" s="64"/>
      <c r="CR360" s="62"/>
      <c r="CS360" s="62"/>
      <c r="CT360" s="62"/>
      <c r="CU360" s="62"/>
      <c r="CX360" s="62"/>
      <c r="CZ360" s="62"/>
    </row>
    <row r="361" spans="93:104" ht="14.25" customHeight="1">
      <c r="CO361" s="63"/>
      <c r="CP361" s="63"/>
      <c r="CQ361" s="64"/>
      <c r="CR361" s="62"/>
      <c r="CS361" s="62"/>
      <c r="CT361" s="62"/>
      <c r="CU361" s="62"/>
      <c r="CX361" s="62"/>
      <c r="CZ361" s="62"/>
    </row>
    <row r="362" spans="93:104" ht="14.25" customHeight="1">
      <c r="CO362" s="63"/>
      <c r="CP362" s="63"/>
      <c r="CQ362" s="64"/>
      <c r="CR362" s="62"/>
      <c r="CS362" s="62"/>
      <c r="CT362" s="62"/>
      <c r="CU362" s="62"/>
      <c r="CX362" s="62"/>
      <c r="CZ362" s="62"/>
    </row>
    <row r="363" spans="93:104" ht="14.25" customHeight="1">
      <c r="CO363" s="63"/>
      <c r="CP363" s="63"/>
      <c r="CQ363" s="64"/>
      <c r="CR363" s="62"/>
      <c r="CS363" s="62"/>
      <c r="CT363" s="62"/>
      <c r="CU363" s="62"/>
      <c r="CX363" s="62"/>
      <c r="CZ363" s="62"/>
    </row>
    <row r="364" spans="93:104" ht="14.25" customHeight="1">
      <c r="CO364" s="63"/>
      <c r="CP364" s="63"/>
      <c r="CQ364" s="64"/>
      <c r="CR364" s="62"/>
      <c r="CS364" s="62"/>
      <c r="CT364" s="62"/>
      <c r="CU364" s="62"/>
      <c r="CX364" s="62"/>
      <c r="CZ364" s="62"/>
    </row>
    <row r="365" spans="93:104" ht="14.25" customHeight="1">
      <c r="CO365" s="63"/>
      <c r="CP365" s="63"/>
      <c r="CQ365" s="64"/>
      <c r="CR365" s="62"/>
      <c r="CS365" s="62"/>
      <c r="CT365" s="62"/>
      <c r="CU365" s="62"/>
      <c r="CX365" s="62"/>
      <c r="CZ365" s="62"/>
    </row>
    <row r="366" spans="93:104" ht="14.25" customHeight="1">
      <c r="CO366" s="63"/>
      <c r="CP366" s="63"/>
      <c r="CQ366" s="64"/>
      <c r="CR366" s="62"/>
      <c r="CS366" s="62"/>
      <c r="CT366" s="62"/>
      <c r="CU366" s="62"/>
      <c r="CX366" s="62"/>
      <c r="CZ366" s="62"/>
    </row>
    <row r="367" spans="93:104" ht="14.25" customHeight="1">
      <c r="CO367" s="63"/>
      <c r="CP367" s="63"/>
      <c r="CQ367" s="64"/>
      <c r="CR367" s="62"/>
      <c r="CS367" s="62"/>
      <c r="CT367" s="62"/>
      <c r="CU367" s="62"/>
      <c r="CX367" s="62"/>
      <c r="CZ367" s="62"/>
    </row>
    <row r="368" spans="93:104" ht="14.25" customHeight="1">
      <c r="CO368" s="63"/>
      <c r="CP368" s="63"/>
      <c r="CQ368" s="64"/>
      <c r="CR368" s="62"/>
      <c r="CS368" s="62"/>
      <c r="CT368" s="62"/>
      <c r="CU368" s="62"/>
      <c r="CX368" s="62"/>
      <c r="CZ368" s="62"/>
    </row>
    <row r="369" spans="93:104" ht="14.25" customHeight="1">
      <c r="CO369" s="63"/>
      <c r="CP369" s="63"/>
      <c r="CQ369" s="64"/>
      <c r="CR369" s="62"/>
      <c r="CS369" s="62"/>
      <c r="CT369" s="62"/>
      <c r="CU369" s="62"/>
      <c r="CX369" s="62"/>
      <c r="CZ369" s="62"/>
    </row>
    <row r="370" spans="93:104" ht="14.25" customHeight="1">
      <c r="CO370" s="63"/>
      <c r="CP370" s="63"/>
      <c r="CQ370" s="64"/>
      <c r="CR370" s="62"/>
      <c r="CS370" s="62"/>
      <c r="CT370" s="62"/>
      <c r="CU370" s="62"/>
      <c r="CX370" s="62"/>
      <c r="CZ370" s="62"/>
    </row>
    <row r="371" spans="93:104" ht="14.25" customHeight="1">
      <c r="CO371" s="63"/>
      <c r="CP371" s="63"/>
      <c r="CQ371" s="64"/>
      <c r="CR371" s="62"/>
      <c r="CS371" s="62"/>
      <c r="CT371" s="62"/>
      <c r="CU371" s="62"/>
      <c r="CX371" s="62"/>
      <c r="CZ371" s="62"/>
    </row>
    <row r="372" spans="93:104" ht="14.25" customHeight="1">
      <c r="CO372" s="63"/>
      <c r="CP372" s="63"/>
      <c r="CQ372" s="64"/>
      <c r="CR372" s="62"/>
      <c r="CS372" s="62"/>
      <c r="CT372" s="62"/>
      <c r="CU372" s="62"/>
      <c r="CX372" s="62"/>
      <c r="CZ372" s="62"/>
    </row>
    <row r="373" spans="93:104" ht="14.25" customHeight="1">
      <c r="CO373" s="63"/>
      <c r="CP373" s="63"/>
      <c r="CQ373" s="64"/>
      <c r="CR373" s="62"/>
      <c r="CS373" s="62"/>
      <c r="CT373" s="62"/>
      <c r="CU373" s="62"/>
      <c r="CX373" s="62"/>
      <c r="CZ373" s="62"/>
    </row>
    <row r="374" spans="93:104" ht="14.25" customHeight="1">
      <c r="CO374" s="63"/>
      <c r="CP374" s="63"/>
      <c r="CQ374" s="64"/>
      <c r="CR374" s="62"/>
      <c r="CS374" s="62"/>
      <c r="CT374" s="62"/>
      <c r="CU374" s="62"/>
      <c r="CX374" s="62"/>
      <c r="CZ374" s="62"/>
    </row>
    <row r="375" spans="93:104" ht="14.25" customHeight="1">
      <c r="CO375" s="63"/>
      <c r="CP375" s="63"/>
      <c r="CQ375" s="64"/>
      <c r="CR375" s="62"/>
      <c r="CS375" s="62"/>
      <c r="CT375" s="62"/>
      <c r="CU375" s="62"/>
      <c r="CX375" s="62"/>
      <c r="CZ375" s="62"/>
    </row>
    <row r="376" spans="93:104" ht="14.25" customHeight="1">
      <c r="CO376" s="63"/>
      <c r="CP376" s="63"/>
      <c r="CQ376" s="64"/>
      <c r="CR376" s="62"/>
      <c r="CS376" s="62"/>
      <c r="CT376" s="62"/>
      <c r="CU376" s="62"/>
      <c r="CX376" s="62"/>
      <c r="CZ376" s="62"/>
    </row>
    <row r="377" spans="93:104" ht="14.25" customHeight="1">
      <c r="CO377" s="63"/>
      <c r="CP377" s="63"/>
      <c r="CQ377" s="64"/>
      <c r="CR377" s="62"/>
      <c r="CS377" s="62"/>
      <c r="CT377" s="62"/>
      <c r="CU377" s="62"/>
      <c r="CX377" s="62"/>
      <c r="CZ377" s="62"/>
    </row>
    <row r="378" spans="93:104" ht="14.25" customHeight="1">
      <c r="CO378" s="63"/>
      <c r="CP378" s="63"/>
      <c r="CQ378" s="64"/>
      <c r="CR378" s="62"/>
      <c r="CS378" s="62"/>
      <c r="CT378" s="62"/>
      <c r="CU378" s="62"/>
      <c r="CX378" s="62"/>
      <c r="CZ378" s="62"/>
    </row>
    <row r="379" spans="93:104" ht="14.25" customHeight="1">
      <c r="CO379" s="63"/>
      <c r="CP379" s="63"/>
      <c r="CQ379" s="64"/>
      <c r="CR379" s="62"/>
      <c r="CS379" s="62"/>
      <c r="CT379" s="62"/>
      <c r="CU379" s="62"/>
      <c r="CX379" s="62"/>
      <c r="CZ379" s="62"/>
    </row>
    <row r="380" spans="93:104" ht="14.25" customHeight="1">
      <c r="CO380" s="63"/>
      <c r="CP380" s="63"/>
      <c r="CQ380" s="64"/>
      <c r="CR380" s="62"/>
      <c r="CS380" s="62"/>
      <c r="CT380" s="62"/>
      <c r="CU380" s="62"/>
      <c r="CX380" s="62"/>
      <c r="CZ380" s="62"/>
    </row>
    <row r="381" spans="93:104" ht="14.25" customHeight="1">
      <c r="CO381" s="63"/>
      <c r="CP381" s="63"/>
      <c r="CQ381" s="64"/>
      <c r="CR381" s="62"/>
      <c r="CS381" s="62"/>
      <c r="CT381" s="62"/>
      <c r="CU381" s="62"/>
      <c r="CX381" s="62"/>
      <c r="CZ381" s="62"/>
    </row>
    <row r="382" spans="93:104" ht="14.25" customHeight="1">
      <c r="CO382" s="63"/>
      <c r="CP382" s="63"/>
      <c r="CQ382" s="64"/>
      <c r="CR382" s="62"/>
      <c r="CS382" s="62"/>
      <c r="CT382" s="62"/>
      <c r="CU382" s="62"/>
      <c r="CX382" s="62"/>
      <c r="CZ382" s="62"/>
    </row>
    <row r="383" spans="93:104" ht="14.25" customHeight="1">
      <c r="CO383" s="63"/>
      <c r="CP383" s="63"/>
      <c r="CQ383" s="64"/>
      <c r="CR383" s="62"/>
      <c r="CS383" s="62"/>
      <c r="CT383" s="62"/>
      <c r="CU383" s="62"/>
      <c r="CX383" s="62"/>
      <c r="CZ383" s="62"/>
    </row>
    <row r="384" spans="93:104" ht="14.25" customHeight="1">
      <c r="CO384" s="63"/>
      <c r="CP384" s="63"/>
      <c r="CQ384" s="64"/>
      <c r="CR384" s="62"/>
      <c r="CS384" s="62"/>
      <c r="CT384" s="62"/>
      <c r="CU384" s="62"/>
      <c r="CX384" s="62"/>
      <c r="CZ384" s="62"/>
    </row>
    <row r="385" spans="93:104" ht="14.25" customHeight="1">
      <c r="CO385" s="63"/>
      <c r="CP385" s="63"/>
      <c r="CQ385" s="64"/>
      <c r="CR385" s="62"/>
      <c r="CS385" s="62"/>
      <c r="CT385" s="62"/>
      <c r="CU385" s="62"/>
      <c r="CX385" s="62"/>
      <c r="CZ385" s="62"/>
    </row>
    <row r="386" spans="93:104" ht="14.25" customHeight="1">
      <c r="CO386" s="63"/>
      <c r="CP386" s="63"/>
      <c r="CQ386" s="64"/>
      <c r="CR386" s="62"/>
      <c r="CS386" s="62"/>
      <c r="CT386" s="62"/>
      <c r="CU386" s="62"/>
      <c r="CX386" s="62"/>
      <c r="CZ386" s="62"/>
    </row>
    <row r="387" spans="93:104" ht="14.25" customHeight="1">
      <c r="CO387" s="63"/>
      <c r="CP387" s="63"/>
      <c r="CQ387" s="64"/>
      <c r="CR387" s="62"/>
      <c r="CS387" s="62"/>
      <c r="CT387" s="62"/>
      <c r="CU387" s="62"/>
      <c r="CX387" s="62"/>
      <c r="CZ387" s="62"/>
    </row>
    <row r="388" spans="93:104" ht="14.25" customHeight="1">
      <c r="CO388" s="63"/>
      <c r="CP388" s="63"/>
      <c r="CQ388" s="64"/>
      <c r="CR388" s="62"/>
      <c r="CS388" s="62"/>
      <c r="CT388" s="62"/>
      <c r="CU388" s="62"/>
      <c r="CX388" s="62"/>
      <c r="CZ388" s="62"/>
    </row>
    <row r="389" spans="93:104" ht="14.25" customHeight="1">
      <c r="CO389" s="63"/>
      <c r="CP389" s="63"/>
      <c r="CQ389" s="64"/>
      <c r="CR389" s="62"/>
      <c r="CS389" s="62"/>
      <c r="CT389" s="62"/>
      <c r="CU389" s="62"/>
      <c r="CX389" s="62"/>
      <c r="CZ389" s="62"/>
    </row>
    <row r="390" spans="93:104" ht="14.25" customHeight="1">
      <c r="CO390" s="63"/>
      <c r="CP390" s="63"/>
      <c r="CQ390" s="64"/>
      <c r="CR390" s="62"/>
      <c r="CS390" s="62"/>
      <c r="CT390" s="62"/>
      <c r="CU390" s="62"/>
      <c r="CX390" s="62"/>
      <c r="CZ390" s="62"/>
    </row>
    <row r="391" spans="93:104" ht="14.25" customHeight="1">
      <c r="CO391" s="63"/>
      <c r="CP391" s="63"/>
      <c r="CQ391" s="64"/>
      <c r="CR391" s="62"/>
      <c r="CS391" s="62"/>
      <c r="CT391" s="62"/>
      <c r="CU391" s="62"/>
      <c r="CX391" s="62"/>
      <c r="CZ391" s="62"/>
    </row>
    <row r="392" spans="93:104" ht="14.25" customHeight="1">
      <c r="CO392" s="63"/>
      <c r="CP392" s="63"/>
      <c r="CQ392" s="64"/>
      <c r="CR392" s="62"/>
      <c r="CS392" s="62"/>
      <c r="CT392" s="62"/>
      <c r="CU392" s="62"/>
      <c r="CX392" s="62"/>
      <c r="CZ392" s="62"/>
    </row>
    <row r="393" spans="93:104" ht="14.25" customHeight="1">
      <c r="CO393" s="63"/>
      <c r="CP393" s="63"/>
      <c r="CQ393" s="64"/>
      <c r="CR393" s="62"/>
      <c r="CS393" s="62"/>
      <c r="CT393" s="62"/>
      <c r="CU393" s="62"/>
      <c r="CX393" s="62"/>
      <c r="CZ393" s="62"/>
    </row>
    <row r="394" spans="93:104" ht="14.25" customHeight="1">
      <c r="CO394" s="63"/>
      <c r="CP394" s="63"/>
      <c r="CQ394" s="64"/>
      <c r="CR394" s="62"/>
      <c r="CS394" s="62"/>
      <c r="CT394" s="62"/>
      <c r="CU394" s="62"/>
      <c r="CX394" s="62"/>
      <c r="CZ394" s="62"/>
    </row>
    <row r="395" spans="93:104" ht="14.25" customHeight="1">
      <c r="CO395" s="63"/>
      <c r="CP395" s="63"/>
      <c r="CQ395" s="64"/>
      <c r="CR395" s="62"/>
      <c r="CS395" s="62"/>
      <c r="CT395" s="62"/>
      <c r="CU395" s="62"/>
      <c r="CX395" s="62"/>
      <c r="CZ395" s="62"/>
    </row>
    <row r="396" spans="93:104" ht="14.25" customHeight="1">
      <c r="CO396" s="63"/>
      <c r="CP396" s="63"/>
      <c r="CQ396" s="64"/>
      <c r="CR396" s="62"/>
      <c r="CS396" s="62"/>
      <c r="CT396" s="62"/>
      <c r="CU396" s="62"/>
      <c r="CX396" s="62"/>
      <c r="CZ396" s="62"/>
    </row>
    <row r="397" spans="93:104" ht="14.25" customHeight="1">
      <c r="CO397" s="63"/>
      <c r="CP397" s="63"/>
      <c r="CQ397" s="64"/>
      <c r="CR397" s="62"/>
      <c r="CS397" s="62"/>
      <c r="CT397" s="62"/>
      <c r="CU397" s="62"/>
      <c r="CX397" s="62"/>
      <c r="CZ397" s="62"/>
    </row>
    <row r="398" spans="93:104" ht="14.25" customHeight="1">
      <c r="CO398" s="63"/>
      <c r="CP398" s="63"/>
      <c r="CQ398" s="64"/>
      <c r="CR398" s="62"/>
      <c r="CS398" s="62"/>
      <c r="CT398" s="62"/>
      <c r="CU398" s="62"/>
      <c r="CX398" s="62"/>
      <c r="CZ398" s="62"/>
    </row>
    <row r="399" spans="93:104" ht="14.25" customHeight="1">
      <c r="CO399" s="63"/>
      <c r="CP399" s="63"/>
      <c r="CQ399" s="64"/>
      <c r="CR399" s="62"/>
      <c r="CS399" s="62"/>
      <c r="CT399" s="62"/>
      <c r="CU399" s="62"/>
      <c r="CX399" s="62"/>
      <c r="CZ399" s="62"/>
    </row>
    <row r="400" spans="93:104" ht="14.25" customHeight="1">
      <c r="CO400" s="63"/>
      <c r="CP400" s="63"/>
      <c r="CQ400" s="64"/>
      <c r="CR400" s="62"/>
      <c r="CS400" s="62"/>
      <c r="CT400" s="62"/>
      <c r="CU400" s="62"/>
      <c r="CX400" s="62"/>
      <c r="CZ400" s="62"/>
    </row>
    <row r="401" spans="93:104" ht="14.25" customHeight="1">
      <c r="CO401" s="63"/>
      <c r="CP401" s="63"/>
      <c r="CQ401" s="64"/>
      <c r="CR401" s="62"/>
      <c r="CS401" s="62"/>
      <c r="CT401" s="62"/>
      <c r="CU401" s="62"/>
      <c r="CX401" s="62"/>
      <c r="CZ401" s="62"/>
    </row>
    <row r="402" spans="93:104" ht="14.25" customHeight="1">
      <c r="CO402" s="63"/>
      <c r="CP402" s="63"/>
      <c r="CQ402" s="64"/>
      <c r="CR402" s="62"/>
      <c r="CS402" s="62"/>
      <c r="CT402" s="62"/>
      <c r="CU402" s="62"/>
      <c r="CX402" s="62"/>
      <c r="CZ402" s="62"/>
    </row>
    <row r="403" spans="93:104" ht="14.25" customHeight="1">
      <c r="CO403" s="63"/>
      <c r="CP403" s="63"/>
      <c r="CQ403" s="64"/>
      <c r="CR403" s="62"/>
      <c r="CS403" s="62"/>
      <c r="CT403" s="62"/>
      <c r="CU403" s="62"/>
      <c r="CX403" s="62"/>
      <c r="CZ403" s="62"/>
    </row>
    <row r="404" spans="93:104" ht="14.25" customHeight="1">
      <c r="CO404" s="63"/>
      <c r="CP404" s="63"/>
      <c r="CQ404" s="64"/>
      <c r="CR404" s="62"/>
      <c r="CS404" s="62"/>
      <c r="CT404" s="62"/>
      <c r="CU404" s="62"/>
      <c r="CX404" s="62"/>
      <c r="CZ404" s="62"/>
    </row>
    <row r="405" spans="93:104" ht="14.25" customHeight="1">
      <c r="CO405" s="63"/>
      <c r="CP405" s="63"/>
      <c r="CQ405" s="64"/>
      <c r="CR405" s="62"/>
      <c r="CS405" s="62"/>
      <c r="CT405" s="62"/>
      <c r="CU405" s="62"/>
      <c r="CX405" s="62"/>
      <c r="CZ405" s="62"/>
    </row>
    <row r="406" spans="93:104" ht="14.25" customHeight="1">
      <c r="CO406" s="63"/>
      <c r="CP406" s="63"/>
      <c r="CQ406" s="64"/>
      <c r="CR406" s="62"/>
      <c r="CS406" s="62"/>
      <c r="CT406" s="62"/>
      <c r="CU406" s="62"/>
      <c r="CX406" s="62"/>
      <c r="CZ406" s="62"/>
    </row>
    <row r="407" spans="93:104" ht="14.25" customHeight="1">
      <c r="CO407" s="63"/>
      <c r="CP407" s="63"/>
      <c r="CQ407" s="64"/>
      <c r="CR407" s="62"/>
      <c r="CS407" s="62"/>
      <c r="CT407" s="62"/>
      <c r="CU407" s="62"/>
      <c r="CX407" s="62"/>
      <c r="CZ407" s="62"/>
    </row>
    <row r="408" spans="93:104" ht="14.25" customHeight="1">
      <c r="CO408" s="63"/>
      <c r="CP408" s="63"/>
      <c r="CQ408" s="64"/>
      <c r="CR408" s="62"/>
      <c r="CS408" s="62"/>
      <c r="CT408" s="62"/>
      <c r="CU408" s="62"/>
      <c r="CX408" s="62"/>
      <c r="CZ408" s="62"/>
    </row>
    <row r="409" spans="93:104" ht="14.25" customHeight="1">
      <c r="CO409" s="63"/>
      <c r="CP409" s="63"/>
      <c r="CQ409" s="64"/>
      <c r="CR409" s="62"/>
      <c r="CS409" s="62"/>
      <c r="CT409" s="62"/>
      <c r="CU409" s="62"/>
      <c r="CX409" s="62"/>
      <c r="CZ409" s="62"/>
    </row>
    <row r="410" spans="93:104" ht="14.25" customHeight="1">
      <c r="CO410" s="63"/>
      <c r="CP410" s="63"/>
      <c r="CQ410" s="64"/>
      <c r="CR410" s="62"/>
      <c r="CS410" s="62"/>
      <c r="CT410" s="62"/>
      <c r="CU410" s="62"/>
      <c r="CX410" s="62"/>
      <c r="CZ410" s="62"/>
    </row>
    <row r="411" spans="93:104" ht="14.25" customHeight="1">
      <c r="CO411" s="63"/>
      <c r="CP411" s="63"/>
      <c r="CQ411" s="64"/>
      <c r="CR411" s="62"/>
      <c r="CS411" s="62"/>
      <c r="CT411" s="62"/>
      <c r="CU411" s="62"/>
      <c r="CX411" s="62"/>
      <c r="CZ411" s="62"/>
    </row>
    <row r="412" spans="93:104" ht="14.25" customHeight="1">
      <c r="CO412" s="63"/>
      <c r="CP412" s="63"/>
      <c r="CQ412" s="64"/>
      <c r="CR412" s="62"/>
      <c r="CS412" s="62"/>
      <c r="CT412" s="62"/>
      <c r="CU412" s="62"/>
      <c r="CX412" s="62"/>
      <c r="CZ412" s="62"/>
    </row>
    <row r="413" spans="93:104" ht="14.25" customHeight="1">
      <c r="CO413" s="63"/>
      <c r="CP413" s="63"/>
      <c r="CQ413" s="64"/>
      <c r="CR413" s="62"/>
      <c r="CS413" s="62"/>
      <c r="CT413" s="62"/>
      <c r="CU413" s="62"/>
      <c r="CX413" s="62"/>
      <c r="CZ413" s="62"/>
    </row>
    <row r="414" spans="93:104" ht="14.25" customHeight="1">
      <c r="CO414" s="63"/>
      <c r="CP414" s="63"/>
      <c r="CQ414" s="64"/>
      <c r="CR414" s="62"/>
      <c r="CS414" s="62"/>
      <c r="CT414" s="62"/>
      <c r="CU414" s="62"/>
      <c r="CX414" s="62"/>
      <c r="CZ414" s="62"/>
    </row>
    <row r="415" spans="93:104" ht="14.25" customHeight="1">
      <c r="CO415" s="63"/>
      <c r="CP415" s="63"/>
      <c r="CQ415" s="64"/>
      <c r="CR415" s="62"/>
      <c r="CS415" s="62"/>
      <c r="CT415" s="62"/>
      <c r="CU415" s="62"/>
      <c r="CX415" s="62"/>
      <c r="CZ415" s="62"/>
    </row>
    <row r="416" spans="93:104" ht="14.25" customHeight="1">
      <c r="CO416" s="63"/>
      <c r="CP416" s="63"/>
      <c r="CQ416" s="64"/>
      <c r="CR416" s="62"/>
      <c r="CS416" s="62"/>
      <c r="CT416" s="62"/>
      <c r="CU416" s="62"/>
      <c r="CX416" s="62"/>
      <c r="CZ416" s="62"/>
    </row>
    <row r="417" spans="93:104" ht="14.25" customHeight="1">
      <c r="CO417" s="63"/>
      <c r="CP417" s="63"/>
      <c r="CQ417" s="64"/>
      <c r="CR417" s="62"/>
      <c r="CS417" s="62"/>
      <c r="CT417" s="62"/>
      <c r="CU417" s="62"/>
      <c r="CX417" s="62"/>
      <c r="CZ417" s="62"/>
    </row>
    <row r="418" spans="93:104" ht="14.25" customHeight="1">
      <c r="CO418" s="63"/>
      <c r="CP418" s="63"/>
      <c r="CQ418" s="64"/>
      <c r="CR418" s="62"/>
      <c r="CS418" s="62"/>
      <c r="CT418" s="62"/>
      <c r="CU418" s="62"/>
      <c r="CX418" s="62"/>
      <c r="CZ418" s="62"/>
    </row>
    <row r="419" spans="93:104" ht="14.25" customHeight="1">
      <c r="CO419" s="63"/>
      <c r="CP419" s="63"/>
      <c r="CQ419" s="64"/>
      <c r="CR419" s="62"/>
      <c r="CS419" s="62"/>
      <c r="CT419" s="62"/>
      <c r="CU419" s="62"/>
      <c r="CX419" s="62"/>
      <c r="CZ419" s="62"/>
    </row>
    <row r="420" spans="93:104" ht="14.25" customHeight="1">
      <c r="CO420" s="63"/>
      <c r="CP420" s="63"/>
      <c r="CQ420" s="64"/>
      <c r="CR420" s="62"/>
      <c r="CS420" s="62"/>
      <c r="CT420" s="62"/>
      <c r="CU420" s="62"/>
      <c r="CX420" s="62"/>
      <c r="CZ420" s="62"/>
    </row>
    <row r="421" spans="93:104" ht="14.25" customHeight="1">
      <c r="CO421" s="63"/>
      <c r="CP421" s="63"/>
      <c r="CQ421" s="64"/>
      <c r="CR421" s="62"/>
      <c r="CS421" s="62"/>
      <c r="CT421" s="62"/>
      <c r="CU421" s="62"/>
      <c r="CX421" s="62"/>
      <c r="CZ421" s="62"/>
    </row>
    <row r="422" spans="93:104" ht="14.25" customHeight="1">
      <c r="CO422" s="63"/>
      <c r="CP422" s="63"/>
      <c r="CQ422" s="64"/>
      <c r="CR422" s="62"/>
      <c r="CS422" s="62"/>
      <c r="CT422" s="62"/>
      <c r="CU422" s="62"/>
      <c r="CX422" s="62"/>
      <c r="CZ422" s="62"/>
    </row>
    <row r="423" spans="93:104" ht="14.25" customHeight="1">
      <c r="CO423" s="63"/>
      <c r="CP423" s="63"/>
      <c r="CQ423" s="64"/>
      <c r="CR423" s="62"/>
      <c r="CS423" s="62"/>
      <c r="CT423" s="62"/>
      <c r="CU423" s="62"/>
      <c r="CX423" s="62"/>
      <c r="CZ423" s="62"/>
    </row>
    <row r="424" spans="93:104" ht="14.25" customHeight="1">
      <c r="CO424" s="63"/>
      <c r="CP424" s="63"/>
      <c r="CQ424" s="64"/>
      <c r="CR424" s="62"/>
      <c r="CS424" s="62"/>
      <c r="CT424" s="62"/>
      <c r="CU424" s="62"/>
      <c r="CX424" s="62"/>
      <c r="CZ424" s="62"/>
    </row>
    <row r="425" spans="93:104" ht="14.25" customHeight="1">
      <c r="CO425" s="63"/>
      <c r="CP425" s="63"/>
      <c r="CQ425" s="64"/>
      <c r="CR425" s="62"/>
      <c r="CS425" s="62"/>
      <c r="CT425" s="62"/>
      <c r="CU425" s="62"/>
      <c r="CX425" s="62"/>
      <c r="CZ425" s="62"/>
    </row>
    <row r="426" spans="93:104" ht="14.25" customHeight="1">
      <c r="CO426" s="63"/>
      <c r="CP426" s="63"/>
      <c r="CQ426" s="64"/>
      <c r="CR426" s="62"/>
      <c r="CS426" s="62"/>
      <c r="CT426" s="62"/>
      <c r="CU426" s="62"/>
      <c r="CX426" s="62"/>
      <c r="CZ426" s="62"/>
    </row>
    <row r="427" spans="93:104" ht="14.25" customHeight="1">
      <c r="CO427" s="63"/>
      <c r="CP427" s="63"/>
      <c r="CQ427" s="64"/>
      <c r="CR427" s="62"/>
      <c r="CS427" s="62"/>
      <c r="CT427" s="62"/>
      <c r="CU427" s="62"/>
      <c r="CX427" s="62"/>
      <c r="CZ427" s="62"/>
    </row>
    <row r="428" spans="93:104" ht="14.25" customHeight="1">
      <c r="CO428" s="63"/>
      <c r="CP428" s="63"/>
      <c r="CQ428" s="64"/>
      <c r="CR428" s="62"/>
      <c r="CS428" s="62"/>
      <c r="CT428" s="62"/>
      <c r="CU428" s="62"/>
      <c r="CX428" s="62"/>
      <c r="CZ428" s="62"/>
    </row>
    <row r="429" spans="93:104" ht="14.25" customHeight="1">
      <c r="CO429" s="63"/>
      <c r="CP429" s="63"/>
      <c r="CQ429" s="64"/>
      <c r="CR429" s="62"/>
      <c r="CS429" s="62"/>
      <c r="CT429" s="62"/>
      <c r="CU429" s="62"/>
      <c r="CX429" s="62"/>
      <c r="CZ429" s="62"/>
    </row>
    <row r="430" spans="93:104" ht="14.25" customHeight="1">
      <c r="CO430" s="63"/>
      <c r="CP430" s="63"/>
      <c r="CQ430" s="64"/>
      <c r="CR430" s="62"/>
      <c r="CS430" s="62"/>
      <c r="CT430" s="62"/>
      <c r="CU430" s="62"/>
      <c r="CX430" s="62"/>
      <c r="CZ430" s="62"/>
    </row>
    <row r="431" spans="93:104" ht="14.25" customHeight="1">
      <c r="CO431" s="63"/>
      <c r="CP431" s="63"/>
      <c r="CQ431" s="64"/>
      <c r="CR431" s="62"/>
      <c r="CS431" s="62"/>
      <c r="CT431" s="62"/>
      <c r="CU431" s="62"/>
      <c r="CX431" s="62"/>
      <c r="CZ431" s="62"/>
    </row>
    <row r="432" spans="93:104" ht="14.25" customHeight="1">
      <c r="CO432" s="63"/>
      <c r="CP432" s="63"/>
      <c r="CQ432" s="64"/>
      <c r="CR432" s="62"/>
      <c r="CS432" s="62"/>
      <c r="CT432" s="62"/>
      <c r="CU432" s="62"/>
      <c r="CX432" s="62"/>
      <c r="CZ432" s="62"/>
    </row>
    <row r="433" spans="93:104" ht="14.25" customHeight="1">
      <c r="CO433" s="63"/>
      <c r="CP433" s="63"/>
      <c r="CQ433" s="64"/>
      <c r="CR433" s="62"/>
      <c r="CS433" s="62"/>
      <c r="CT433" s="62"/>
      <c r="CU433" s="62"/>
      <c r="CX433" s="62"/>
      <c r="CZ433" s="62"/>
    </row>
    <row r="434" spans="93:104" ht="14.25" customHeight="1">
      <c r="CO434" s="63"/>
      <c r="CP434" s="63"/>
      <c r="CQ434" s="64"/>
      <c r="CR434" s="62"/>
      <c r="CS434" s="62"/>
      <c r="CT434" s="62"/>
      <c r="CU434" s="62"/>
      <c r="CX434" s="62"/>
      <c r="CZ434" s="62"/>
    </row>
    <row r="435" spans="93:104" ht="14.25" customHeight="1">
      <c r="CO435" s="63"/>
      <c r="CP435" s="63"/>
      <c r="CQ435" s="64"/>
      <c r="CR435" s="62"/>
      <c r="CS435" s="62"/>
      <c r="CT435" s="62"/>
      <c r="CU435" s="62"/>
      <c r="CX435" s="62"/>
      <c r="CZ435" s="62"/>
    </row>
    <row r="436" spans="93:104" ht="14.25" customHeight="1">
      <c r="CO436" s="63"/>
      <c r="CP436" s="63"/>
      <c r="CQ436" s="64"/>
      <c r="CR436" s="62"/>
      <c r="CS436" s="62"/>
      <c r="CT436" s="62"/>
      <c r="CU436" s="62"/>
      <c r="CX436" s="62"/>
      <c r="CZ436" s="62"/>
    </row>
    <row r="437" spans="93:104" ht="14.25" customHeight="1">
      <c r="CO437" s="63"/>
      <c r="CP437" s="63"/>
      <c r="CQ437" s="64"/>
      <c r="CR437" s="62"/>
      <c r="CS437" s="62"/>
      <c r="CT437" s="62"/>
      <c r="CU437" s="62"/>
      <c r="CX437" s="62"/>
      <c r="CZ437" s="62"/>
    </row>
    <row r="438" spans="93:104" ht="14.25" customHeight="1">
      <c r="CO438" s="63"/>
      <c r="CP438" s="63"/>
      <c r="CQ438" s="64"/>
      <c r="CR438" s="62"/>
      <c r="CS438" s="62"/>
      <c r="CT438" s="62"/>
      <c r="CU438" s="62"/>
      <c r="CX438" s="62"/>
      <c r="CZ438" s="62"/>
    </row>
    <row r="439" spans="93:104" ht="14.25" customHeight="1">
      <c r="CO439" s="63"/>
      <c r="CP439" s="63"/>
      <c r="CQ439" s="64"/>
      <c r="CR439" s="62"/>
      <c r="CS439" s="62"/>
      <c r="CT439" s="62"/>
      <c r="CU439" s="62"/>
      <c r="CX439" s="62"/>
      <c r="CZ439" s="62"/>
    </row>
    <row r="440" spans="93:104" ht="14.25" customHeight="1">
      <c r="CO440" s="63"/>
      <c r="CP440" s="63"/>
      <c r="CQ440" s="64"/>
      <c r="CR440" s="62"/>
      <c r="CS440" s="62"/>
      <c r="CT440" s="62"/>
      <c r="CU440" s="62"/>
      <c r="CX440" s="62"/>
      <c r="CZ440" s="62"/>
    </row>
    <row r="441" spans="93:104" ht="14.25" customHeight="1">
      <c r="CO441" s="63"/>
      <c r="CP441" s="63"/>
      <c r="CQ441" s="64"/>
      <c r="CR441" s="62"/>
      <c r="CS441" s="62"/>
      <c r="CT441" s="62"/>
      <c r="CU441" s="62"/>
      <c r="CX441" s="62"/>
      <c r="CZ441" s="62"/>
    </row>
    <row r="442" spans="93:104" ht="14.25" customHeight="1">
      <c r="CO442" s="63"/>
      <c r="CP442" s="63"/>
      <c r="CQ442" s="64"/>
      <c r="CR442" s="62"/>
      <c r="CS442" s="62"/>
      <c r="CT442" s="62"/>
      <c r="CU442" s="62"/>
      <c r="CX442" s="62"/>
      <c r="CZ442" s="62"/>
    </row>
    <row r="443" spans="93:104" ht="14.25" customHeight="1">
      <c r="CO443" s="63"/>
      <c r="CP443" s="63"/>
      <c r="CQ443" s="64"/>
      <c r="CR443" s="62"/>
      <c r="CS443" s="62"/>
      <c r="CT443" s="62"/>
      <c r="CU443" s="62"/>
      <c r="CX443" s="62"/>
      <c r="CZ443" s="62"/>
    </row>
    <row r="444" spans="93:104" ht="14.25" customHeight="1">
      <c r="CO444" s="63"/>
      <c r="CP444" s="63"/>
      <c r="CQ444" s="64"/>
      <c r="CR444" s="62"/>
      <c r="CS444" s="62"/>
      <c r="CT444" s="62"/>
      <c r="CU444" s="62"/>
      <c r="CX444" s="62"/>
      <c r="CZ444" s="62"/>
    </row>
    <row r="445" spans="93:104" ht="14.25" customHeight="1">
      <c r="CO445" s="63"/>
      <c r="CP445" s="63"/>
      <c r="CQ445" s="64"/>
      <c r="CR445" s="62"/>
      <c r="CS445" s="62"/>
      <c r="CT445" s="62"/>
      <c r="CU445" s="62"/>
      <c r="CX445" s="62"/>
      <c r="CZ445" s="62"/>
    </row>
    <row r="446" spans="93:104" ht="14.25" customHeight="1">
      <c r="CO446" s="63"/>
      <c r="CP446" s="63"/>
      <c r="CQ446" s="64"/>
      <c r="CR446" s="62"/>
      <c r="CS446" s="62"/>
      <c r="CT446" s="62"/>
      <c r="CU446" s="62"/>
      <c r="CX446" s="62"/>
      <c r="CZ446" s="62"/>
    </row>
    <row r="447" spans="93:104" ht="14.25" customHeight="1">
      <c r="CO447" s="63"/>
      <c r="CP447" s="63"/>
      <c r="CQ447" s="64"/>
      <c r="CR447" s="62"/>
      <c r="CS447" s="62"/>
      <c r="CT447" s="62"/>
      <c r="CU447" s="62"/>
      <c r="CX447" s="62"/>
      <c r="CZ447" s="62"/>
    </row>
    <row r="448" spans="93:104" ht="14.25" customHeight="1">
      <c r="CO448" s="63"/>
      <c r="CP448" s="63"/>
      <c r="CQ448" s="64"/>
      <c r="CR448" s="62"/>
      <c r="CS448" s="62"/>
      <c r="CT448" s="62"/>
      <c r="CU448" s="62"/>
      <c r="CX448" s="62"/>
      <c r="CZ448" s="62"/>
    </row>
    <row r="449" spans="93:104" ht="14.25" customHeight="1">
      <c r="CO449" s="63"/>
      <c r="CP449" s="63"/>
      <c r="CQ449" s="64"/>
      <c r="CR449" s="62"/>
      <c r="CS449" s="62"/>
      <c r="CT449" s="62"/>
      <c r="CU449" s="62"/>
      <c r="CX449" s="62"/>
      <c r="CZ449" s="62"/>
    </row>
    <row r="450" spans="93:104" ht="14.25" customHeight="1">
      <c r="CO450" s="63"/>
      <c r="CP450" s="63"/>
      <c r="CQ450" s="64"/>
      <c r="CR450" s="62"/>
      <c r="CS450" s="62"/>
      <c r="CT450" s="62"/>
      <c r="CU450" s="62"/>
      <c r="CX450" s="62"/>
      <c r="CZ450" s="62"/>
    </row>
    <row r="451" spans="93:104" ht="14.25" customHeight="1">
      <c r="CO451" s="63"/>
      <c r="CP451" s="63"/>
      <c r="CQ451" s="64"/>
      <c r="CR451" s="62"/>
      <c r="CS451" s="62"/>
      <c r="CT451" s="62"/>
      <c r="CU451" s="62"/>
      <c r="CX451" s="62"/>
      <c r="CZ451" s="62"/>
    </row>
    <row r="452" spans="93:104" ht="14.25" customHeight="1">
      <c r="CO452" s="63"/>
      <c r="CP452" s="63"/>
      <c r="CQ452" s="64"/>
      <c r="CR452" s="62"/>
      <c r="CS452" s="62"/>
      <c r="CT452" s="62"/>
      <c r="CU452" s="62"/>
      <c r="CX452" s="62"/>
      <c r="CZ452" s="62"/>
    </row>
    <row r="453" spans="93:104" ht="14.25" customHeight="1">
      <c r="CO453" s="63"/>
      <c r="CP453" s="63"/>
      <c r="CQ453" s="64"/>
      <c r="CR453" s="62"/>
      <c r="CS453" s="62"/>
      <c r="CT453" s="62"/>
      <c r="CU453" s="62"/>
      <c r="CX453" s="62"/>
      <c r="CZ453" s="62"/>
    </row>
    <row r="454" spans="93:104" ht="14.25" customHeight="1">
      <c r="CO454" s="63"/>
      <c r="CP454" s="63"/>
      <c r="CQ454" s="64"/>
      <c r="CR454" s="62"/>
      <c r="CS454" s="62"/>
      <c r="CT454" s="62"/>
      <c r="CU454" s="62"/>
      <c r="CX454" s="62"/>
      <c r="CZ454" s="62"/>
    </row>
    <row r="455" spans="93:104" ht="14.25" customHeight="1">
      <c r="CO455" s="63"/>
      <c r="CP455" s="63"/>
      <c r="CQ455" s="64"/>
      <c r="CR455" s="62"/>
      <c r="CS455" s="62"/>
      <c r="CT455" s="62"/>
      <c r="CU455" s="62"/>
      <c r="CX455" s="62"/>
      <c r="CZ455" s="62"/>
    </row>
    <row r="456" spans="93:104" ht="14.25" customHeight="1">
      <c r="CO456" s="63"/>
      <c r="CP456" s="63"/>
      <c r="CQ456" s="64"/>
      <c r="CR456" s="62"/>
      <c r="CS456" s="62"/>
      <c r="CT456" s="62"/>
      <c r="CU456" s="62"/>
      <c r="CX456" s="62"/>
      <c r="CZ456" s="62"/>
    </row>
    <row r="457" spans="93:104" ht="14.25" customHeight="1">
      <c r="CO457" s="63"/>
      <c r="CP457" s="63"/>
      <c r="CQ457" s="64"/>
      <c r="CR457" s="62"/>
      <c r="CS457" s="62"/>
      <c r="CT457" s="62"/>
      <c r="CU457" s="62"/>
      <c r="CX457" s="62"/>
      <c r="CZ457" s="62"/>
    </row>
    <row r="458" spans="93:104" ht="14.25" customHeight="1">
      <c r="CO458" s="63"/>
      <c r="CP458" s="63"/>
      <c r="CQ458" s="64"/>
      <c r="CR458" s="62"/>
      <c r="CS458" s="62"/>
      <c r="CT458" s="62"/>
      <c r="CU458" s="62"/>
      <c r="CX458" s="62"/>
      <c r="CZ458" s="62"/>
    </row>
    <row r="459" spans="93:104" ht="14.25" customHeight="1">
      <c r="CO459" s="63"/>
      <c r="CP459" s="63"/>
      <c r="CQ459" s="64"/>
      <c r="CR459" s="62"/>
      <c r="CS459" s="62"/>
      <c r="CT459" s="62"/>
      <c r="CU459" s="62"/>
      <c r="CX459" s="62"/>
      <c r="CZ459" s="62"/>
    </row>
    <row r="460" spans="93:104" ht="14.25" customHeight="1">
      <c r="CO460" s="63"/>
      <c r="CP460" s="63"/>
      <c r="CQ460" s="64"/>
      <c r="CR460" s="62"/>
      <c r="CS460" s="62"/>
      <c r="CT460" s="62"/>
      <c r="CU460" s="62"/>
      <c r="CX460" s="62"/>
      <c r="CZ460" s="62"/>
    </row>
    <row r="461" spans="93:104" ht="14.25" customHeight="1">
      <c r="CO461" s="63"/>
      <c r="CP461" s="63"/>
      <c r="CQ461" s="64"/>
      <c r="CR461" s="62"/>
      <c r="CS461" s="62"/>
      <c r="CT461" s="62"/>
      <c r="CU461" s="62"/>
      <c r="CX461" s="62"/>
      <c r="CZ461" s="62"/>
    </row>
    <row r="462" spans="93:104" ht="14.25" customHeight="1">
      <c r="CO462" s="63"/>
      <c r="CP462" s="63"/>
      <c r="CQ462" s="64"/>
      <c r="CR462" s="62"/>
      <c r="CS462" s="62"/>
      <c r="CT462" s="62"/>
      <c r="CU462" s="62"/>
      <c r="CX462" s="62"/>
      <c r="CZ462" s="62"/>
    </row>
    <row r="463" spans="93:104" ht="14.25" customHeight="1">
      <c r="CO463" s="63"/>
      <c r="CP463" s="63"/>
      <c r="CQ463" s="64"/>
      <c r="CR463" s="62"/>
      <c r="CS463" s="62"/>
      <c r="CT463" s="62"/>
      <c r="CU463" s="62"/>
      <c r="CX463" s="62"/>
      <c r="CZ463" s="62"/>
    </row>
    <row r="464" spans="93:104" ht="14.25" customHeight="1">
      <c r="CO464" s="63"/>
      <c r="CP464" s="63"/>
      <c r="CQ464" s="64"/>
      <c r="CR464" s="62"/>
      <c r="CS464" s="62"/>
      <c r="CT464" s="62"/>
      <c r="CU464" s="62"/>
      <c r="CX464" s="62"/>
      <c r="CZ464" s="62"/>
    </row>
    <row r="465" spans="93:104" ht="14.25" customHeight="1">
      <c r="CO465" s="63"/>
      <c r="CP465" s="63"/>
      <c r="CQ465" s="64"/>
      <c r="CR465" s="62"/>
      <c r="CS465" s="62"/>
      <c r="CT465" s="62"/>
      <c r="CU465" s="62"/>
      <c r="CX465" s="62"/>
      <c r="CZ465" s="62"/>
    </row>
    <row r="466" spans="93:104" ht="14.25" customHeight="1">
      <c r="CO466" s="63"/>
      <c r="CP466" s="63"/>
      <c r="CQ466" s="64"/>
      <c r="CR466" s="62"/>
      <c r="CS466" s="62"/>
      <c r="CT466" s="62"/>
      <c r="CU466" s="62"/>
      <c r="CX466" s="62"/>
      <c r="CZ466" s="62"/>
    </row>
    <row r="467" spans="93:104" ht="14.25" customHeight="1">
      <c r="CO467" s="63"/>
      <c r="CP467" s="63"/>
      <c r="CQ467" s="64"/>
      <c r="CR467" s="62"/>
      <c r="CS467" s="62"/>
      <c r="CT467" s="62"/>
      <c r="CU467" s="62"/>
      <c r="CX467" s="62"/>
      <c r="CZ467" s="62"/>
    </row>
    <row r="468" spans="93:104" ht="14.25" customHeight="1">
      <c r="CO468" s="63"/>
      <c r="CP468" s="63"/>
      <c r="CQ468" s="64"/>
      <c r="CR468" s="62"/>
      <c r="CS468" s="62"/>
      <c r="CT468" s="62"/>
      <c r="CU468" s="62"/>
      <c r="CX468" s="62"/>
      <c r="CZ468" s="62"/>
    </row>
    <row r="469" spans="93:104" ht="14.25" customHeight="1">
      <c r="CO469" s="63"/>
      <c r="CP469" s="63"/>
      <c r="CQ469" s="64"/>
      <c r="CR469" s="62"/>
      <c r="CS469" s="62"/>
      <c r="CT469" s="62"/>
      <c r="CU469" s="62"/>
      <c r="CX469" s="62"/>
      <c r="CZ469" s="62"/>
    </row>
    <row r="470" spans="93:104" ht="14.25" customHeight="1">
      <c r="CO470" s="63"/>
      <c r="CP470" s="63"/>
      <c r="CQ470" s="64"/>
      <c r="CR470" s="62"/>
      <c r="CS470" s="62"/>
      <c r="CT470" s="62"/>
      <c r="CU470" s="62"/>
      <c r="CX470" s="62"/>
      <c r="CZ470" s="62"/>
    </row>
    <row r="471" spans="93:104" ht="14.25" customHeight="1">
      <c r="CO471" s="63"/>
      <c r="CP471" s="63"/>
      <c r="CQ471" s="64"/>
      <c r="CR471" s="62"/>
      <c r="CS471" s="62"/>
      <c r="CT471" s="62"/>
      <c r="CU471" s="62"/>
      <c r="CX471" s="62"/>
      <c r="CZ471" s="62"/>
    </row>
    <row r="472" spans="93:104" ht="14.25" customHeight="1">
      <c r="CO472" s="63"/>
      <c r="CP472" s="63"/>
      <c r="CQ472" s="64"/>
      <c r="CR472" s="62"/>
      <c r="CS472" s="62"/>
      <c r="CT472" s="62"/>
      <c r="CU472" s="62"/>
      <c r="CX472" s="62"/>
      <c r="CZ472" s="62"/>
    </row>
    <row r="473" spans="93:104" ht="14.25" customHeight="1">
      <c r="CO473" s="63"/>
      <c r="CP473" s="63"/>
      <c r="CQ473" s="64"/>
      <c r="CR473" s="62"/>
      <c r="CS473" s="62"/>
      <c r="CT473" s="62"/>
      <c r="CU473" s="62"/>
      <c r="CX473" s="62"/>
      <c r="CZ473" s="62"/>
    </row>
    <row r="474" spans="93:104" ht="14.25" customHeight="1">
      <c r="CO474" s="63"/>
      <c r="CP474" s="63"/>
      <c r="CQ474" s="64"/>
      <c r="CR474" s="62"/>
      <c r="CS474" s="62"/>
      <c r="CT474" s="62"/>
      <c r="CU474" s="62"/>
      <c r="CX474" s="62"/>
      <c r="CZ474" s="62"/>
    </row>
    <row r="475" spans="93:104" ht="14.25" customHeight="1">
      <c r="CO475" s="63"/>
      <c r="CP475" s="63"/>
      <c r="CQ475" s="64"/>
      <c r="CR475" s="62"/>
      <c r="CS475" s="62"/>
      <c r="CT475" s="62"/>
      <c r="CU475" s="62"/>
      <c r="CX475" s="62"/>
      <c r="CZ475" s="62"/>
    </row>
    <row r="476" spans="93:104" ht="14.25" customHeight="1">
      <c r="CO476" s="63"/>
      <c r="CP476" s="63"/>
      <c r="CQ476" s="64"/>
      <c r="CR476" s="62"/>
      <c r="CS476" s="62"/>
      <c r="CT476" s="62"/>
      <c r="CU476" s="62"/>
      <c r="CX476" s="62"/>
      <c r="CZ476" s="62"/>
    </row>
    <row r="477" spans="93:104" ht="14.25" customHeight="1">
      <c r="CO477" s="63"/>
      <c r="CP477" s="63"/>
      <c r="CQ477" s="64"/>
      <c r="CR477" s="62"/>
      <c r="CS477" s="62"/>
      <c r="CT477" s="62"/>
      <c r="CU477" s="62"/>
      <c r="CX477" s="62"/>
      <c r="CZ477" s="62"/>
    </row>
    <row r="478" spans="93:104" ht="14.25" customHeight="1">
      <c r="CO478" s="63"/>
      <c r="CP478" s="63"/>
      <c r="CQ478" s="64"/>
      <c r="CR478" s="62"/>
      <c r="CS478" s="62"/>
      <c r="CT478" s="62"/>
      <c r="CU478" s="62"/>
      <c r="CX478" s="62"/>
      <c r="CZ478" s="62"/>
    </row>
    <row r="479" spans="93:104" ht="14.25" customHeight="1">
      <c r="CO479" s="63"/>
      <c r="CP479" s="63"/>
      <c r="CQ479" s="64"/>
      <c r="CR479" s="62"/>
      <c r="CS479" s="62"/>
      <c r="CT479" s="62"/>
      <c r="CU479" s="62"/>
      <c r="CX479" s="62"/>
      <c r="CZ479" s="62"/>
    </row>
    <row r="480" spans="93:104" ht="14.25" customHeight="1">
      <c r="CO480" s="63"/>
      <c r="CP480" s="63"/>
      <c r="CQ480" s="64"/>
      <c r="CR480" s="62"/>
      <c r="CS480" s="62"/>
      <c r="CT480" s="62"/>
      <c r="CU480" s="62"/>
      <c r="CX480" s="62"/>
      <c r="CZ480" s="62"/>
    </row>
    <row r="481" spans="93:104" ht="14.25" customHeight="1">
      <c r="CO481" s="63"/>
      <c r="CP481" s="63"/>
      <c r="CQ481" s="64"/>
      <c r="CR481" s="62"/>
      <c r="CS481" s="62"/>
      <c r="CT481" s="62"/>
      <c r="CU481" s="62"/>
      <c r="CX481" s="62"/>
      <c r="CZ481" s="62"/>
    </row>
    <row r="482" spans="93:104" ht="14.25" customHeight="1">
      <c r="CO482" s="63"/>
      <c r="CP482" s="63"/>
      <c r="CQ482" s="64"/>
      <c r="CR482" s="62"/>
      <c r="CS482" s="62"/>
      <c r="CT482" s="62"/>
      <c r="CU482" s="62"/>
      <c r="CX482" s="62"/>
      <c r="CZ482" s="62"/>
    </row>
    <row r="483" spans="93:104" ht="14.25" customHeight="1">
      <c r="CO483" s="63"/>
      <c r="CP483" s="63"/>
      <c r="CQ483" s="64"/>
      <c r="CR483" s="62"/>
      <c r="CS483" s="62"/>
      <c r="CT483" s="62"/>
      <c r="CU483" s="62"/>
      <c r="CX483" s="62"/>
      <c r="CZ483" s="62"/>
    </row>
    <row r="484" spans="93:104" ht="14.25" customHeight="1">
      <c r="CO484" s="63"/>
      <c r="CP484" s="63"/>
      <c r="CQ484" s="64"/>
      <c r="CR484" s="62"/>
      <c r="CS484" s="62"/>
      <c r="CT484" s="62"/>
      <c r="CU484" s="62"/>
      <c r="CX484" s="62"/>
      <c r="CZ484" s="62"/>
    </row>
    <row r="485" spans="93:104" ht="14.25" customHeight="1">
      <c r="CO485" s="63"/>
      <c r="CP485" s="63"/>
      <c r="CQ485" s="64"/>
      <c r="CR485" s="62"/>
      <c r="CS485" s="62"/>
      <c r="CT485" s="62"/>
      <c r="CU485" s="62"/>
      <c r="CX485" s="62"/>
      <c r="CZ485" s="62"/>
    </row>
    <row r="486" spans="93:104" ht="14.25" customHeight="1">
      <c r="CO486" s="63"/>
      <c r="CP486" s="63"/>
      <c r="CQ486" s="64"/>
      <c r="CR486" s="62"/>
      <c r="CS486" s="62"/>
      <c r="CT486" s="62"/>
      <c r="CU486" s="62"/>
      <c r="CX486" s="62"/>
      <c r="CZ486" s="62"/>
    </row>
    <row r="487" spans="93:104" ht="14.25" customHeight="1">
      <c r="CO487" s="63"/>
      <c r="CP487" s="63"/>
      <c r="CQ487" s="64"/>
      <c r="CR487" s="62"/>
      <c r="CS487" s="62"/>
      <c r="CT487" s="62"/>
      <c r="CU487" s="62"/>
      <c r="CX487" s="62"/>
      <c r="CZ487" s="62"/>
    </row>
    <row r="488" spans="93:104" ht="14.25" customHeight="1">
      <c r="CO488" s="63"/>
      <c r="CP488" s="63"/>
      <c r="CQ488" s="64"/>
      <c r="CR488" s="62"/>
      <c r="CS488" s="62"/>
      <c r="CT488" s="62"/>
      <c r="CU488" s="62"/>
      <c r="CX488" s="62"/>
      <c r="CZ488" s="62"/>
    </row>
    <row r="489" spans="93:104" ht="14.25" customHeight="1">
      <c r="CO489" s="63"/>
      <c r="CP489" s="63"/>
      <c r="CQ489" s="64"/>
      <c r="CR489" s="62"/>
      <c r="CS489" s="62"/>
      <c r="CT489" s="62"/>
      <c r="CU489" s="62"/>
      <c r="CX489" s="62"/>
      <c r="CZ489" s="62"/>
    </row>
    <row r="490" spans="93:104" ht="14.25" customHeight="1">
      <c r="CO490" s="63"/>
      <c r="CP490" s="63"/>
      <c r="CQ490" s="64"/>
      <c r="CR490" s="62"/>
      <c r="CS490" s="62"/>
      <c r="CT490" s="62"/>
      <c r="CU490" s="62"/>
      <c r="CX490" s="62"/>
      <c r="CZ490" s="62"/>
    </row>
    <row r="491" spans="93:104" ht="14.25" customHeight="1">
      <c r="CO491" s="63"/>
      <c r="CP491" s="63"/>
      <c r="CQ491" s="64"/>
      <c r="CR491" s="62"/>
      <c r="CS491" s="62"/>
      <c r="CT491" s="62"/>
      <c r="CU491" s="62"/>
      <c r="CX491" s="62"/>
      <c r="CZ491" s="62"/>
    </row>
    <row r="492" spans="93:104" ht="14.25" customHeight="1">
      <c r="CO492" s="63"/>
      <c r="CP492" s="63"/>
      <c r="CQ492" s="64"/>
      <c r="CR492" s="62"/>
      <c r="CS492" s="62"/>
      <c r="CT492" s="62"/>
      <c r="CU492" s="62"/>
      <c r="CX492" s="62"/>
      <c r="CZ492" s="62"/>
    </row>
    <row r="493" spans="93:104" ht="14.25" customHeight="1">
      <c r="CO493" s="63"/>
      <c r="CP493" s="63"/>
      <c r="CQ493" s="64"/>
      <c r="CR493" s="62"/>
      <c r="CS493" s="62"/>
      <c r="CT493" s="62"/>
      <c r="CU493" s="62"/>
      <c r="CX493" s="62"/>
      <c r="CZ493" s="62"/>
    </row>
    <row r="494" spans="93:104" ht="14.25" customHeight="1">
      <c r="CO494" s="63"/>
      <c r="CP494" s="63"/>
      <c r="CQ494" s="64"/>
      <c r="CR494" s="62"/>
      <c r="CS494" s="62"/>
      <c r="CT494" s="62"/>
      <c r="CU494" s="62"/>
      <c r="CX494" s="62"/>
      <c r="CZ494" s="62"/>
    </row>
    <row r="495" spans="93:104" ht="14.25" customHeight="1">
      <c r="CO495" s="63"/>
      <c r="CP495" s="63"/>
      <c r="CQ495" s="64"/>
      <c r="CR495" s="62"/>
      <c r="CS495" s="62"/>
      <c r="CT495" s="62"/>
      <c r="CU495" s="62"/>
      <c r="CX495" s="62"/>
      <c r="CZ495" s="62"/>
    </row>
    <row r="496" spans="93:104" ht="14.25" customHeight="1">
      <c r="CO496" s="63"/>
      <c r="CP496" s="63"/>
      <c r="CQ496" s="64"/>
      <c r="CR496" s="62"/>
      <c r="CS496" s="62"/>
      <c r="CT496" s="62"/>
      <c r="CU496" s="62"/>
      <c r="CX496" s="62"/>
      <c r="CZ496" s="62"/>
    </row>
    <row r="497" spans="93:104" ht="14.25" customHeight="1">
      <c r="CO497" s="63"/>
      <c r="CP497" s="63"/>
      <c r="CQ497" s="64"/>
      <c r="CR497" s="62"/>
      <c r="CS497" s="62"/>
      <c r="CT497" s="62"/>
      <c r="CU497" s="62"/>
      <c r="CX497" s="62"/>
      <c r="CZ497" s="62"/>
    </row>
    <row r="498" spans="93:104" ht="14.25" customHeight="1">
      <c r="CO498" s="63"/>
      <c r="CP498" s="63"/>
      <c r="CQ498" s="64"/>
      <c r="CR498" s="62"/>
      <c r="CS498" s="62"/>
      <c r="CT498" s="62"/>
      <c r="CU498" s="62"/>
      <c r="CX498" s="62"/>
      <c r="CZ498" s="62"/>
    </row>
    <row r="499" spans="93:104" ht="14.25" customHeight="1">
      <c r="CO499" s="63"/>
      <c r="CP499" s="63"/>
      <c r="CQ499" s="64"/>
      <c r="CR499" s="62"/>
      <c r="CS499" s="62"/>
      <c r="CT499" s="62"/>
      <c r="CU499" s="62"/>
      <c r="CX499" s="62"/>
      <c r="CZ499" s="62"/>
    </row>
    <row r="500" spans="93:104" ht="14.25" customHeight="1">
      <c r="CO500" s="63"/>
      <c r="CP500" s="63"/>
      <c r="CQ500" s="64"/>
      <c r="CR500" s="62"/>
      <c r="CS500" s="62"/>
      <c r="CT500" s="62"/>
      <c r="CU500" s="62"/>
      <c r="CX500" s="62"/>
      <c r="CZ500" s="62"/>
    </row>
    <row r="501" spans="93:104" ht="14.25" customHeight="1">
      <c r="CO501" s="63"/>
      <c r="CP501" s="63"/>
      <c r="CQ501" s="64"/>
      <c r="CR501" s="62"/>
      <c r="CS501" s="62"/>
      <c r="CT501" s="62"/>
      <c r="CU501" s="62"/>
      <c r="CX501" s="62"/>
      <c r="CZ501" s="62"/>
    </row>
    <row r="502" spans="93:104" ht="14.25" customHeight="1">
      <c r="CO502" s="63"/>
      <c r="CP502" s="63"/>
      <c r="CQ502" s="64"/>
      <c r="CR502" s="62"/>
      <c r="CS502" s="62"/>
      <c r="CT502" s="62"/>
      <c r="CU502" s="62"/>
      <c r="CX502" s="62"/>
      <c r="CZ502" s="62"/>
    </row>
    <row r="503" spans="93:104" ht="14.25" customHeight="1">
      <c r="CO503" s="63"/>
      <c r="CP503" s="63"/>
      <c r="CQ503" s="64"/>
      <c r="CR503" s="62"/>
      <c r="CS503" s="62"/>
      <c r="CT503" s="62"/>
      <c r="CU503" s="62"/>
      <c r="CX503" s="62"/>
      <c r="CZ503" s="62"/>
    </row>
    <row r="504" spans="93:104" ht="14.25" customHeight="1">
      <c r="CO504" s="63"/>
      <c r="CP504" s="63"/>
      <c r="CQ504" s="64"/>
      <c r="CR504" s="62"/>
      <c r="CS504" s="62"/>
      <c r="CT504" s="62"/>
      <c r="CU504" s="62"/>
      <c r="CX504" s="62"/>
      <c r="CZ504" s="62"/>
    </row>
    <row r="505" spans="93:104" ht="14.25" customHeight="1">
      <c r="CO505" s="63"/>
      <c r="CP505" s="63"/>
      <c r="CQ505" s="64"/>
      <c r="CR505" s="62"/>
      <c r="CS505" s="62"/>
      <c r="CT505" s="62"/>
      <c r="CU505" s="62"/>
      <c r="CX505" s="62"/>
      <c r="CZ505" s="62"/>
    </row>
    <row r="506" spans="93:104" ht="14.25" customHeight="1">
      <c r="CO506" s="63"/>
      <c r="CP506" s="63"/>
      <c r="CQ506" s="64"/>
      <c r="CR506" s="62"/>
      <c r="CS506" s="62"/>
      <c r="CT506" s="62"/>
      <c r="CU506" s="62"/>
      <c r="CX506" s="62"/>
      <c r="CZ506" s="62"/>
    </row>
    <row r="507" spans="93:104" ht="14.25" customHeight="1">
      <c r="CO507" s="63"/>
      <c r="CP507" s="63"/>
      <c r="CQ507" s="64"/>
      <c r="CR507" s="62"/>
      <c r="CS507" s="62"/>
      <c r="CT507" s="62"/>
      <c r="CU507" s="62"/>
      <c r="CX507" s="62"/>
      <c r="CZ507" s="62"/>
    </row>
    <row r="508" spans="93:104" ht="14.25" customHeight="1">
      <c r="CO508" s="63"/>
      <c r="CP508" s="63"/>
      <c r="CQ508" s="64"/>
      <c r="CR508" s="62"/>
      <c r="CS508" s="62"/>
      <c r="CT508" s="62"/>
      <c r="CU508" s="62"/>
      <c r="CX508" s="62"/>
      <c r="CZ508" s="62"/>
    </row>
    <row r="509" spans="93:104" ht="14.25" customHeight="1">
      <c r="CO509" s="63"/>
      <c r="CP509" s="63"/>
      <c r="CQ509" s="64"/>
      <c r="CR509" s="62"/>
      <c r="CS509" s="62"/>
      <c r="CT509" s="62"/>
      <c r="CU509" s="62"/>
      <c r="CX509" s="62"/>
      <c r="CZ509" s="62"/>
    </row>
    <row r="510" spans="93:104" ht="14.25" customHeight="1">
      <c r="CO510" s="63"/>
      <c r="CP510" s="63"/>
      <c r="CQ510" s="64"/>
      <c r="CR510" s="62"/>
      <c r="CS510" s="62"/>
      <c r="CT510" s="62"/>
      <c r="CU510" s="62"/>
      <c r="CX510" s="62"/>
      <c r="CZ510" s="62"/>
    </row>
    <row r="511" spans="93:104" ht="14.25" customHeight="1">
      <c r="CO511" s="63"/>
      <c r="CP511" s="63"/>
      <c r="CQ511" s="64"/>
      <c r="CR511" s="62"/>
      <c r="CS511" s="62"/>
      <c r="CT511" s="62"/>
      <c r="CU511" s="62"/>
      <c r="CX511" s="62"/>
      <c r="CZ511" s="62"/>
    </row>
    <row r="512" spans="93:104" ht="14.25" customHeight="1">
      <c r="CO512" s="63"/>
      <c r="CP512" s="63"/>
      <c r="CQ512" s="64"/>
      <c r="CR512" s="62"/>
      <c r="CS512" s="62"/>
      <c r="CT512" s="62"/>
      <c r="CU512" s="62"/>
      <c r="CX512" s="62"/>
      <c r="CZ512" s="62"/>
    </row>
    <row r="513" spans="93:104" ht="14.25" customHeight="1">
      <c r="CO513" s="63"/>
      <c r="CP513" s="63"/>
      <c r="CQ513" s="64"/>
      <c r="CR513" s="62"/>
      <c r="CS513" s="62"/>
      <c r="CT513" s="62"/>
      <c r="CU513" s="62"/>
      <c r="CX513" s="62"/>
      <c r="CZ513" s="62"/>
    </row>
    <row r="514" spans="93:104" ht="14.25" customHeight="1">
      <c r="CO514" s="63"/>
      <c r="CP514" s="63"/>
      <c r="CQ514" s="64"/>
      <c r="CR514" s="62"/>
      <c r="CS514" s="62"/>
      <c r="CT514" s="62"/>
      <c r="CU514" s="62"/>
      <c r="CX514" s="62"/>
      <c r="CZ514" s="62"/>
    </row>
    <row r="515" spans="93:104" ht="14.25" customHeight="1">
      <c r="CO515" s="63"/>
      <c r="CP515" s="63"/>
      <c r="CQ515" s="64"/>
      <c r="CR515" s="62"/>
      <c r="CS515" s="62"/>
      <c r="CT515" s="62"/>
      <c r="CU515" s="62"/>
      <c r="CX515" s="62"/>
      <c r="CZ515" s="62"/>
    </row>
    <row r="516" spans="93:104" ht="14.25" customHeight="1">
      <c r="CO516" s="63"/>
      <c r="CP516" s="63"/>
      <c r="CQ516" s="64"/>
      <c r="CR516" s="62"/>
      <c r="CS516" s="62"/>
      <c r="CT516" s="62"/>
      <c r="CU516" s="62"/>
      <c r="CX516" s="62"/>
      <c r="CZ516" s="62"/>
    </row>
    <row r="517" spans="93:104" ht="14.25" customHeight="1">
      <c r="CO517" s="63"/>
      <c r="CP517" s="63"/>
      <c r="CQ517" s="64"/>
      <c r="CR517" s="62"/>
      <c r="CS517" s="62"/>
      <c r="CT517" s="62"/>
      <c r="CU517" s="62"/>
      <c r="CX517" s="62"/>
      <c r="CZ517" s="62"/>
    </row>
    <row r="518" spans="93:104" ht="14.25" customHeight="1">
      <c r="CO518" s="63"/>
      <c r="CP518" s="63"/>
      <c r="CQ518" s="64"/>
      <c r="CR518" s="62"/>
      <c r="CS518" s="62"/>
      <c r="CT518" s="62"/>
      <c r="CU518" s="62"/>
      <c r="CX518" s="62"/>
      <c r="CZ518" s="62"/>
    </row>
    <row r="519" spans="93:104" ht="14.25" customHeight="1">
      <c r="CO519" s="63"/>
      <c r="CP519" s="63"/>
      <c r="CQ519" s="64"/>
      <c r="CR519" s="62"/>
      <c r="CS519" s="62"/>
      <c r="CT519" s="62"/>
      <c r="CU519" s="62"/>
      <c r="CX519" s="62"/>
      <c r="CZ519" s="62"/>
    </row>
    <row r="520" spans="93:104" ht="14.25" customHeight="1">
      <c r="CO520" s="63"/>
      <c r="CP520" s="63"/>
      <c r="CQ520" s="64"/>
      <c r="CR520" s="62"/>
      <c r="CS520" s="62"/>
      <c r="CT520" s="62"/>
      <c r="CU520" s="62"/>
      <c r="CX520" s="62"/>
      <c r="CZ520" s="62"/>
    </row>
    <row r="521" spans="93:104" ht="14.25" customHeight="1">
      <c r="CO521" s="63"/>
      <c r="CP521" s="63"/>
      <c r="CQ521" s="64"/>
      <c r="CR521" s="62"/>
      <c r="CS521" s="62"/>
      <c r="CT521" s="62"/>
      <c r="CU521" s="62"/>
      <c r="CX521" s="62"/>
      <c r="CZ521" s="62"/>
    </row>
    <row r="522" spans="93:104" ht="14.25" customHeight="1">
      <c r="CO522" s="63"/>
      <c r="CP522" s="63"/>
      <c r="CQ522" s="64"/>
      <c r="CR522" s="62"/>
      <c r="CS522" s="62"/>
      <c r="CT522" s="62"/>
      <c r="CU522" s="62"/>
      <c r="CX522" s="62"/>
      <c r="CZ522" s="62"/>
    </row>
    <row r="523" spans="93:104" ht="14.25" customHeight="1">
      <c r="CO523" s="63"/>
      <c r="CP523" s="63"/>
      <c r="CQ523" s="64"/>
      <c r="CR523" s="62"/>
      <c r="CS523" s="62"/>
      <c r="CT523" s="62"/>
      <c r="CU523" s="62"/>
      <c r="CX523" s="62"/>
      <c r="CZ523" s="62"/>
    </row>
    <row r="524" spans="93:104" ht="14.25" customHeight="1">
      <c r="CO524" s="63"/>
      <c r="CP524" s="63"/>
      <c r="CQ524" s="64"/>
      <c r="CR524" s="62"/>
      <c r="CS524" s="62"/>
      <c r="CT524" s="62"/>
      <c r="CU524" s="62"/>
      <c r="CX524" s="62"/>
      <c r="CZ524" s="62"/>
    </row>
    <row r="525" spans="93:104" ht="14.25" customHeight="1">
      <c r="CO525" s="63"/>
      <c r="CP525" s="63"/>
      <c r="CQ525" s="64"/>
      <c r="CR525" s="62"/>
      <c r="CS525" s="62"/>
      <c r="CT525" s="62"/>
      <c r="CU525" s="62"/>
      <c r="CX525" s="62"/>
      <c r="CZ525" s="62"/>
    </row>
    <row r="526" spans="93:104" ht="14.25" customHeight="1">
      <c r="CO526" s="63"/>
      <c r="CP526" s="63"/>
      <c r="CQ526" s="64"/>
      <c r="CR526" s="62"/>
      <c r="CS526" s="62"/>
      <c r="CT526" s="62"/>
      <c r="CU526" s="62"/>
      <c r="CX526" s="62"/>
      <c r="CZ526" s="62"/>
    </row>
    <row r="527" spans="93:104" ht="14.25" customHeight="1">
      <c r="CO527" s="63"/>
      <c r="CP527" s="63"/>
      <c r="CQ527" s="64"/>
      <c r="CR527" s="62"/>
      <c r="CS527" s="62"/>
      <c r="CT527" s="62"/>
      <c r="CU527" s="62"/>
      <c r="CX527" s="62"/>
      <c r="CZ527" s="62"/>
    </row>
    <row r="528" spans="93:104" ht="14.25" customHeight="1">
      <c r="CO528" s="63"/>
      <c r="CP528" s="63"/>
      <c r="CQ528" s="64"/>
      <c r="CR528" s="62"/>
      <c r="CS528" s="62"/>
      <c r="CT528" s="62"/>
      <c r="CU528" s="62"/>
      <c r="CX528" s="62"/>
      <c r="CZ528" s="62"/>
    </row>
    <row r="529" spans="93:104" ht="14.25" customHeight="1">
      <c r="CO529" s="63"/>
      <c r="CP529" s="63"/>
      <c r="CQ529" s="64"/>
      <c r="CR529" s="62"/>
      <c r="CS529" s="62"/>
      <c r="CT529" s="62"/>
      <c r="CU529" s="62"/>
      <c r="CX529" s="62"/>
      <c r="CZ529" s="62"/>
    </row>
    <row r="530" spans="93:104" ht="14.25" customHeight="1">
      <c r="CO530" s="63"/>
      <c r="CP530" s="63"/>
      <c r="CQ530" s="64"/>
      <c r="CR530" s="62"/>
      <c r="CS530" s="62"/>
      <c r="CT530" s="62"/>
      <c r="CU530" s="62"/>
      <c r="CX530" s="62"/>
      <c r="CZ530" s="62"/>
    </row>
    <row r="531" spans="93:104" ht="14.25" customHeight="1">
      <c r="CO531" s="63"/>
      <c r="CP531" s="63"/>
      <c r="CQ531" s="64"/>
      <c r="CR531" s="62"/>
      <c r="CS531" s="62"/>
      <c r="CT531" s="62"/>
      <c r="CU531" s="62"/>
      <c r="CX531" s="62"/>
      <c r="CZ531" s="62"/>
    </row>
    <row r="532" spans="93:104" ht="14.25" customHeight="1">
      <c r="CO532" s="63"/>
      <c r="CP532" s="63"/>
      <c r="CQ532" s="64"/>
      <c r="CR532" s="62"/>
      <c r="CS532" s="62"/>
      <c r="CT532" s="62"/>
      <c r="CU532" s="62"/>
      <c r="CX532" s="62"/>
      <c r="CZ532" s="62"/>
    </row>
    <row r="533" spans="93:104" ht="14.25" customHeight="1">
      <c r="CO533" s="63"/>
      <c r="CP533" s="63"/>
      <c r="CQ533" s="64"/>
      <c r="CR533" s="62"/>
      <c r="CS533" s="62"/>
      <c r="CT533" s="62"/>
      <c r="CU533" s="62"/>
      <c r="CX533" s="62"/>
      <c r="CZ533" s="62"/>
    </row>
    <row r="534" spans="93:104" ht="14.25" customHeight="1">
      <c r="CO534" s="63"/>
      <c r="CP534" s="63"/>
      <c r="CQ534" s="64"/>
      <c r="CR534" s="62"/>
      <c r="CS534" s="62"/>
      <c r="CT534" s="62"/>
      <c r="CU534" s="62"/>
      <c r="CX534" s="62"/>
      <c r="CZ534" s="62"/>
    </row>
    <row r="535" spans="93:104" ht="14.25" customHeight="1">
      <c r="CO535" s="63"/>
      <c r="CP535" s="63"/>
      <c r="CQ535" s="64"/>
      <c r="CR535" s="62"/>
      <c r="CS535" s="62"/>
      <c r="CT535" s="62"/>
      <c r="CU535" s="62"/>
      <c r="CX535" s="62"/>
      <c r="CZ535" s="62"/>
    </row>
    <row r="536" spans="93:104" ht="14.25" customHeight="1">
      <c r="CO536" s="63"/>
      <c r="CP536" s="63"/>
      <c r="CQ536" s="64"/>
      <c r="CR536" s="62"/>
      <c r="CS536" s="62"/>
      <c r="CT536" s="62"/>
      <c r="CU536" s="62"/>
      <c r="CX536" s="62"/>
      <c r="CZ536" s="62"/>
    </row>
    <row r="537" spans="93:104" ht="14.25" customHeight="1">
      <c r="CO537" s="63"/>
      <c r="CP537" s="63"/>
      <c r="CQ537" s="64"/>
      <c r="CR537" s="62"/>
      <c r="CS537" s="62"/>
      <c r="CT537" s="62"/>
      <c r="CU537" s="62"/>
      <c r="CX537" s="62"/>
      <c r="CZ537" s="62"/>
    </row>
    <row r="538" spans="93:104" ht="14.25" customHeight="1">
      <c r="CO538" s="63"/>
      <c r="CP538" s="63"/>
      <c r="CQ538" s="64"/>
      <c r="CR538" s="62"/>
      <c r="CS538" s="62"/>
      <c r="CT538" s="62"/>
      <c r="CU538" s="62"/>
      <c r="CX538" s="62"/>
      <c r="CZ538" s="62"/>
    </row>
    <row r="539" spans="93:104" ht="14.25" customHeight="1">
      <c r="CO539" s="63"/>
      <c r="CP539" s="63"/>
      <c r="CQ539" s="64"/>
      <c r="CR539" s="62"/>
      <c r="CS539" s="62"/>
      <c r="CT539" s="62"/>
      <c r="CU539" s="62"/>
      <c r="CX539" s="62"/>
      <c r="CZ539" s="62"/>
    </row>
    <row r="540" spans="93:104" ht="14.25" customHeight="1">
      <c r="CO540" s="63"/>
      <c r="CP540" s="63"/>
      <c r="CQ540" s="64"/>
      <c r="CR540" s="62"/>
      <c r="CS540" s="62"/>
      <c r="CT540" s="62"/>
      <c r="CU540" s="62"/>
      <c r="CX540" s="62"/>
      <c r="CZ540" s="62"/>
    </row>
    <row r="541" spans="93:104" ht="14.25" customHeight="1">
      <c r="CO541" s="63"/>
      <c r="CP541" s="63"/>
      <c r="CQ541" s="64"/>
      <c r="CR541" s="62"/>
      <c r="CS541" s="62"/>
      <c r="CT541" s="62"/>
      <c r="CU541" s="62"/>
      <c r="CX541" s="62"/>
      <c r="CZ541" s="62"/>
    </row>
    <row r="542" spans="93:104" ht="14.25" customHeight="1">
      <c r="CO542" s="63"/>
      <c r="CP542" s="63"/>
      <c r="CQ542" s="64"/>
      <c r="CR542" s="62"/>
      <c r="CS542" s="62"/>
      <c r="CT542" s="62"/>
      <c r="CU542" s="62"/>
      <c r="CX542" s="62"/>
      <c r="CZ542" s="62"/>
    </row>
    <row r="543" spans="93:104" ht="14.25" customHeight="1">
      <c r="CO543" s="63"/>
      <c r="CP543" s="63"/>
      <c r="CQ543" s="64"/>
      <c r="CR543" s="62"/>
      <c r="CS543" s="62"/>
      <c r="CT543" s="62"/>
      <c r="CU543" s="62"/>
      <c r="CX543" s="62"/>
      <c r="CZ543" s="62"/>
    </row>
    <row r="544" spans="93:104" ht="14.25" customHeight="1">
      <c r="CO544" s="63"/>
      <c r="CP544" s="63"/>
      <c r="CQ544" s="64"/>
      <c r="CR544" s="62"/>
      <c r="CS544" s="62"/>
      <c r="CT544" s="62"/>
      <c r="CU544" s="62"/>
      <c r="CX544" s="62"/>
      <c r="CZ544" s="62"/>
    </row>
    <row r="545" spans="93:104" ht="14.25" customHeight="1">
      <c r="CO545" s="63"/>
      <c r="CP545" s="63"/>
      <c r="CQ545" s="64"/>
      <c r="CR545" s="62"/>
      <c r="CS545" s="62"/>
      <c r="CT545" s="62"/>
      <c r="CU545" s="62"/>
      <c r="CX545" s="62"/>
      <c r="CZ545" s="62"/>
    </row>
    <row r="546" spans="93:104" ht="14.25" customHeight="1">
      <c r="CO546" s="63"/>
      <c r="CP546" s="63"/>
      <c r="CQ546" s="64"/>
      <c r="CR546" s="62"/>
      <c r="CS546" s="62"/>
      <c r="CT546" s="62"/>
      <c r="CU546" s="62"/>
      <c r="CX546" s="62"/>
      <c r="CZ546" s="62"/>
    </row>
    <row r="547" spans="93:104" ht="14.25" customHeight="1">
      <c r="CO547" s="63"/>
      <c r="CP547" s="63"/>
      <c r="CQ547" s="64"/>
      <c r="CR547" s="62"/>
      <c r="CS547" s="62"/>
      <c r="CT547" s="62"/>
      <c r="CU547" s="62"/>
      <c r="CX547" s="62"/>
      <c r="CZ547" s="62"/>
    </row>
    <row r="548" spans="93:104" ht="14.25" customHeight="1">
      <c r="CO548" s="63"/>
      <c r="CP548" s="63"/>
      <c r="CQ548" s="64"/>
      <c r="CR548" s="62"/>
      <c r="CS548" s="62"/>
      <c r="CT548" s="62"/>
      <c r="CU548" s="62"/>
      <c r="CX548" s="62"/>
      <c r="CZ548" s="62"/>
    </row>
    <row r="549" spans="93:104" ht="14.25" customHeight="1">
      <c r="CO549" s="63"/>
      <c r="CP549" s="63"/>
      <c r="CQ549" s="64"/>
      <c r="CR549" s="62"/>
      <c r="CS549" s="62"/>
      <c r="CT549" s="62"/>
      <c r="CU549" s="62"/>
      <c r="CX549" s="62"/>
      <c r="CZ549" s="62"/>
    </row>
    <row r="550" spans="93:104" ht="14.25" customHeight="1">
      <c r="CO550" s="63"/>
      <c r="CP550" s="63"/>
      <c r="CQ550" s="64"/>
      <c r="CR550" s="62"/>
      <c r="CS550" s="62"/>
      <c r="CT550" s="62"/>
      <c r="CU550" s="62"/>
      <c r="CX550" s="62"/>
      <c r="CZ550" s="62"/>
    </row>
    <row r="551" spans="93:104" ht="14.25" customHeight="1">
      <c r="CO551" s="63"/>
      <c r="CP551" s="63"/>
      <c r="CQ551" s="64"/>
      <c r="CR551" s="62"/>
      <c r="CS551" s="62"/>
      <c r="CT551" s="62"/>
      <c r="CU551" s="62"/>
      <c r="CX551" s="62"/>
      <c r="CZ551" s="62"/>
    </row>
    <row r="552" spans="93:104" ht="14.25" customHeight="1">
      <c r="CO552" s="63"/>
      <c r="CP552" s="63"/>
      <c r="CQ552" s="64"/>
      <c r="CR552" s="62"/>
      <c r="CS552" s="62"/>
      <c r="CT552" s="62"/>
      <c r="CU552" s="62"/>
      <c r="CX552" s="62"/>
      <c r="CZ552" s="62"/>
    </row>
    <row r="553" spans="93:104" ht="14.25" customHeight="1">
      <c r="CO553" s="63"/>
      <c r="CP553" s="63"/>
      <c r="CQ553" s="64"/>
      <c r="CR553" s="62"/>
      <c r="CS553" s="62"/>
      <c r="CT553" s="62"/>
      <c r="CU553" s="62"/>
      <c r="CX553" s="62"/>
      <c r="CZ553" s="62"/>
    </row>
    <row r="554" spans="93:104" ht="14.25" customHeight="1">
      <c r="CO554" s="63"/>
      <c r="CP554" s="63"/>
      <c r="CQ554" s="64"/>
      <c r="CR554" s="62"/>
      <c r="CS554" s="62"/>
      <c r="CT554" s="62"/>
      <c r="CU554" s="62"/>
      <c r="CX554" s="62"/>
      <c r="CZ554" s="62"/>
    </row>
    <row r="555" spans="93:104" ht="14.25" customHeight="1">
      <c r="CO555" s="63"/>
      <c r="CP555" s="63"/>
      <c r="CQ555" s="64"/>
      <c r="CR555" s="62"/>
      <c r="CS555" s="62"/>
      <c r="CT555" s="62"/>
      <c r="CU555" s="62"/>
      <c r="CX555" s="62"/>
      <c r="CZ555" s="62"/>
    </row>
    <row r="556" spans="93:104" ht="14.25" customHeight="1">
      <c r="CO556" s="63"/>
      <c r="CP556" s="63"/>
      <c r="CQ556" s="64"/>
      <c r="CR556" s="62"/>
      <c r="CS556" s="62"/>
      <c r="CT556" s="62"/>
      <c r="CU556" s="62"/>
      <c r="CX556" s="62"/>
      <c r="CZ556" s="62"/>
    </row>
    <row r="557" spans="93:104" ht="14.25" customHeight="1">
      <c r="CO557" s="63"/>
      <c r="CP557" s="63"/>
      <c r="CQ557" s="64"/>
      <c r="CR557" s="62"/>
      <c r="CS557" s="62"/>
      <c r="CT557" s="62"/>
      <c r="CU557" s="62"/>
      <c r="CX557" s="62"/>
      <c r="CZ557" s="62"/>
    </row>
    <row r="558" spans="93:104" ht="14.25" customHeight="1">
      <c r="CO558" s="63"/>
      <c r="CP558" s="63"/>
      <c r="CQ558" s="64"/>
      <c r="CR558" s="62"/>
      <c r="CS558" s="62"/>
      <c r="CT558" s="62"/>
      <c r="CU558" s="62"/>
      <c r="CX558" s="62"/>
      <c r="CZ558" s="62"/>
    </row>
    <row r="559" spans="93:104" ht="14.25" customHeight="1">
      <c r="CO559" s="63"/>
      <c r="CP559" s="63"/>
      <c r="CQ559" s="64"/>
      <c r="CR559" s="62"/>
      <c r="CS559" s="62"/>
      <c r="CT559" s="62"/>
      <c r="CU559" s="62"/>
      <c r="CX559" s="62"/>
      <c r="CZ559" s="62"/>
    </row>
    <row r="560" spans="93:104" ht="14.25" customHeight="1">
      <c r="CO560" s="63"/>
      <c r="CP560" s="63"/>
      <c r="CQ560" s="64"/>
      <c r="CR560" s="62"/>
      <c r="CS560" s="62"/>
      <c r="CT560" s="62"/>
      <c r="CU560" s="62"/>
      <c r="CX560" s="62"/>
      <c r="CZ560" s="62"/>
    </row>
    <row r="561" spans="93:104" ht="14.25" customHeight="1">
      <c r="CO561" s="63"/>
      <c r="CP561" s="63"/>
      <c r="CQ561" s="64"/>
      <c r="CR561" s="62"/>
      <c r="CS561" s="62"/>
      <c r="CT561" s="62"/>
      <c r="CU561" s="62"/>
      <c r="CX561" s="62"/>
      <c r="CZ561" s="62"/>
    </row>
    <row r="562" spans="93:104" ht="14.25" customHeight="1">
      <c r="CO562" s="63"/>
      <c r="CP562" s="63"/>
      <c r="CQ562" s="64"/>
      <c r="CR562" s="62"/>
      <c r="CS562" s="62"/>
      <c r="CT562" s="62"/>
      <c r="CU562" s="62"/>
      <c r="CX562" s="62"/>
      <c r="CZ562" s="62"/>
    </row>
    <row r="563" spans="93:104" ht="14.25" customHeight="1">
      <c r="CO563" s="63"/>
      <c r="CP563" s="63"/>
      <c r="CQ563" s="64"/>
      <c r="CR563" s="62"/>
      <c r="CS563" s="62"/>
      <c r="CT563" s="62"/>
      <c r="CU563" s="62"/>
      <c r="CX563" s="62"/>
      <c r="CZ563" s="62"/>
    </row>
    <row r="564" spans="93:104" ht="14.25" customHeight="1">
      <c r="CO564" s="63"/>
      <c r="CP564" s="63"/>
      <c r="CQ564" s="64"/>
      <c r="CR564" s="62"/>
      <c r="CS564" s="62"/>
      <c r="CT564" s="62"/>
      <c r="CU564" s="62"/>
      <c r="CX564" s="62"/>
      <c r="CZ564" s="62"/>
    </row>
    <row r="565" spans="93:104" ht="14.25" customHeight="1">
      <c r="CO565" s="63"/>
      <c r="CP565" s="63"/>
      <c r="CQ565" s="64"/>
      <c r="CR565" s="62"/>
      <c r="CS565" s="62"/>
      <c r="CT565" s="62"/>
      <c r="CU565" s="62"/>
      <c r="CX565" s="62"/>
      <c r="CZ565" s="62"/>
    </row>
    <row r="566" spans="93:104" ht="14.25" customHeight="1">
      <c r="CO566" s="63"/>
      <c r="CP566" s="63"/>
      <c r="CQ566" s="64"/>
      <c r="CR566" s="62"/>
      <c r="CS566" s="62"/>
      <c r="CT566" s="62"/>
      <c r="CU566" s="62"/>
      <c r="CX566" s="62"/>
      <c r="CZ566" s="62"/>
    </row>
    <row r="567" spans="93:104" ht="14.25" customHeight="1">
      <c r="CO567" s="63"/>
      <c r="CP567" s="63"/>
      <c r="CQ567" s="64"/>
      <c r="CR567" s="62"/>
      <c r="CS567" s="62"/>
      <c r="CT567" s="62"/>
      <c r="CU567" s="62"/>
      <c r="CX567" s="62"/>
      <c r="CZ567" s="62"/>
    </row>
    <row r="568" spans="93:104" ht="14.25" customHeight="1">
      <c r="CO568" s="63"/>
      <c r="CP568" s="63"/>
      <c r="CQ568" s="64"/>
      <c r="CR568" s="62"/>
      <c r="CS568" s="62"/>
      <c r="CT568" s="62"/>
      <c r="CU568" s="62"/>
      <c r="CX568" s="62"/>
      <c r="CZ568" s="62"/>
    </row>
    <row r="569" spans="93:104" ht="14.25" customHeight="1">
      <c r="CO569" s="63"/>
      <c r="CP569" s="63"/>
      <c r="CQ569" s="64"/>
      <c r="CR569" s="62"/>
      <c r="CS569" s="62"/>
      <c r="CT569" s="62"/>
      <c r="CU569" s="62"/>
      <c r="CX569" s="62"/>
      <c r="CZ569" s="62"/>
    </row>
    <row r="570" spans="93:104" ht="14.25" customHeight="1">
      <c r="CO570" s="63"/>
      <c r="CP570" s="63"/>
      <c r="CQ570" s="64"/>
      <c r="CR570" s="62"/>
      <c r="CS570" s="62"/>
      <c r="CT570" s="62"/>
      <c r="CU570" s="62"/>
      <c r="CX570" s="62"/>
      <c r="CZ570" s="62"/>
    </row>
    <row r="571" spans="93:104" ht="14.25" customHeight="1">
      <c r="CO571" s="63"/>
      <c r="CP571" s="63"/>
      <c r="CQ571" s="64"/>
      <c r="CR571" s="62"/>
      <c r="CS571" s="62"/>
      <c r="CT571" s="62"/>
      <c r="CU571" s="62"/>
      <c r="CX571" s="62"/>
      <c r="CZ571" s="62"/>
    </row>
    <row r="572" spans="93:104" ht="14.25" customHeight="1">
      <c r="CO572" s="63"/>
      <c r="CP572" s="63"/>
      <c r="CQ572" s="64"/>
      <c r="CR572" s="62"/>
      <c r="CS572" s="62"/>
      <c r="CT572" s="62"/>
      <c r="CU572" s="62"/>
      <c r="CX572" s="62"/>
      <c r="CZ572" s="62"/>
    </row>
    <row r="573" spans="93:104" ht="14.25" customHeight="1">
      <c r="CO573" s="63"/>
      <c r="CP573" s="63"/>
      <c r="CQ573" s="64"/>
      <c r="CR573" s="62"/>
      <c r="CS573" s="62"/>
      <c r="CT573" s="62"/>
      <c r="CU573" s="62"/>
      <c r="CX573" s="62"/>
      <c r="CZ573" s="62"/>
    </row>
    <row r="574" spans="93:104" ht="14.25" customHeight="1">
      <c r="CO574" s="63"/>
      <c r="CP574" s="63"/>
      <c r="CQ574" s="64"/>
      <c r="CR574" s="62"/>
      <c r="CS574" s="62"/>
      <c r="CT574" s="62"/>
      <c r="CU574" s="62"/>
      <c r="CX574" s="62"/>
      <c r="CZ574" s="62"/>
    </row>
    <row r="575" spans="93:104" ht="14.25" customHeight="1">
      <c r="CO575" s="63"/>
      <c r="CP575" s="63"/>
      <c r="CQ575" s="64"/>
      <c r="CR575" s="62"/>
      <c r="CS575" s="62"/>
      <c r="CT575" s="62"/>
      <c r="CU575" s="62"/>
      <c r="CX575" s="62"/>
      <c r="CZ575" s="62"/>
    </row>
    <row r="576" spans="93:104" ht="14.25" customHeight="1">
      <c r="CO576" s="63"/>
      <c r="CP576" s="63"/>
      <c r="CQ576" s="64"/>
      <c r="CR576" s="62"/>
      <c r="CS576" s="62"/>
      <c r="CT576" s="62"/>
      <c r="CU576" s="62"/>
      <c r="CX576" s="62"/>
      <c r="CZ576" s="62"/>
    </row>
    <row r="577" spans="93:104" ht="14.25" customHeight="1">
      <c r="CO577" s="63"/>
      <c r="CP577" s="63"/>
      <c r="CQ577" s="64"/>
      <c r="CR577" s="62"/>
      <c r="CS577" s="62"/>
      <c r="CT577" s="62"/>
      <c r="CU577" s="62"/>
      <c r="CX577" s="62"/>
      <c r="CZ577" s="62"/>
    </row>
    <row r="578" spans="93:104" ht="14.25" customHeight="1">
      <c r="CO578" s="63"/>
      <c r="CP578" s="63"/>
      <c r="CQ578" s="64"/>
      <c r="CR578" s="62"/>
      <c r="CS578" s="62"/>
      <c r="CT578" s="62"/>
      <c r="CU578" s="62"/>
      <c r="CX578" s="62"/>
      <c r="CZ578" s="62"/>
    </row>
    <row r="579" spans="93:104" ht="14.25" customHeight="1">
      <c r="CO579" s="63"/>
      <c r="CP579" s="63"/>
      <c r="CQ579" s="64"/>
      <c r="CR579" s="62"/>
      <c r="CS579" s="62"/>
      <c r="CT579" s="62"/>
      <c r="CU579" s="62"/>
      <c r="CX579" s="62"/>
      <c r="CZ579" s="62"/>
    </row>
    <row r="580" spans="93:104" ht="14.25" customHeight="1">
      <c r="CO580" s="63"/>
      <c r="CP580" s="63"/>
      <c r="CQ580" s="64"/>
      <c r="CR580" s="62"/>
      <c r="CS580" s="62"/>
      <c r="CT580" s="62"/>
      <c r="CU580" s="62"/>
      <c r="CX580" s="62"/>
      <c r="CZ580" s="62"/>
    </row>
    <row r="581" spans="93:104" ht="14.25" customHeight="1">
      <c r="CO581" s="63"/>
      <c r="CP581" s="63"/>
      <c r="CQ581" s="64"/>
      <c r="CR581" s="62"/>
      <c r="CS581" s="62"/>
      <c r="CT581" s="62"/>
      <c r="CU581" s="62"/>
      <c r="CX581" s="62"/>
      <c r="CZ581" s="62"/>
    </row>
    <row r="582" spans="93:104" ht="14.25" customHeight="1">
      <c r="CO582" s="63"/>
      <c r="CP582" s="63"/>
      <c r="CQ582" s="64"/>
      <c r="CR582" s="62"/>
      <c r="CS582" s="62"/>
      <c r="CT582" s="62"/>
      <c r="CU582" s="62"/>
      <c r="CX582" s="62"/>
      <c r="CZ582" s="62"/>
    </row>
    <row r="583" spans="93:104" ht="14.25" customHeight="1">
      <c r="CO583" s="63"/>
      <c r="CP583" s="63"/>
      <c r="CQ583" s="64"/>
      <c r="CR583" s="62"/>
      <c r="CS583" s="62"/>
      <c r="CT583" s="62"/>
      <c r="CU583" s="62"/>
      <c r="CX583" s="62"/>
      <c r="CZ583" s="62"/>
    </row>
    <row r="584" spans="93:104" ht="14.25" customHeight="1">
      <c r="CO584" s="63"/>
      <c r="CP584" s="63"/>
      <c r="CQ584" s="64"/>
      <c r="CR584" s="62"/>
      <c r="CS584" s="62"/>
      <c r="CT584" s="62"/>
      <c r="CU584" s="62"/>
      <c r="CX584" s="62"/>
      <c r="CZ584" s="62"/>
    </row>
    <row r="585" spans="93:104" ht="14.25" customHeight="1">
      <c r="CO585" s="63"/>
      <c r="CP585" s="63"/>
      <c r="CQ585" s="64"/>
      <c r="CR585" s="62"/>
      <c r="CS585" s="62"/>
      <c r="CT585" s="62"/>
      <c r="CU585" s="62"/>
      <c r="CX585" s="62"/>
      <c r="CZ585" s="62"/>
    </row>
    <row r="586" spans="93:104" ht="14.25" customHeight="1">
      <c r="CO586" s="63"/>
      <c r="CP586" s="63"/>
      <c r="CQ586" s="64"/>
      <c r="CR586" s="62"/>
      <c r="CS586" s="62"/>
      <c r="CT586" s="62"/>
      <c r="CU586" s="62"/>
      <c r="CX586" s="62"/>
      <c r="CZ586" s="62"/>
    </row>
    <row r="587" spans="93:104" ht="14.25" customHeight="1">
      <c r="CO587" s="63"/>
      <c r="CP587" s="63"/>
      <c r="CQ587" s="64"/>
      <c r="CR587" s="62"/>
      <c r="CS587" s="62"/>
      <c r="CT587" s="62"/>
      <c r="CU587" s="62"/>
      <c r="CX587" s="62"/>
      <c r="CZ587" s="62"/>
    </row>
    <row r="588" spans="93:104" ht="14.25" customHeight="1">
      <c r="CO588" s="63"/>
      <c r="CP588" s="63"/>
      <c r="CQ588" s="64"/>
      <c r="CR588" s="62"/>
      <c r="CS588" s="62"/>
      <c r="CT588" s="62"/>
      <c r="CU588" s="62"/>
      <c r="CX588" s="62"/>
      <c r="CZ588" s="62"/>
    </row>
    <row r="589" spans="93:104" ht="14.25" customHeight="1">
      <c r="CO589" s="63"/>
      <c r="CP589" s="63"/>
      <c r="CQ589" s="64"/>
      <c r="CR589" s="62"/>
      <c r="CS589" s="62"/>
      <c r="CT589" s="62"/>
      <c r="CU589" s="62"/>
      <c r="CX589" s="62"/>
      <c r="CZ589" s="62"/>
    </row>
    <row r="590" spans="93:104" ht="14.25" customHeight="1">
      <c r="CO590" s="63"/>
      <c r="CP590" s="63"/>
      <c r="CQ590" s="64"/>
      <c r="CR590" s="62"/>
      <c r="CS590" s="62"/>
      <c r="CT590" s="62"/>
      <c r="CU590" s="62"/>
      <c r="CX590" s="62"/>
      <c r="CZ590" s="62"/>
    </row>
    <row r="591" spans="93:104" ht="14.25" customHeight="1">
      <c r="CO591" s="63"/>
      <c r="CP591" s="63"/>
      <c r="CQ591" s="64"/>
      <c r="CR591" s="62"/>
      <c r="CS591" s="62"/>
      <c r="CT591" s="62"/>
      <c r="CU591" s="62"/>
      <c r="CX591" s="62"/>
      <c r="CZ591" s="62"/>
    </row>
    <row r="592" spans="93:104" ht="14.25" customHeight="1">
      <c r="CO592" s="63"/>
      <c r="CP592" s="63"/>
      <c r="CQ592" s="64"/>
      <c r="CR592" s="62"/>
      <c r="CS592" s="62"/>
      <c r="CT592" s="62"/>
      <c r="CU592" s="62"/>
      <c r="CX592" s="62"/>
      <c r="CZ592" s="62"/>
    </row>
    <row r="593" spans="93:104" ht="14.25" customHeight="1">
      <c r="CO593" s="63"/>
      <c r="CP593" s="63"/>
      <c r="CQ593" s="64"/>
      <c r="CR593" s="62"/>
      <c r="CS593" s="62"/>
      <c r="CT593" s="62"/>
      <c r="CU593" s="62"/>
      <c r="CX593" s="62"/>
      <c r="CZ593" s="62"/>
    </row>
    <row r="594" spans="93:104" ht="14.25" customHeight="1">
      <c r="CO594" s="63"/>
      <c r="CP594" s="63"/>
      <c r="CQ594" s="64"/>
      <c r="CR594" s="62"/>
      <c r="CS594" s="62"/>
      <c r="CT594" s="62"/>
      <c r="CU594" s="62"/>
      <c r="CX594" s="62"/>
      <c r="CZ594" s="62"/>
    </row>
    <row r="595" spans="93:104" ht="14.25" customHeight="1">
      <c r="CO595" s="63"/>
      <c r="CP595" s="63"/>
      <c r="CQ595" s="64"/>
      <c r="CR595" s="62"/>
      <c r="CS595" s="62"/>
      <c r="CT595" s="62"/>
      <c r="CU595" s="62"/>
      <c r="CX595" s="62"/>
      <c r="CZ595" s="62"/>
    </row>
    <row r="596" spans="93:104" ht="14.25" customHeight="1">
      <c r="CO596" s="63"/>
      <c r="CP596" s="63"/>
      <c r="CQ596" s="64"/>
      <c r="CR596" s="62"/>
      <c r="CS596" s="62"/>
      <c r="CT596" s="62"/>
      <c r="CU596" s="62"/>
      <c r="CX596" s="62"/>
      <c r="CZ596" s="62"/>
    </row>
    <row r="597" spans="93:104" ht="14.25" customHeight="1">
      <c r="CO597" s="63"/>
      <c r="CP597" s="63"/>
      <c r="CQ597" s="64"/>
      <c r="CR597" s="62"/>
      <c r="CS597" s="62"/>
      <c r="CT597" s="62"/>
      <c r="CU597" s="62"/>
      <c r="CX597" s="62"/>
      <c r="CZ597" s="62"/>
    </row>
    <row r="598" spans="93:104" ht="14.25" customHeight="1">
      <c r="CO598" s="63"/>
      <c r="CP598" s="63"/>
      <c r="CQ598" s="64"/>
      <c r="CR598" s="62"/>
      <c r="CS598" s="62"/>
      <c r="CT598" s="62"/>
      <c r="CU598" s="62"/>
      <c r="CX598" s="62"/>
      <c r="CZ598" s="62"/>
    </row>
    <row r="599" spans="93:104" ht="14.25" customHeight="1">
      <c r="CO599" s="63"/>
      <c r="CP599" s="63"/>
      <c r="CQ599" s="64"/>
      <c r="CR599" s="62"/>
      <c r="CS599" s="62"/>
      <c r="CT599" s="62"/>
      <c r="CU599" s="62"/>
      <c r="CX599" s="62"/>
      <c r="CZ599" s="62"/>
    </row>
    <row r="600" spans="93:104" ht="14.25" customHeight="1">
      <c r="CO600" s="63"/>
      <c r="CP600" s="63"/>
      <c r="CQ600" s="64"/>
      <c r="CR600" s="62"/>
      <c r="CS600" s="62"/>
      <c r="CT600" s="62"/>
      <c r="CU600" s="62"/>
      <c r="CX600" s="62"/>
      <c r="CZ600" s="62"/>
    </row>
    <row r="601" spans="93:104" ht="14.25" customHeight="1">
      <c r="CO601" s="63"/>
      <c r="CP601" s="63"/>
      <c r="CQ601" s="64"/>
      <c r="CR601" s="62"/>
      <c r="CS601" s="62"/>
      <c r="CT601" s="62"/>
      <c r="CU601" s="62"/>
      <c r="CX601" s="62"/>
      <c r="CZ601" s="62"/>
    </row>
    <row r="602" spans="93:104" ht="14.25" customHeight="1">
      <c r="CO602" s="63"/>
      <c r="CP602" s="63"/>
      <c r="CQ602" s="64"/>
      <c r="CR602" s="62"/>
      <c r="CS602" s="62"/>
      <c r="CT602" s="62"/>
      <c r="CU602" s="62"/>
      <c r="CX602" s="62"/>
      <c r="CZ602" s="62"/>
    </row>
    <row r="603" spans="93:104" ht="14.25" customHeight="1">
      <c r="CO603" s="63"/>
      <c r="CP603" s="63"/>
      <c r="CQ603" s="64"/>
      <c r="CR603" s="62"/>
      <c r="CS603" s="62"/>
      <c r="CT603" s="62"/>
      <c r="CU603" s="62"/>
      <c r="CX603" s="62"/>
      <c r="CZ603" s="62"/>
    </row>
    <row r="604" spans="93:104" ht="14.25" customHeight="1">
      <c r="CO604" s="63"/>
      <c r="CP604" s="63"/>
      <c r="CQ604" s="64"/>
      <c r="CR604" s="62"/>
      <c r="CS604" s="62"/>
      <c r="CT604" s="62"/>
      <c r="CU604" s="62"/>
      <c r="CX604" s="62"/>
      <c r="CZ604" s="62"/>
    </row>
    <row r="605" spans="93:104" ht="14.25" customHeight="1">
      <c r="CO605" s="63"/>
      <c r="CP605" s="63"/>
      <c r="CQ605" s="64"/>
      <c r="CR605" s="62"/>
      <c r="CS605" s="62"/>
      <c r="CT605" s="62"/>
      <c r="CU605" s="62"/>
      <c r="CX605" s="62"/>
      <c r="CZ605" s="62"/>
    </row>
    <row r="606" spans="93:104" ht="14.25" customHeight="1">
      <c r="CO606" s="63"/>
      <c r="CP606" s="63"/>
      <c r="CQ606" s="64"/>
      <c r="CR606" s="62"/>
      <c r="CS606" s="62"/>
      <c r="CT606" s="62"/>
      <c r="CU606" s="62"/>
      <c r="CX606" s="62"/>
      <c r="CZ606" s="62"/>
    </row>
    <row r="607" spans="93:104" ht="14.25" customHeight="1">
      <c r="CO607" s="63"/>
      <c r="CP607" s="63"/>
      <c r="CQ607" s="64"/>
      <c r="CR607" s="62"/>
      <c r="CS607" s="62"/>
      <c r="CT607" s="62"/>
      <c r="CU607" s="62"/>
      <c r="CX607" s="62"/>
      <c r="CZ607" s="62"/>
    </row>
    <row r="608" spans="93:104" ht="14.25" customHeight="1">
      <c r="CO608" s="63"/>
      <c r="CP608" s="63"/>
      <c r="CQ608" s="64"/>
      <c r="CR608" s="62"/>
      <c r="CS608" s="62"/>
      <c r="CT608" s="62"/>
      <c r="CU608" s="62"/>
      <c r="CX608" s="62"/>
      <c r="CZ608" s="62"/>
    </row>
    <row r="609" spans="93:104" ht="14.25" customHeight="1">
      <c r="CO609" s="63"/>
      <c r="CP609" s="63"/>
      <c r="CQ609" s="64"/>
      <c r="CR609" s="62"/>
      <c r="CS609" s="62"/>
      <c r="CT609" s="62"/>
      <c r="CU609" s="62"/>
      <c r="CX609" s="62"/>
      <c r="CZ609" s="62"/>
    </row>
    <row r="610" spans="93:104" ht="14.25" customHeight="1">
      <c r="CO610" s="63"/>
      <c r="CP610" s="63"/>
      <c r="CQ610" s="64"/>
      <c r="CR610" s="62"/>
      <c r="CS610" s="62"/>
      <c r="CT610" s="62"/>
      <c r="CU610" s="62"/>
      <c r="CX610" s="62"/>
      <c r="CZ610" s="62"/>
    </row>
    <row r="611" spans="93:104" ht="14.25" customHeight="1">
      <c r="CO611" s="63"/>
      <c r="CP611" s="63"/>
      <c r="CQ611" s="64"/>
      <c r="CR611" s="62"/>
      <c r="CS611" s="62"/>
      <c r="CT611" s="62"/>
      <c r="CU611" s="62"/>
      <c r="CX611" s="62"/>
      <c r="CZ611" s="62"/>
    </row>
    <row r="612" spans="93:104" ht="14.25" customHeight="1">
      <c r="CO612" s="63"/>
      <c r="CP612" s="63"/>
      <c r="CQ612" s="64"/>
      <c r="CR612" s="62"/>
      <c r="CS612" s="62"/>
      <c r="CT612" s="62"/>
      <c r="CU612" s="62"/>
      <c r="CX612" s="62"/>
      <c r="CZ612" s="62"/>
    </row>
    <row r="613" spans="93:104" ht="14.25" customHeight="1">
      <c r="CO613" s="63"/>
      <c r="CP613" s="63"/>
      <c r="CQ613" s="64"/>
      <c r="CR613" s="62"/>
      <c r="CS613" s="62"/>
      <c r="CT613" s="62"/>
      <c r="CU613" s="62"/>
      <c r="CX613" s="62"/>
      <c r="CZ613" s="62"/>
    </row>
    <row r="614" spans="93:104" ht="14.25" customHeight="1">
      <c r="CO614" s="63"/>
      <c r="CP614" s="63"/>
      <c r="CQ614" s="64"/>
      <c r="CR614" s="62"/>
      <c r="CS614" s="62"/>
      <c r="CT614" s="62"/>
      <c r="CU614" s="62"/>
      <c r="CX614" s="62"/>
      <c r="CZ614" s="62"/>
    </row>
    <row r="615" spans="93:104" ht="14.25" customHeight="1">
      <c r="CO615" s="63"/>
      <c r="CP615" s="63"/>
      <c r="CQ615" s="64"/>
      <c r="CR615" s="62"/>
      <c r="CS615" s="62"/>
      <c r="CT615" s="62"/>
      <c r="CU615" s="62"/>
      <c r="CX615" s="62"/>
      <c r="CZ615" s="62"/>
    </row>
    <row r="616" spans="93:104" ht="14.25" customHeight="1">
      <c r="CO616" s="63"/>
      <c r="CP616" s="63"/>
      <c r="CQ616" s="64"/>
      <c r="CR616" s="62"/>
      <c r="CS616" s="62"/>
      <c r="CT616" s="62"/>
      <c r="CU616" s="62"/>
      <c r="CX616" s="62"/>
      <c r="CZ616" s="62"/>
    </row>
    <row r="617" spans="93:104" ht="14.25" customHeight="1">
      <c r="CO617" s="63"/>
      <c r="CP617" s="63"/>
      <c r="CQ617" s="64"/>
      <c r="CR617" s="62"/>
      <c r="CS617" s="62"/>
      <c r="CT617" s="62"/>
      <c r="CU617" s="62"/>
      <c r="CX617" s="62"/>
      <c r="CZ617" s="62"/>
    </row>
    <row r="618" spans="93:104" ht="14.25" customHeight="1">
      <c r="CO618" s="63"/>
      <c r="CP618" s="63"/>
      <c r="CQ618" s="64"/>
      <c r="CR618" s="62"/>
      <c r="CS618" s="62"/>
      <c r="CT618" s="62"/>
      <c r="CU618" s="62"/>
      <c r="CX618" s="62"/>
      <c r="CZ618" s="62"/>
    </row>
    <row r="619" spans="93:104" ht="14.25" customHeight="1">
      <c r="CO619" s="63"/>
      <c r="CP619" s="63"/>
      <c r="CQ619" s="64"/>
      <c r="CR619" s="62"/>
      <c r="CS619" s="62"/>
      <c r="CT619" s="62"/>
      <c r="CU619" s="62"/>
      <c r="CX619" s="62"/>
      <c r="CZ619" s="62"/>
    </row>
    <row r="620" spans="93:104" ht="14.25" customHeight="1">
      <c r="CO620" s="63"/>
      <c r="CP620" s="63"/>
      <c r="CQ620" s="64"/>
      <c r="CR620" s="62"/>
      <c r="CS620" s="62"/>
      <c r="CT620" s="62"/>
      <c r="CU620" s="62"/>
      <c r="CX620" s="62"/>
      <c r="CZ620" s="62"/>
    </row>
    <row r="621" spans="93:104" ht="14.25" customHeight="1">
      <c r="CO621" s="63"/>
      <c r="CP621" s="63"/>
      <c r="CQ621" s="64"/>
      <c r="CR621" s="62"/>
      <c r="CS621" s="62"/>
      <c r="CT621" s="62"/>
      <c r="CU621" s="62"/>
      <c r="CX621" s="62"/>
      <c r="CZ621" s="62"/>
    </row>
    <row r="622" spans="93:104" ht="14.25" customHeight="1">
      <c r="CO622" s="63"/>
      <c r="CP622" s="63"/>
      <c r="CQ622" s="64"/>
      <c r="CR622" s="62"/>
      <c r="CS622" s="62"/>
      <c r="CT622" s="62"/>
      <c r="CU622" s="62"/>
      <c r="CX622" s="62"/>
      <c r="CZ622" s="62"/>
    </row>
    <row r="623" spans="93:104" ht="14.25" customHeight="1">
      <c r="CO623" s="63"/>
      <c r="CP623" s="63"/>
      <c r="CQ623" s="64"/>
      <c r="CR623" s="62"/>
      <c r="CS623" s="62"/>
      <c r="CT623" s="62"/>
      <c r="CU623" s="62"/>
      <c r="CX623" s="62"/>
      <c r="CZ623" s="62"/>
    </row>
    <row r="624" spans="93:104" ht="14.25" customHeight="1">
      <c r="CO624" s="63"/>
      <c r="CP624" s="63"/>
      <c r="CQ624" s="64"/>
      <c r="CR624" s="62"/>
      <c r="CS624" s="62"/>
      <c r="CT624" s="62"/>
      <c r="CU624" s="62"/>
      <c r="CX624" s="62"/>
      <c r="CZ624" s="62"/>
    </row>
    <row r="625" spans="93:104" ht="14.25" customHeight="1">
      <c r="CO625" s="63"/>
      <c r="CP625" s="63"/>
      <c r="CQ625" s="64"/>
      <c r="CR625" s="62"/>
      <c r="CS625" s="62"/>
      <c r="CT625" s="62"/>
      <c r="CU625" s="62"/>
      <c r="CX625" s="62"/>
      <c r="CZ625" s="62"/>
    </row>
    <row r="626" spans="93:104" ht="14.25" customHeight="1">
      <c r="CO626" s="63"/>
      <c r="CP626" s="63"/>
      <c r="CQ626" s="64"/>
      <c r="CR626" s="62"/>
      <c r="CS626" s="62"/>
      <c r="CT626" s="62"/>
      <c r="CU626" s="62"/>
      <c r="CX626" s="62"/>
      <c r="CZ626" s="62"/>
    </row>
    <row r="627" spans="93:104" ht="14.25" customHeight="1">
      <c r="CO627" s="63"/>
      <c r="CP627" s="63"/>
      <c r="CQ627" s="64"/>
      <c r="CR627" s="62"/>
      <c r="CS627" s="62"/>
      <c r="CT627" s="62"/>
      <c r="CU627" s="62"/>
      <c r="CX627" s="62"/>
      <c r="CZ627" s="62"/>
    </row>
    <row r="628" spans="93:104" ht="14.25" customHeight="1">
      <c r="CO628" s="63"/>
      <c r="CP628" s="63"/>
      <c r="CQ628" s="64"/>
      <c r="CR628" s="62"/>
      <c r="CS628" s="62"/>
      <c r="CT628" s="62"/>
      <c r="CU628" s="62"/>
      <c r="CX628" s="62"/>
      <c r="CZ628" s="62"/>
    </row>
    <row r="629" spans="93:104" ht="14.25" customHeight="1">
      <c r="CO629" s="63"/>
      <c r="CP629" s="63"/>
      <c r="CQ629" s="64"/>
      <c r="CR629" s="62"/>
      <c r="CS629" s="62"/>
      <c r="CT629" s="62"/>
      <c r="CU629" s="62"/>
      <c r="CX629" s="62"/>
      <c r="CZ629" s="62"/>
    </row>
    <row r="630" spans="93:104" ht="14.25" customHeight="1">
      <c r="CO630" s="63"/>
      <c r="CP630" s="63"/>
      <c r="CQ630" s="64"/>
      <c r="CR630" s="62"/>
      <c r="CS630" s="62"/>
      <c r="CT630" s="62"/>
      <c r="CU630" s="62"/>
      <c r="CX630" s="62"/>
      <c r="CZ630" s="62"/>
    </row>
    <row r="631" spans="93:104" ht="14.25" customHeight="1">
      <c r="CO631" s="63"/>
      <c r="CP631" s="63"/>
      <c r="CQ631" s="64"/>
      <c r="CR631" s="62"/>
      <c r="CS631" s="62"/>
      <c r="CT631" s="62"/>
      <c r="CU631" s="62"/>
      <c r="CX631" s="62"/>
      <c r="CZ631" s="62"/>
    </row>
    <row r="632" spans="93:104" ht="14.25" customHeight="1">
      <c r="CO632" s="63"/>
      <c r="CP632" s="63"/>
      <c r="CQ632" s="64"/>
      <c r="CR632" s="62"/>
      <c r="CS632" s="62"/>
      <c r="CT632" s="62"/>
      <c r="CU632" s="62"/>
      <c r="CX632" s="62"/>
      <c r="CZ632" s="62"/>
    </row>
    <row r="633" spans="93:104" ht="14.25" customHeight="1">
      <c r="CO633" s="63"/>
      <c r="CP633" s="63"/>
      <c r="CQ633" s="64"/>
      <c r="CR633" s="62"/>
      <c r="CS633" s="62"/>
      <c r="CT633" s="62"/>
      <c r="CU633" s="62"/>
      <c r="CX633" s="62"/>
      <c r="CZ633" s="62"/>
    </row>
    <row r="634" spans="93:104" ht="14.25" customHeight="1">
      <c r="CO634" s="63"/>
      <c r="CP634" s="63"/>
      <c r="CQ634" s="64"/>
      <c r="CR634" s="62"/>
      <c r="CS634" s="62"/>
      <c r="CT634" s="62"/>
      <c r="CU634" s="62"/>
      <c r="CX634" s="62"/>
      <c r="CZ634" s="62"/>
    </row>
    <row r="635" spans="93:104" ht="14.25" customHeight="1">
      <c r="CO635" s="63"/>
      <c r="CP635" s="63"/>
      <c r="CQ635" s="64"/>
      <c r="CR635" s="62"/>
      <c r="CS635" s="62"/>
      <c r="CT635" s="62"/>
      <c r="CU635" s="62"/>
      <c r="CX635" s="62"/>
      <c r="CZ635" s="62"/>
    </row>
    <row r="636" spans="93:104" ht="14.25" customHeight="1">
      <c r="CO636" s="63"/>
      <c r="CP636" s="63"/>
      <c r="CQ636" s="64"/>
      <c r="CR636" s="62"/>
      <c r="CS636" s="62"/>
      <c r="CT636" s="62"/>
      <c r="CU636" s="62"/>
      <c r="CX636" s="62"/>
      <c r="CZ636" s="62"/>
    </row>
    <row r="637" spans="93:104" ht="14.25" customHeight="1">
      <c r="CO637" s="63"/>
      <c r="CP637" s="63"/>
      <c r="CQ637" s="64"/>
      <c r="CR637" s="62"/>
      <c r="CS637" s="62"/>
      <c r="CT637" s="62"/>
      <c r="CU637" s="62"/>
      <c r="CX637" s="62"/>
      <c r="CZ637" s="62"/>
    </row>
    <row r="638" spans="93:104" ht="14.25" customHeight="1">
      <c r="CO638" s="63"/>
      <c r="CP638" s="63"/>
      <c r="CQ638" s="64"/>
      <c r="CR638" s="62"/>
      <c r="CS638" s="62"/>
      <c r="CT638" s="62"/>
      <c r="CU638" s="62"/>
      <c r="CX638" s="62"/>
      <c r="CZ638" s="62"/>
    </row>
    <row r="639" spans="93:104" ht="14.25" customHeight="1">
      <c r="CO639" s="63"/>
      <c r="CP639" s="63"/>
      <c r="CQ639" s="64"/>
      <c r="CR639" s="62"/>
      <c r="CS639" s="62"/>
      <c r="CT639" s="62"/>
      <c r="CU639" s="62"/>
      <c r="CX639" s="62"/>
      <c r="CZ639" s="62"/>
    </row>
    <row r="640" spans="93:104" ht="14.25" customHeight="1">
      <c r="CO640" s="63"/>
      <c r="CP640" s="63"/>
      <c r="CQ640" s="64"/>
      <c r="CR640" s="62"/>
      <c r="CS640" s="62"/>
      <c r="CT640" s="62"/>
      <c r="CU640" s="62"/>
      <c r="CX640" s="62"/>
      <c r="CZ640" s="62"/>
    </row>
    <row r="641" spans="93:104" ht="14.25" customHeight="1">
      <c r="CO641" s="63"/>
      <c r="CP641" s="63"/>
      <c r="CQ641" s="64"/>
      <c r="CR641" s="62"/>
      <c r="CS641" s="62"/>
      <c r="CT641" s="62"/>
      <c r="CU641" s="62"/>
      <c r="CX641" s="62"/>
      <c r="CZ641" s="62"/>
    </row>
    <row r="642" spans="93:104" ht="14.25" customHeight="1">
      <c r="CO642" s="63"/>
      <c r="CP642" s="63"/>
      <c r="CQ642" s="64"/>
      <c r="CR642" s="62"/>
      <c r="CS642" s="62"/>
      <c r="CT642" s="62"/>
      <c r="CU642" s="62"/>
      <c r="CX642" s="62"/>
      <c r="CZ642" s="62"/>
    </row>
    <row r="643" spans="93:104" ht="14.25" customHeight="1">
      <c r="CO643" s="63"/>
      <c r="CP643" s="63"/>
      <c r="CQ643" s="64"/>
      <c r="CR643" s="62"/>
      <c r="CS643" s="62"/>
      <c r="CT643" s="62"/>
      <c r="CU643" s="62"/>
      <c r="CX643" s="62"/>
      <c r="CZ643" s="62"/>
    </row>
    <row r="644" spans="93:104" ht="14.25" customHeight="1">
      <c r="CO644" s="63"/>
      <c r="CP644" s="63"/>
      <c r="CQ644" s="64"/>
      <c r="CR644" s="62"/>
      <c r="CS644" s="62"/>
      <c r="CT644" s="62"/>
      <c r="CU644" s="62"/>
      <c r="CX644" s="62"/>
      <c r="CZ644" s="62"/>
    </row>
    <row r="645" spans="93:104" ht="14.25" customHeight="1">
      <c r="CO645" s="63"/>
      <c r="CP645" s="63"/>
      <c r="CQ645" s="64"/>
      <c r="CR645" s="62"/>
      <c r="CS645" s="62"/>
      <c r="CT645" s="62"/>
      <c r="CU645" s="62"/>
      <c r="CX645" s="62"/>
      <c r="CZ645" s="62"/>
    </row>
    <row r="646" spans="93:104" ht="14.25" customHeight="1">
      <c r="CO646" s="63"/>
      <c r="CP646" s="63"/>
      <c r="CQ646" s="64"/>
      <c r="CR646" s="62"/>
      <c r="CS646" s="62"/>
      <c r="CT646" s="62"/>
      <c r="CU646" s="62"/>
      <c r="CX646" s="62"/>
      <c r="CZ646" s="62"/>
    </row>
    <row r="647" spans="93:104" ht="14.25" customHeight="1">
      <c r="CO647" s="63"/>
      <c r="CP647" s="63"/>
      <c r="CQ647" s="64"/>
      <c r="CR647" s="62"/>
      <c r="CS647" s="62"/>
      <c r="CT647" s="62"/>
      <c r="CU647" s="62"/>
      <c r="CX647" s="62"/>
      <c r="CZ647" s="62"/>
    </row>
    <row r="648" spans="93:104" ht="14.25" customHeight="1">
      <c r="CO648" s="63"/>
      <c r="CP648" s="63"/>
      <c r="CQ648" s="64"/>
      <c r="CR648" s="62"/>
      <c r="CS648" s="62"/>
      <c r="CT648" s="62"/>
      <c r="CU648" s="62"/>
      <c r="CX648" s="62"/>
      <c r="CZ648" s="62"/>
    </row>
    <row r="649" spans="93:104" ht="14.25" customHeight="1">
      <c r="CO649" s="63"/>
      <c r="CP649" s="63"/>
      <c r="CQ649" s="64"/>
      <c r="CR649" s="62"/>
      <c r="CS649" s="62"/>
      <c r="CT649" s="62"/>
      <c r="CU649" s="62"/>
      <c r="CX649" s="62"/>
      <c r="CZ649" s="62"/>
    </row>
    <row r="650" spans="93:104" ht="14.25" customHeight="1">
      <c r="CO650" s="63"/>
      <c r="CP650" s="63"/>
      <c r="CQ650" s="64"/>
      <c r="CR650" s="62"/>
      <c r="CS650" s="62"/>
      <c r="CT650" s="62"/>
      <c r="CU650" s="62"/>
      <c r="CX650" s="62"/>
      <c r="CZ650" s="62"/>
    </row>
    <row r="651" spans="93:104" ht="14.25" customHeight="1">
      <c r="CO651" s="63"/>
      <c r="CP651" s="63"/>
      <c r="CQ651" s="64"/>
      <c r="CR651" s="62"/>
      <c r="CS651" s="62"/>
      <c r="CT651" s="62"/>
      <c r="CU651" s="62"/>
      <c r="CX651" s="62"/>
      <c r="CZ651" s="62"/>
    </row>
    <row r="652" spans="93:104" ht="14.25" customHeight="1">
      <c r="CO652" s="63"/>
      <c r="CP652" s="63"/>
      <c r="CQ652" s="64"/>
      <c r="CR652" s="62"/>
      <c r="CS652" s="62"/>
      <c r="CT652" s="62"/>
      <c r="CU652" s="62"/>
      <c r="CX652" s="62"/>
      <c r="CZ652" s="62"/>
    </row>
    <row r="653" spans="93:104" ht="14.25" customHeight="1">
      <c r="CO653" s="63"/>
      <c r="CP653" s="63"/>
      <c r="CQ653" s="64"/>
      <c r="CR653" s="62"/>
      <c r="CS653" s="62"/>
      <c r="CT653" s="62"/>
      <c r="CU653" s="62"/>
      <c r="CX653" s="62"/>
      <c r="CZ653" s="62"/>
    </row>
    <row r="654" spans="93:104" ht="14.25" customHeight="1">
      <c r="CO654" s="63"/>
      <c r="CP654" s="63"/>
      <c r="CQ654" s="64"/>
      <c r="CR654" s="62"/>
      <c r="CS654" s="62"/>
      <c r="CT654" s="62"/>
      <c r="CU654" s="62"/>
      <c r="CX654" s="62"/>
      <c r="CZ654" s="62"/>
    </row>
    <row r="655" spans="93:104" ht="14.25" customHeight="1">
      <c r="CO655" s="63"/>
      <c r="CP655" s="63"/>
      <c r="CQ655" s="64"/>
      <c r="CR655" s="62"/>
      <c r="CS655" s="62"/>
      <c r="CT655" s="62"/>
      <c r="CU655" s="62"/>
      <c r="CX655" s="62"/>
      <c r="CZ655" s="62"/>
    </row>
    <row r="656" spans="93:104" ht="14.25" customHeight="1">
      <c r="CO656" s="63"/>
      <c r="CP656" s="63"/>
      <c r="CQ656" s="64"/>
      <c r="CR656" s="62"/>
      <c r="CS656" s="62"/>
      <c r="CT656" s="62"/>
      <c r="CU656" s="62"/>
      <c r="CX656" s="62"/>
      <c r="CZ656" s="62"/>
    </row>
    <row r="657" spans="93:104" ht="14.25" customHeight="1">
      <c r="CO657" s="63"/>
      <c r="CP657" s="63"/>
      <c r="CQ657" s="64"/>
      <c r="CR657" s="62"/>
      <c r="CS657" s="62"/>
      <c r="CT657" s="62"/>
      <c r="CU657" s="62"/>
      <c r="CX657" s="62"/>
      <c r="CZ657" s="62"/>
    </row>
    <row r="658" spans="93:104" ht="14.25" customHeight="1">
      <c r="CO658" s="63"/>
      <c r="CP658" s="63"/>
      <c r="CQ658" s="64"/>
      <c r="CR658" s="62"/>
      <c r="CS658" s="62"/>
      <c r="CT658" s="62"/>
      <c r="CU658" s="62"/>
      <c r="CX658" s="62"/>
      <c r="CZ658" s="62"/>
    </row>
    <row r="659" spans="93:104" ht="14.25" customHeight="1">
      <c r="CO659" s="63"/>
      <c r="CP659" s="63"/>
      <c r="CQ659" s="64"/>
      <c r="CR659" s="62"/>
      <c r="CS659" s="62"/>
      <c r="CT659" s="62"/>
      <c r="CU659" s="62"/>
      <c r="CX659" s="62"/>
      <c r="CZ659" s="62"/>
    </row>
    <row r="660" spans="93:104" ht="14.25" customHeight="1">
      <c r="CO660" s="63"/>
      <c r="CP660" s="63"/>
      <c r="CQ660" s="64"/>
      <c r="CR660" s="62"/>
      <c r="CS660" s="62"/>
      <c r="CT660" s="62"/>
      <c r="CU660" s="62"/>
      <c r="CX660" s="62"/>
      <c r="CZ660" s="62"/>
    </row>
    <row r="661" spans="93:104" ht="14.25" customHeight="1">
      <c r="CO661" s="63"/>
      <c r="CP661" s="63"/>
      <c r="CQ661" s="64"/>
      <c r="CR661" s="62"/>
      <c r="CS661" s="62"/>
      <c r="CT661" s="62"/>
      <c r="CU661" s="62"/>
      <c r="CX661" s="62"/>
      <c r="CZ661" s="62"/>
    </row>
    <row r="662" spans="93:104" ht="14.25" customHeight="1">
      <c r="CO662" s="63"/>
      <c r="CP662" s="63"/>
      <c r="CQ662" s="64"/>
      <c r="CR662" s="62"/>
      <c r="CS662" s="62"/>
      <c r="CT662" s="62"/>
      <c r="CU662" s="62"/>
      <c r="CX662" s="62"/>
      <c r="CZ662" s="62"/>
    </row>
    <row r="663" spans="93:104" ht="14.25" customHeight="1">
      <c r="CO663" s="63"/>
      <c r="CP663" s="63"/>
      <c r="CQ663" s="64"/>
      <c r="CR663" s="62"/>
      <c r="CS663" s="62"/>
      <c r="CT663" s="62"/>
      <c r="CU663" s="62"/>
      <c r="CX663" s="62"/>
      <c r="CZ663" s="62"/>
    </row>
    <row r="664" spans="93:104" ht="14.25" customHeight="1">
      <c r="CO664" s="63"/>
      <c r="CP664" s="63"/>
      <c r="CQ664" s="64"/>
      <c r="CR664" s="62"/>
      <c r="CS664" s="62"/>
      <c r="CT664" s="62"/>
      <c r="CU664" s="62"/>
      <c r="CX664" s="62"/>
      <c r="CZ664" s="62"/>
    </row>
    <row r="665" spans="93:104" ht="14.25" customHeight="1">
      <c r="CO665" s="63"/>
      <c r="CP665" s="63"/>
      <c r="CQ665" s="64"/>
      <c r="CR665" s="62"/>
      <c r="CS665" s="62"/>
      <c r="CT665" s="62"/>
      <c r="CU665" s="62"/>
      <c r="CX665" s="62"/>
      <c r="CZ665" s="62"/>
    </row>
    <row r="666" spans="93:104" ht="14.25" customHeight="1">
      <c r="CO666" s="63"/>
      <c r="CP666" s="63"/>
      <c r="CQ666" s="64"/>
      <c r="CR666" s="62"/>
      <c r="CS666" s="62"/>
      <c r="CT666" s="62"/>
      <c r="CU666" s="62"/>
      <c r="CX666" s="62"/>
      <c r="CZ666" s="62"/>
    </row>
    <row r="667" spans="93:104" ht="14.25" customHeight="1">
      <c r="CO667" s="63"/>
      <c r="CP667" s="63"/>
      <c r="CQ667" s="64"/>
      <c r="CR667" s="62"/>
      <c r="CS667" s="62"/>
      <c r="CT667" s="62"/>
      <c r="CU667" s="62"/>
      <c r="CX667" s="62"/>
      <c r="CZ667" s="62"/>
    </row>
    <row r="668" spans="93:104" ht="14.25" customHeight="1">
      <c r="CO668" s="63"/>
      <c r="CP668" s="63"/>
      <c r="CQ668" s="64"/>
      <c r="CR668" s="62"/>
      <c r="CS668" s="62"/>
      <c r="CT668" s="62"/>
      <c r="CU668" s="62"/>
      <c r="CX668" s="62"/>
      <c r="CZ668" s="62"/>
    </row>
    <row r="669" spans="93:104" ht="14.25" customHeight="1">
      <c r="CO669" s="63"/>
      <c r="CP669" s="63"/>
      <c r="CQ669" s="64"/>
      <c r="CR669" s="62"/>
      <c r="CS669" s="62"/>
      <c r="CT669" s="62"/>
      <c r="CU669" s="62"/>
      <c r="CX669" s="62"/>
      <c r="CZ669" s="62"/>
    </row>
    <row r="670" spans="93:104" ht="14.25" customHeight="1">
      <c r="CO670" s="63"/>
      <c r="CP670" s="63"/>
      <c r="CQ670" s="64"/>
      <c r="CR670" s="62"/>
      <c r="CS670" s="62"/>
      <c r="CT670" s="62"/>
      <c r="CU670" s="62"/>
      <c r="CX670" s="62"/>
      <c r="CZ670" s="62"/>
    </row>
    <row r="671" spans="93:104" ht="14.25" customHeight="1">
      <c r="CO671" s="63"/>
      <c r="CP671" s="63"/>
      <c r="CQ671" s="64"/>
      <c r="CR671" s="62"/>
      <c r="CS671" s="62"/>
      <c r="CT671" s="62"/>
      <c r="CU671" s="62"/>
      <c r="CX671" s="62"/>
      <c r="CZ671" s="62"/>
    </row>
    <row r="672" spans="93:104" ht="14.25" customHeight="1">
      <c r="CO672" s="63"/>
      <c r="CP672" s="63"/>
      <c r="CQ672" s="64"/>
      <c r="CR672" s="62"/>
      <c r="CS672" s="62"/>
      <c r="CT672" s="62"/>
      <c r="CU672" s="62"/>
      <c r="CX672" s="62"/>
      <c r="CZ672" s="62"/>
    </row>
    <row r="673" spans="93:104" ht="14.25" customHeight="1">
      <c r="CO673" s="63"/>
      <c r="CP673" s="63"/>
      <c r="CQ673" s="64"/>
      <c r="CR673" s="62"/>
      <c r="CS673" s="62"/>
      <c r="CT673" s="62"/>
      <c r="CU673" s="62"/>
      <c r="CX673" s="62"/>
      <c r="CZ673" s="62"/>
    </row>
    <row r="674" spans="93:104" ht="14.25" customHeight="1">
      <c r="CO674" s="63"/>
      <c r="CP674" s="63"/>
      <c r="CQ674" s="64"/>
      <c r="CR674" s="62"/>
      <c r="CS674" s="62"/>
      <c r="CT674" s="62"/>
      <c r="CU674" s="62"/>
      <c r="CX674" s="62"/>
      <c r="CZ674" s="62"/>
    </row>
    <row r="675" spans="93:104" ht="14.25" customHeight="1">
      <c r="CO675" s="63"/>
      <c r="CP675" s="63"/>
      <c r="CQ675" s="64"/>
      <c r="CR675" s="62"/>
      <c r="CS675" s="62"/>
      <c r="CT675" s="62"/>
      <c r="CU675" s="62"/>
      <c r="CX675" s="62"/>
      <c r="CZ675" s="62"/>
    </row>
    <row r="676" spans="93:104" ht="14.25" customHeight="1">
      <c r="CO676" s="63"/>
      <c r="CP676" s="63"/>
      <c r="CQ676" s="64"/>
      <c r="CR676" s="62"/>
      <c r="CS676" s="62"/>
      <c r="CT676" s="62"/>
      <c r="CU676" s="62"/>
      <c r="CX676" s="62"/>
      <c r="CZ676" s="62"/>
    </row>
    <row r="677" spans="93:104" ht="14.25" customHeight="1">
      <c r="CO677" s="63"/>
      <c r="CP677" s="63"/>
      <c r="CQ677" s="64"/>
      <c r="CR677" s="62"/>
      <c r="CS677" s="62"/>
      <c r="CT677" s="62"/>
      <c r="CU677" s="62"/>
      <c r="CX677" s="62"/>
      <c r="CZ677" s="62"/>
    </row>
    <row r="678" spans="93:104" ht="14.25" customHeight="1">
      <c r="CO678" s="63"/>
      <c r="CP678" s="63"/>
      <c r="CQ678" s="64"/>
      <c r="CR678" s="62"/>
      <c r="CS678" s="62"/>
      <c r="CT678" s="62"/>
      <c r="CU678" s="62"/>
      <c r="CX678" s="62"/>
      <c r="CZ678" s="62"/>
    </row>
    <row r="679" spans="93:104" ht="14.25" customHeight="1">
      <c r="CO679" s="63"/>
      <c r="CP679" s="63"/>
      <c r="CQ679" s="64"/>
      <c r="CR679" s="62"/>
      <c r="CS679" s="62"/>
      <c r="CT679" s="62"/>
      <c r="CU679" s="62"/>
      <c r="CX679" s="62"/>
      <c r="CZ679" s="62"/>
    </row>
    <row r="680" spans="93:104" ht="14.25" customHeight="1">
      <c r="CO680" s="63"/>
      <c r="CP680" s="63"/>
      <c r="CQ680" s="64"/>
      <c r="CR680" s="62"/>
      <c r="CS680" s="62"/>
      <c r="CT680" s="62"/>
      <c r="CU680" s="62"/>
      <c r="CX680" s="62"/>
      <c r="CZ680" s="62"/>
    </row>
    <row r="681" spans="93:104" ht="14.25" customHeight="1">
      <c r="CO681" s="63"/>
      <c r="CP681" s="63"/>
      <c r="CQ681" s="64"/>
      <c r="CR681" s="62"/>
      <c r="CS681" s="62"/>
      <c r="CT681" s="62"/>
      <c r="CU681" s="62"/>
      <c r="CX681" s="62"/>
      <c r="CZ681" s="62"/>
    </row>
    <row r="682" spans="93:104" ht="14.25" customHeight="1">
      <c r="CO682" s="63"/>
      <c r="CP682" s="63"/>
      <c r="CQ682" s="64"/>
      <c r="CR682" s="62"/>
      <c r="CS682" s="62"/>
      <c r="CT682" s="62"/>
      <c r="CU682" s="62"/>
      <c r="CX682" s="62"/>
      <c r="CZ682" s="62"/>
    </row>
    <row r="683" spans="93:104" ht="14.25" customHeight="1">
      <c r="CO683" s="63"/>
      <c r="CP683" s="63"/>
      <c r="CQ683" s="64"/>
      <c r="CR683" s="62"/>
      <c r="CS683" s="62"/>
      <c r="CT683" s="62"/>
      <c r="CU683" s="62"/>
      <c r="CX683" s="62"/>
      <c r="CZ683" s="62"/>
    </row>
    <row r="684" spans="93:104" ht="14.25" customHeight="1">
      <c r="CO684" s="63"/>
      <c r="CP684" s="63"/>
      <c r="CQ684" s="64"/>
      <c r="CR684" s="62"/>
      <c r="CS684" s="62"/>
      <c r="CT684" s="62"/>
      <c r="CU684" s="62"/>
      <c r="CX684" s="62"/>
      <c r="CZ684" s="62"/>
    </row>
    <row r="685" spans="93:104" ht="14.25" customHeight="1">
      <c r="CO685" s="63"/>
      <c r="CP685" s="63"/>
      <c r="CQ685" s="64"/>
      <c r="CR685" s="62"/>
      <c r="CS685" s="62"/>
      <c r="CT685" s="62"/>
      <c r="CU685" s="62"/>
      <c r="CX685" s="62"/>
      <c r="CZ685" s="62"/>
    </row>
    <row r="686" spans="93:104" ht="14.25" customHeight="1">
      <c r="CO686" s="63"/>
      <c r="CP686" s="63"/>
      <c r="CQ686" s="64"/>
      <c r="CR686" s="62"/>
      <c r="CS686" s="62"/>
      <c r="CT686" s="62"/>
      <c r="CU686" s="62"/>
      <c r="CX686" s="62"/>
      <c r="CZ686" s="62"/>
    </row>
    <row r="687" spans="93:104" ht="14.25" customHeight="1">
      <c r="CO687" s="63"/>
      <c r="CP687" s="63"/>
      <c r="CQ687" s="64"/>
      <c r="CR687" s="62"/>
      <c r="CS687" s="62"/>
      <c r="CT687" s="62"/>
      <c r="CU687" s="62"/>
      <c r="CX687" s="62"/>
      <c r="CZ687" s="62"/>
    </row>
    <row r="688" spans="93:104" ht="14.25" customHeight="1">
      <c r="CO688" s="63"/>
      <c r="CP688" s="63"/>
      <c r="CQ688" s="64"/>
      <c r="CR688" s="62"/>
      <c r="CS688" s="62"/>
      <c r="CT688" s="62"/>
      <c r="CU688" s="62"/>
      <c r="CX688" s="62"/>
      <c r="CZ688" s="62"/>
    </row>
    <row r="689" spans="93:104" ht="14.25" customHeight="1">
      <c r="CO689" s="63"/>
      <c r="CP689" s="63"/>
      <c r="CQ689" s="64"/>
      <c r="CR689" s="62"/>
      <c r="CS689" s="62"/>
      <c r="CT689" s="62"/>
      <c r="CU689" s="62"/>
      <c r="CX689" s="62"/>
      <c r="CZ689" s="62"/>
    </row>
    <row r="690" spans="93:104" ht="14.25" customHeight="1">
      <c r="CO690" s="63"/>
      <c r="CP690" s="63"/>
      <c r="CQ690" s="64"/>
      <c r="CR690" s="62"/>
      <c r="CS690" s="62"/>
      <c r="CT690" s="62"/>
      <c r="CU690" s="62"/>
      <c r="CX690" s="62"/>
      <c r="CZ690" s="62"/>
    </row>
    <row r="691" spans="93:104" ht="14.25" customHeight="1">
      <c r="CO691" s="63"/>
      <c r="CP691" s="63"/>
      <c r="CQ691" s="64"/>
      <c r="CR691" s="62"/>
      <c r="CS691" s="62"/>
      <c r="CT691" s="62"/>
      <c r="CU691" s="62"/>
      <c r="CX691" s="62"/>
      <c r="CZ691" s="62"/>
    </row>
    <row r="692" spans="93:104" ht="14.25" customHeight="1">
      <c r="CO692" s="63"/>
      <c r="CP692" s="63"/>
      <c r="CQ692" s="64"/>
      <c r="CR692" s="62"/>
      <c r="CS692" s="62"/>
      <c r="CT692" s="62"/>
      <c r="CU692" s="62"/>
      <c r="CX692" s="62"/>
      <c r="CZ692" s="62"/>
    </row>
    <row r="693" spans="93:104" ht="14.25" customHeight="1">
      <c r="CO693" s="63"/>
      <c r="CP693" s="63"/>
      <c r="CQ693" s="64"/>
      <c r="CR693" s="62"/>
      <c r="CS693" s="62"/>
      <c r="CT693" s="62"/>
      <c r="CU693" s="62"/>
      <c r="CX693" s="62"/>
      <c r="CZ693" s="62"/>
    </row>
    <row r="694" spans="93:104" ht="14.25" customHeight="1">
      <c r="CO694" s="63"/>
      <c r="CP694" s="63"/>
      <c r="CQ694" s="64"/>
      <c r="CR694" s="62"/>
      <c r="CS694" s="62"/>
      <c r="CT694" s="62"/>
      <c r="CU694" s="62"/>
      <c r="CX694" s="62"/>
      <c r="CZ694" s="62"/>
    </row>
    <row r="695" spans="93:104" ht="14.25" customHeight="1">
      <c r="CO695" s="63"/>
      <c r="CP695" s="63"/>
      <c r="CQ695" s="64"/>
      <c r="CR695" s="62"/>
      <c r="CS695" s="62"/>
      <c r="CT695" s="62"/>
      <c r="CU695" s="62"/>
      <c r="CX695" s="62"/>
      <c r="CZ695" s="62"/>
    </row>
    <row r="696" spans="93:104" ht="14.25" customHeight="1">
      <c r="CO696" s="63"/>
      <c r="CP696" s="63"/>
      <c r="CQ696" s="64"/>
      <c r="CR696" s="62"/>
      <c r="CS696" s="62"/>
      <c r="CT696" s="62"/>
      <c r="CU696" s="62"/>
      <c r="CX696" s="62"/>
      <c r="CZ696" s="62"/>
    </row>
    <row r="697" spans="93:104" ht="14.25" customHeight="1">
      <c r="CO697" s="63"/>
      <c r="CP697" s="63"/>
      <c r="CQ697" s="64"/>
      <c r="CR697" s="62"/>
      <c r="CS697" s="62"/>
      <c r="CT697" s="62"/>
      <c r="CU697" s="62"/>
      <c r="CX697" s="62"/>
      <c r="CZ697" s="62"/>
    </row>
    <row r="698" spans="93:104" ht="14.25" customHeight="1">
      <c r="CO698" s="63"/>
      <c r="CP698" s="63"/>
      <c r="CQ698" s="64"/>
      <c r="CR698" s="62"/>
      <c r="CS698" s="62"/>
      <c r="CT698" s="62"/>
      <c r="CU698" s="62"/>
      <c r="CX698" s="62"/>
      <c r="CZ698" s="62"/>
    </row>
    <row r="699" spans="93:104" ht="14.25" customHeight="1">
      <c r="CO699" s="63"/>
      <c r="CP699" s="63"/>
      <c r="CQ699" s="64"/>
      <c r="CR699" s="62"/>
      <c r="CS699" s="62"/>
      <c r="CT699" s="62"/>
      <c r="CU699" s="62"/>
      <c r="CX699" s="62"/>
      <c r="CZ699" s="62"/>
    </row>
    <row r="700" spans="93:104" ht="14.25" customHeight="1">
      <c r="CO700" s="63"/>
      <c r="CP700" s="63"/>
      <c r="CQ700" s="64"/>
      <c r="CR700" s="62"/>
      <c r="CS700" s="62"/>
      <c r="CT700" s="62"/>
      <c r="CU700" s="62"/>
      <c r="CX700" s="62"/>
      <c r="CZ700" s="62"/>
    </row>
    <row r="701" spans="93:104" ht="14.25" customHeight="1">
      <c r="CO701" s="63"/>
      <c r="CP701" s="63"/>
      <c r="CQ701" s="64"/>
      <c r="CR701" s="62"/>
      <c r="CS701" s="62"/>
      <c r="CT701" s="62"/>
      <c r="CU701" s="62"/>
      <c r="CX701" s="62"/>
      <c r="CZ701" s="62"/>
    </row>
    <row r="702" spans="93:104" ht="14.25" customHeight="1">
      <c r="CO702" s="63"/>
      <c r="CP702" s="63"/>
      <c r="CQ702" s="64"/>
      <c r="CR702" s="62"/>
      <c r="CS702" s="62"/>
      <c r="CT702" s="62"/>
      <c r="CU702" s="62"/>
      <c r="CX702" s="62"/>
      <c r="CZ702" s="62"/>
    </row>
    <row r="703" spans="93:104" ht="14.25" customHeight="1">
      <c r="CO703" s="63"/>
      <c r="CP703" s="63"/>
      <c r="CQ703" s="64"/>
      <c r="CR703" s="62"/>
      <c r="CS703" s="62"/>
      <c r="CT703" s="62"/>
      <c r="CU703" s="62"/>
      <c r="CX703" s="62"/>
      <c r="CZ703" s="62"/>
    </row>
    <row r="704" spans="93:104" ht="14.25" customHeight="1">
      <c r="CO704" s="63"/>
      <c r="CP704" s="63"/>
      <c r="CQ704" s="64"/>
      <c r="CR704" s="62"/>
      <c r="CS704" s="62"/>
      <c r="CT704" s="62"/>
      <c r="CU704" s="62"/>
      <c r="CX704" s="62"/>
      <c r="CZ704" s="62"/>
    </row>
    <row r="705" spans="93:104" ht="14.25" customHeight="1">
      <c r="CO705" s="63"/>
      <c r="CP705" s="63"/>
      <c r="CQ705" s="64"/>
      <c r="CR705" s="62"/>
      <c r="CS705" s="62"/>
      <c r="CT705" s="62"/>
      <c r="CU705" s="62"/>
      <c r="CX705" s="62"/>
      <c r="CZ705" s="62"/>
    </row>
    <row r="706" spans="93:104" ht="14.25" customHeight="1">
      <c r="CO706" s="63"/>
      <c r="CP706" s="63"/>
      <c r="CQ706" s="64"/>
      <c r="CR706" s="62"/>
      <c r="CS706" s="62"/>
      <c r="CT706" s="62"/>
      <c r="CU706" s="62"/>
      <c r="CX706" s="62"/>
      <c r="CZ706" s="62"/>
    </row>
    <row r="707" spans="93:104" ht="14.25" customHeight="1">
      <c r="CO707" s="63"/>
      <c r="CP707" s="63"/>
      <c r="CQ707" s="64"/>
      <c r="CR707" s="62"/>
      <c r="CS707" s="62"/>
      <c r="CT707" s="62"/>
      <c r="CU707" s="62"/>
      <c r="CX707" s="62"/>
      <c r="CZ707" s="62"/>
    </row>
    <row r="708" spans="93:104" ht="14.25" customHeight="1">
      <c r="CO708" s="63"/>
      <c r="CP708" s="63"/>
      <c r="CQ708" s="64"/>
      <c r="CR708" s="62"/>
      <c r="CS708" s="62"/>
      <c r="CT708" s="62"/>
      <c r="CU708" s="62"/>
      <c r="CX708" s="62"/>
      <c r="CZ708" s="62"/>
    </row>
    <row r="709" spans="93:104" ht="14.25" customHeight="1">
      <c r="CO709" s="63"/>
      <c r="CP709" s="63"/>
      <c r="CQ709" s="64"/>
      <c r="CR709" s="62"/>
      <c r="CS709" s="62"/>
      <c r="CT709" s="62"/>
      <c r="CU709" s="62"/>
      <c r="CX709" s="62"/>
      <c r="CZ709" s="62"/>
    </row>
    <row r="710" spans="93:104" ht="14.25" customHeight="1">
      <c r="CO710" s="63"/>
      <c r="CP710" s="63"/>
      <c r="CQ710" s="64"/>
      <c r="CR710" s="62"/>
      <c r="CS710" s="62"/>
      <c r="CT710" s="62"/>
      <c r="CU710" s="62"/>
      <c r="CX710" s="62"/>
      <c r="CZ710" s="62"/>
    </row>
    <row r="711" spans="93:104" ht="14.25" customHeight="1">
      <c r="CO711" s="63"/>
      <c r="CP711" s="63"/>
      <c r="CQ711" s="64"/>
      <c r="CR711" s="62"/>
      <c r="CS711" s="62"/>
      <c r="CT711" s="62"/>
      <c r="CU711" s="62"/>
      <c r="CX711" s="62"/>
      <c r="CZ711" s="62"/>
    </row>
    <row r="712" spans="93:104" ht="14.25" customHeight="1">
      <c r="CO712" s="63"/>
      <c r="CP712" s="63"/>
      <c r="CQ712" s="64"/>
      <c r="CR712" s="62"/>
      <c r="CS712" s="62"/>
      <c r="CT712" s="62"/>
      <c r="CU712" s="62"/>
      <c r="CX712" s="62"/>
      <c r="CZ712" s="62"/>
    </row>
    <row r="713" spans="93:104" ht="14.25" customHeight="1">
      <c r="CO713" s="63"/>
      <c r="CP713" s="63"/>
      <c r="CQ713" s="64"/>
      <c r="CR713" s="62"/>
      <c r="CS713" s="62"/>
      <c r="CT713" s="62"/>
      <c r="CU713" s="62"/>
      <c r="CX713" s="62"/>
      <c r="CZ713" s="62"/>
    </row>
    <row r="714" spans="93:104" ht="14.25" customHeight="1">
      <c r="CO714" s="63"/>
      <c r="CP714" s="63"/>
      <c r="CQ714" s="64"/>
      <c r="CR714" s="62"/>
      <c r="CS714" s="62"/>
      <c r="CT714" s="62"/>
      <c r="CU714" s="62"/>
      <c r="CX714" s="62"/>
      <c r="CZ714" s="62"/>
    </row>
    <row r="715" spans="93:104" ht="14.25" customHeight="1">
      <c r="CO715" s="63"/>
      <c r="CP715" s="63"/>
      <c r="CQ715" s="64"/>
      <c r="CR715" s="62"/>
      <c r="CS715" s="62"/>
      <c r="CT715" s="62"/>
      <c r="CU715" s="62"/>
      <c r="CX715" s="62"/>
      <c r="CZ715" s="62"/>
    </row>
    <row r="716" spans="93:104" ht="14.25" customHeight="1">
      <c r="CO716" s="63"/>
      <c r="CP716" s="63"/>
      <c r="CQ716" s="64"/>
      <c r="CR716" s="62"/>
      <c r="CS716" s="62"/>
      <c r="CT716" s="62"/>
      <c r="CU716" s="62"/>
      <c r="CX716" s="62"/>
      <c r="CZ716" s="62"/>
    </row>
    <row r="717" spans="93:104" ht="14.25" customHeight="1">
      <c r="CO717" s="63"/>
      <c r="CP717" s="63"/>
      <c r="CQ717" s="64"/>
      <c r="CR717" s="62"/>
      <c r="CS717" s="62"/>
      <c r="CT717" s="62"/>
      <c r="CU717" s="62"/>
      <c r="CX717" s="62"/>
      <c r="CZ717" s="62"/>
    </row>
    <row r="718" spans="93:104" ht="14.25" customHeight="1">
      <c r="CO718" s="63"/>
      <c r="CP718" s="63"/>
      <c r="CQ718" s="64"/>
      <c r="CR718" s="62"/>
      <c r="CS718" s="62"/>
      <c r="CT718" s="62"/>
      <c r="CU718" s="62"/>
      <c r="CX718" s="62"/>
      <c r="CZ718" s="62"/>
    </row>
    <row r="719" spans="93:104" ht="14.25" customHeight="1">
      <c r="CO719" s="63"/>
      <c r="CP719" s="63"/>
      <c r="CQ719" s="64"/>
      <c r="CR719" s="62"/>
      <c r="CS719" s="62"/>
      <c r="CT719" s="62"/>
      <c r="CU719" s="62"/>
      <c r="CX719" s="62"/>
      <c r="CZ719" s="62"/>
    </row>
    <row r="720" spans="93:104" ht="14.25" customHeight="1">
      <c r="CO720" s="63"/>
      <c r="CP720" s="63"/>
      <c r="CQ720" s="64"/>
      <c r="CR720" s="62"/>
      <c r="CS720" s="62"/>
      <c r="CT720" s="62"/>
      <c r="CU720" s="62"/>
      <c r="CX720" s="62"/>
      <c r="CZ720" s="62"/>
    </row>
    <row r="721" spans="93:104" ht="14.25" customHeight="1">
      <c r="CO721" s="63"/>
      <c r="CP721" s="63"/>
      <c r="CQ721" s="64"/>
      <c r="CR721" s="62"/>
      <c r="CS721" s="62"/>
      <c r="CT721" s="62"/>
      <c r="CU721" s="62"/>
      <c r="CX721" s="62"/>
      <c r="CZ721" s="62"/>
    </row>
    <row r="722" spans="93:104" ht="14.25" customHeight="1">
      <c r="CO722" s="63"/>
      <c r="CP722" s="63"/>
      <c r="CQ722" s="64"/>
      <c r="CR722" s="62"/>
      <c r="CS722" s="62"/>
      <c r="CT722" s="62"/>
      <c r="CU722" s="62"/>
      <c r="CX722" s="62"/>
      <c r="CZ722" s="62"/>
    </row>
    <row r="723" spans="93:104" ht="14.25" customHeight="1">
      <c r="CO723" s="63"/>
      <c r="CP723" s="63"/>
      <c r="CQ723" s="64"/>
      <c r="CR723" s="62"/>
      <c r="CS723" s="62"/>
      <c r="CT723" s="62"/>
      <c r="CU723" s="62"/>
      <c r="CX723" s="62"/>
      <c r="CZ723" s="62"/>
    </row>
    <row r="724" spans="93:104" ht="14.25" customHeight="1">
      <c r="CO724" s="63"/>
      <c r="CP724" s="63"/>
      <c r="CQ724" s="64"/>
      <c r="CR724" s="62"/>
      <c r="CS724" s="62"/>
      <c r="CT724" s="62"/>
      <c r="CU724" s="62"/>
      <c r="CX724" s="62"/>
      <c r="CZ724" s="62"/>
    </row>
    <row r="725" spans="93:104" ht="14.25" customHeight="1">
      <c r="CO725" s="63"/>
      <c r="CP725" s="63"/>
      <c r="CQ725" s="64"/>
      <c r="CR725" s="62"/>
      <c r="CS725" s="62"/>
      <c r="CT725" s="62"/>
      <c r="CU725" s="62"/>
      <c r="CX725" s="62"/>
      <c r="CZ725" s="62"/>
    </row>
    <row r="726" spans="93:104" ht="14.25" customHeight="1">
      <c r="CO726" s="63"/>
      <c r="CP726" s="63"/>
      <c r="CQ726" s="64"/>
      <c r="CR726" s="62"/>
      <c r="CS726" s="62"/>
      <c r="CT726" s="62"/>
      <c r="CU726" s="62"/>
      <c r="CX726" s="62"/>
      <c r="CZ726" s="62"/>
    </row>
    <row r="727" spans="93:104" ht="14.25" customHeight="1">
      <c r="CO727" s="63"/>
      <c r="CP727" s="63"/>
      <c r="CQ727" s="64"/>
      <c r="CR727" s="62"/>
      <c r="CS727" s="62"/>
      <c r="CT727" s="62"/>
      <c r="CU727" s="62"/>
      <c r="CX727" s="62"/>
      <c r="CZ727" s="62"/>
    </row>
    <row r="728" spans="93:104" ht="14.25" customHeight="1">
      <c r="CO728" s="63"/>
      <c r="CP728" s="63"/>
      <c r="CQ728" s="64"/>
      <c r="CR728" s="62"/>
      <c r="CS728" s="62"/>
      <c r="CT728" s="62"/>
      <c r="CU728" s="62"/>
      <c r="CX728" s="62"/>
      <c r="CZ728" s="62"/>
    </row>
    <row r="729" spans="93:104" ht="14.25" customHeight="1">
      <c r="CO729" s="63"/>
      <c r="CP729" s="63"/>
      <c r="CQ729" s="64"/>
      <c r="CR729" s="62"/>
      <c r="CS729" s="62"/>
      <c r="CT729" s="62"/>
      <c r="CU729" s="62"/>
      <c r="CX729" s="62"/>
      <c r="CZ729" s="62"/>
    </row>
    <row r="730" spans="93:104" ht="14.25" customHeight="1">
      <c r="CO730" s="63"/>
      <c r="CP730" s="63"/>
      <c r="CQ730" s="64"/>
      <c r="CR730" s="62"/>
      <c r="CS730" s="62"/>
      <c r="CT730" s="62"/>
      <c r="CU730" s="62"/>
      <c r="CX730" s="62"/>
      <c r="CZ730" s="62"/>
    </row>
    <row r="731" spans="93:104" ht="14.25" customHeight="1">
      <c r="CO731" s="63"/>
      <c r="CP731" s="63"/>
      <c r="CQ731" s="64"/>
      <c r="CR731" s="62"/>
      <c r="CS731" s="62"/>
      <c r="CT731" s="62"/>
      <c r="CU731" s="62"/>
      <c r="CX731" s="62"/>
      <c r="CZ731" s="62"/>
    </row>
    <row r="732" spans="93:104" ht="14.25" customHeight="1">
      <c r="CO732" s="63"/>
      <c r="CP732" s="63"/>
      <c r="CQ732" s="64"/>
      <c r="CR732" s="62"/>
      <c r="CS732" s="62"/>
      <c r="CT732" s="62"/>
      <c r="CU732" s="62"/>
      <c r="CX732" s="62"/>
      <c r="CZ732" s="62"/>
    </row>
    <row r="733" spans="93:104" ht="14.25" customHeight="1">
      <c r="CO733" s="63"/>
      <c r="CP733" s="63"/>
      <c r="CQ733" s="64"/>
      <c r="CR733" s="62"/>
      <c r="CS733" s="62"/>
      <c r="CT733" s="62"/>
      <c r="CU733" s="62"/>
      <c r="CX733" s="62"/>
      <c r="CZ733" s="62"/>
    </row>
    <row r="734" spans="93:104" ht="14.25" customHeight="1">
      <c r="CO734" s="63"/>
      <c r="CP734" s="63"/>
      <c r="CQ734" s="64"/>
      <c r="CR734" s="62"/>
      <c r="CS734" s="62"/>
      <c r="CT734" s="62"/>
      <c r="CU734" s="62"/>
      <c r="CX734" s="62"/>
      <c r="CZ734" s="62"/>
    </row>
    <row r="735" spans="93:104" ht="14.25" customHeight="1">
      <c r="CO735" s="63"/>
      <c r="CP735" s="63"/>
      <c r="CQ735" s="64"/>
      <c r="CR735" s="62"/>
      <c r="CS735" s="62"/>
      <c r="CT735" s="62"/>
      <c r="CU735" s="62"/>
      <c r="CX735" s="62"/>
      <c r="CZ735" s="62"/>
    </row>
    <row r="736" spans="93:104" ht="14.25" customHeight="1">
      <c r="CO736" s="63"/>
      <c r="CP736" s="63"/>
      <c r="CQ736" s="64"/>
      <c r="CR736" s="62"/>
      <c r="CS736" s="62"/>
      <c r="CT736" s="62"/>
      <c r="CU736" s="62"/>
      <c r="CX736" s="62"/>
      <c r="CZ736" s="62"/>
    </row>
    <row r="737" spans="93:104" ht="14.25" customHeight="1">
      <c r="CO737" s="63"/>
      <c r="CP737" s="63"/>
      <c r="CQ737" s="64"/>
      <c r="CR737" s="62"/>
      <c r="CS737" s="62"/>
      <c r="CT737" s="62"/>
      <c r="CU737" s="62"/>
      <c r="CX737" s="62"/>
      <c r="CZ737" s="62"/>
    </row>
    <row r="738" spans="93:104" ht="14.25" customHeight="1">
      <c r="CO738" s="63"/>
      <c r="CP738" s="63"/>
      <c r="CQ738" s="64"/>
      <c r="CR738" s="62"/>
      <c r="CS738" s="62"/>
      <c r="CT738" s="62"/>
      <c r="CU738" s="62"/>
      <c r="CX738" s="62"/>
      <c r="CZ738" s="62"/>
    </row>
    <row r="739" spans="93:104" ht="14.25" customHeight="1">
      <c r="CO739" s="63"/>
      <c r="CP739" s="63"/>
      <c r="CQ739" s="64"/>
      <c r="CR739" s="62"/>
      <c r="CS739" s="62"/>
      <c r="CT739" s="62"/>
      <c r="CU739" s="62"/>
      <c r="CX739" s="62"/>
      <c r="CZ739" s="62"/>
    </row>
    <row r="740" spans="93:104" ht="14.25" customHeight="1">
      <c r="CO740" s="63"/>
      <c r="CP740" s="63"/>
      <c r="CQ740" s="64"/>
      <c r="CR740" s="62"/>
      <c r="CS740" s="62"/>
      <c r="CT740" s="62"/>
      <c r="CU740" s="62"/>
      <c r="CX740" s="62"/>
      <c r="CZ740" s="62"/>
    </row>
    <row r="741" spans="93:104" ht="14.25" customHeight="1">
      <c r="CO741" s="63"/>
      <c r="CP741" s="63"/>
      <c r="CQ741" s="64"/>
      <c r="CR741" s="62"/>
      <c r="CS741" s="62"/>
      <c r="CT741" s="62"/>
      <c r="CU741" s="62"/>
      <c r="CX741" s="62"/>
      <c r="CZ741" s="62"/>
    </row>
    <row r="742" spans="93:104" ht="14.25" customHeight="1">
      <c r="CO742" s="63"/>
      <c r="CP742" s="63"/>
      <c r="CQ742" s="64"/>
      <c r="CR742" s="62"/>
      <c r="CS742" s="62"/>
      <c r="CT742" s="62"/>
      <c r="CU742" s="62"/>
      <c r="CX742" s="62"/>
      <c r="CZ742" s="62"/>
    </row>
    <row r="743" spans="93:104" ht="14.25" customHeight="1">
      <c r="CO743" s="63"/>
      <c r="CP743" s="63"/>
      <c r="CQ743" s="64"/>
      <c r="CR743" s="62"/>
      <c r="CS743" s="62"/>
      <c r="CT743" s="62"/>
      <c r="CU743" s="62"/>
      <c r="CX743" s="62"/>
      <c r="CZ743" s="62"/>
    </row>
    <row r="744" spans="93:104" ht="14.25" customHeight="1">
      <c r="CO744" s="63"/>
      <c r="CP744" s="63"/>
      <c r="CQ744" s="64"/>
      <c r="CR744" s="62"/>
      <c r="CS744" s="62"/>
      <c r="CT744" s="62"/>
      <c r="CU744" s="62"/>
      <c r="CX744" s="62"/>
      <c r="CZ744" s="62"/>
    </row>
    <row r="745" spans="93:104" ht="14.25" customHeight="1">
      <c r="CO745" s="63"/>
      <c r="CP745" s="63"/>
      <c r="CQ745" s="64"/>
      <c r="CR745" s="62"/>
      <c r="CS745" s="62"/>
      <c r="CT745" s="62"/>
      <c r="CU745" s="62"/>
      <c r="CX745" s="62"/>
      <c r="CZ745" s="62"/>
    </row>
    <row r="746" spans="93:104" ht="14.25" customHeight="1">
      <c r="CO746" s="63"/>
      <c r="CP746" s="63"/>
      <c r="CQ746" s="64"/>
      <c r="CR746" s="62"/>
      <c r="CS746" s="62"/>
      <c r="CT746" s="62"/>
      <c r="CU746" s="62"/>
      <c r="CX746" s="62"/>
      <c r="CZ746" s="62"/>
    </row>
    <row r="747" spans="93:104" ht="14.25" customHeight="1">
      <c r="CO747" s="63"/>
      <c r="CP747" s="63"/>
      <c r="CQ747" s="64"/>
      <c r="CR747" s="62"/>
      <c r="CS747" s="62"/>
      <c r="CT747" s="62"/>
      <c r="CU747" s="62"/>
      <c r="CX747" s="62"/>
      <c r="CZ747" s="62"/>
    </row>
    <row r="748" spans="93:104" ht="14.25" customHeight="1">
      <c r="CO748" s="63"/>
      <c r="CP748" s="63"/>
      <c r="CQ748" s="64"/>
      <c r="CR748" s="62"/>
      <c r="CS748" s="62"/>
      <c r="CT748" s="62"/>
      <c r="CU748" s="62"/>
      <c r="CX748" s="62"/>
      <c r="CZ748" s="62"/>
    </row>
    <row r="749" spans="93:104" ht="14.25" customHeight="1">
      <c r="CO749" s="63"/>
      <c r="CP749" s="63"/>
      <c r="CQ749" s="64"/>
      <c r="CR749" s="62"/>
      <c r="CS749" s="62"/>
      <c r="CT749" s="62"/>
      <c r="CU749" s="62"/>
      <c r="CX749" s="62"/>
      <c r="CZ749" s="62"/>
    </row>
    <row r="750" spans="93:104" ht="14.25" customHeight="1">
      <c r="CO750" s="63"/>
      <c r="CP750" s="63"/>
      <c r="CQ750" s="64"/>
      <c r="CR750" s="62"/>
      <c r="CS750" s="62"/>
      <c r="CT750" s="62"/>
      <c r="CU750" s="62"/>
      <c r="CX750" s="62"/>
      <c r="CZ750" s="62"/>
    </row>
    <row r="751" spans="93:104" ht="14.25" customHeight="1">
      <c r="CO751" s="63"/>
      <c r="CP751" s="63"/>
      <c r="CQ751" s="64"/>
      <c r="CR751" s="62"/>
      <c r="CS751" s="62"/>
      <c r="CT751" s="62"/>
      <c r="CU751" s="62"/>
      <c r="CX751" s="62"/>
      <c r="CZ751" s="62"/>
    </row>
    <row r="752" spans="93:104" ht="14.25" customHeight="1">
      <c r="CO752" s="63"/>
      <c r="CP752" s="63"/>
      <c r="CQ752" s="64"/>
      <c r="CR752" s="62"/>
      <c r="CS752" s="62"/>
      <c r="CT752" s="62"/>
      <c r="CU752" s="62"/>
      <c r="CX752" s="62"/>
      <c r="CZ752" s="62"/>
    </row>
    <row r="753" spans="93:104" ht="14.25" customHeight="1">
      <c r="CO753" s="63"/>
      <c r="CP753" s="63"/>
      <c r="CQ753" s="64"/>
      <c r="CR753" s="62"/>
      <c r="CS753" s="62"/>
      <c r="CT753" s="62"/>
      <c r="CU753" s="62"/>
      <c r="CX753" s="62"/>
      <c r="CZ753" s="62"/>
    </row>
    <row r="754" spans="93:104" ht="14.25" customHeight="1">
      <c r="CO754" s="63"/>
      <c r="CP754" s="63"/>
      <c r="CQ754" s="64"/>
      <c r="CR754" s="62"/>
      <c r="CS754" s="62"/>
      <c r="CT754" s="62"/>
      <c r="CU754" s="62"/>
      <c r="CX754" s="62"/>
      <c r="CZ754" s="62"/>
    </row>
    <row r="755" spans="93:104" ht="14.25" customHeight="1">
      <c r="CO755" s="63"/>
      <c r="CP755" s="63"/>
      <c r="CQ755" s="64"/>
      <c r="CR755" s="62"/>
      <c r="CS755" s="62"/>
      <c r="CT755" s="62"/>
      <c r="CU755" s="62"/>
      <c r="CX755" s="62"/>
      <c r="CZ755" s="62"/>
    </row>
    <row r="756" spans="93:104" ht="14.25" customHeight="1">
      <c r="CO756" s="63"/>
      <c r="CP756" s="63"/>
      <c r="CQ756" s="64"/>
      <c r="CR756" s="62"/>
      <c r="CS756" s="62"/>
      <c r="CT756" s="62"/>
      <c r="CU756" s="62"/>
      <c r="CX756" s="62"/>
      <c r="CZ756" s="62"/>
    </row>
    <row r="757" spans="93:104" ht="14.25" customHeight="1">
      <c r="CO757" s="63"/>
      <c r="CP757" s="63"/>
      <c r="CQ757" s="64"/>
      <c r="CR757" s="62"/>
      <c r="CS757" s="62"/>
      <c r="CT757" s="62"/>
      <c r="CU757" s="62"/>
      <c r="CX757" s="62"/>
      <c r="CZ757" s="62"/>
    </row>
    <row r="758" spans="93:104" ht="14.25" customHeight="1">
      <c r="CO758" s="63"/>
      <c r="CP758" s="63"/>
      <c r="CQ758" s="64"/>
      <c r="CR758" s="62"/>
      <c r="CS758" s="62"/>
      <c r="CT758" s="62"/>
      <c r="CU758" s="62"/>
      <c r="CX758" s="62"/>
      <c r="CZ758" s="62"/>
    </row>
    <row r="759" spans="93:104" ht="14.25" customHeight="1">
      <c r="CO759" s="63"/>
      <c r="CP759" s="63"/>
      <c r="CQ759" s="64"/>
      <c r="CR759" s="62"/>
      <c r="CS759" s="62"/>
      <c r="CT759" s="62"/>
      <c r="CU759" s="62"/>
      <c r="CX759" s="62"/>
      <c r="CZ759" s="62"/>
    </row>
    <row r="760" spans="93:104" ht="14.25" customHeight="1">
      <c r="CO760" s="63"/>
      <c r="CP760" s="63"/>
      <c r="CQ760" s="64"/>
      <c r="CR760" s="62"/>
      <c r="CS760" s="62"/>
      <c r="CT760" s="62"/>
      <c r="CU760" s="62"/>
      <c r="CX760" s="62"/>
      <c r="CZ760" s="62"/>
    </row>
    <row r="761" spans="93:104" ht="14.25" customHeight="1">
      <c r="CO761" s="63"/>
      <c r="CP761" s="63"/>
      <c r="CQ761" s="64"/>
      <c r="CR761" s="62"/>
      <c r="CS761" s="62"/>
      <c r="CT761" s="62"/>
      <c r="CU761" s="62"/>
      <c r="CX761" s="62"/>
      <c r="CZ761" s="62"/>
    </row>
    <row r="762" spans="93:104" ht="14.25" customHeight="1">
      <c r="CO762" s="63"/>
      <c r="CP762" s="63"/>
      <c r="CQ762" s="64"/>
      <c r="CR762" s="62"/>
      <c r="CS762" s="62"/>
      <c r="CT762" s="62"/>
      <c r="CU762" s="62"/>
      <c r="CX762" s="62"/>
      <c r="CZ762" s="62"/>
    </row>
    <row r="763" spans="93:104" ht="14.25" customHeight="1">
      <c r="CO763" s="63"/>
      <c r="CP763" s="63"/>
      <c r="CQ763" s="64"/>
      <c r="CR763" s="62"/>
      <c r="CS763" s="62"/>
      <c r="CT763" s="62"/>
      <c r="CU763" s="62"/>
      <c r="CX763" s="62"/>
      <c r="CZ763" s="62"/>
    </row>
    <row r="764" spans="93:104" ht="14.25" customHeight="1">
      <c r="CO764" s="63"/>
      <c r="CP764" s="63"/>
      <c r="CQ764" s="64"/>
      <c r="CR764" s="62"/>
      <c r="CS764" s="62"/>
      <c r="CT764" s="62"/>
      <c r="CU764" s="62"/>
      <c r="CX764" s="62"/>
      <c r="CZ764" s="62"/>
    </row>
    <row r="765" spans="93:104" ht="14.25" customHeight="1">
      <c r="CO765" s="63"/>
      <c r="CP765" s="63"/>
      <c r="CQ765" s="64"/>
      <c r="CR765" s="62"/>
      <c r="CS765" s="62"/>
      <c r="CT765" s="62"/>
      <c r="CU765" s="62"/>
      <c r="CX765" s="62"/>
      <c r="CZ765" s="62"/>
    </row>
    <row r="766" spans="93:104" ht="14.25" customHeight="1">
      <c r="CO766" s="63"/>
      <c r="CP766" s="63"/>
      <c r="CQ766" s="64"/>
      <c r="CR766" s="62"/>
      <c r="CS766" s="62"/>
      <c r="CT766" s="62"/>
      <c r="CU766" s="62"/>
      <c r="CX766" s="62"/>
      <c r="CZ766" s="62"/>
    </row>
    <row r="767" spans="93:104" ht="14.25" customHeight="1">
      <c r="CO767" s="63"/>
      <c r="CP767" s="63"/>
      <c r="CQ767" s="64"/>
      <c r="CR767" s="62"/>
      <c r="CS767" s="62"/>
      <c r="CT767" s="62"/>
      <c r="CU767" s="62"/>
      <c r="CX767" s="62"/>
      <c r="CZ767" s="62"/>
    </row>
    <row r="768" spans="93:104" ht="14.25" customHeight="1">
      <c r="CO768" s="63"/>
      <c r="CP768" s="63"/>
      <c r="CQ768" s="64"/>
      <c r="CR768" s="62"/>
      <c r="CS768" s="62"/>
      <c r="CT768" s="62"/>
      <c r="CU768" s="62"/>
      <c r="CX768" s="62"/>
      <c r="CZ768" s="62"/>
    </row>
    <row r="769" spans="93:104" ht="14.25" customHeight="1">
      <c r="CO769" s="63"/>
      <c r="CP769" s="63"/>
      <c r="CQ769" s="64"/>
      <c r="CR769" s="62"/>
      <c r="CS769" s="62"/>
      <c r="CT769" s="62"/>
      <c r="CU769" s="62"/>
      <c r="CX769" s="62"/>
      <c r="CZ769" s="62"/>
    </row>
    <row r="770" spans="93:104" ht="14.25" customHeight="1">
      <c r="CO770" s="63"/>
      <c r="CP770" s="63"/>
      <c r="CQ770" s="64"/>
      <c r="CR770" s="62"/>
      <c r="CS770" s="62"/>
      <c r="CT770" s="62"/>
      <c r="CU770" s="62"/>
      <c r="CX770" s="62"/>
      <c r="CZ770" s="62"/>
    </row>
    <row r="771" spans="93:104" ht="14.25" customHeight="1">
      <c r="CO771" s="63"/>
      <c r="CP771" s="63"/>
      <c r="CQ771" s="64"/>
      <c r="CR771" s="62"/>
      <c r="CS771" s="62"/>
      <c r="CT771" s="62"/>
      <c r="CU771" s="62"/>
      <c r="CX771" s="62"/>
      <c r="CZ771" s="62"/>
    </row>
    <row r="772" spans="93:104" ht="14.25" customHeight="1">
      <c r="CO772" s="63"/>
      <c r="CP772" s="63"/>
      <c r="CQ772" s="64"/>
      <c r="CR772" s="62"/>
      <c r="CS772" s="62"/>
      <c r="CT772" s="62"/>
      <c r="CU772" s="62"/>
      <c r="CX772" s="62"/>
      <c r="CZ772" s="62"/>
    </row>
    <row r="773" spans="93:104" ht="14.25" customHeight="1">
      <c r="CO773" s="63"/>
      <c r="CP773" s="63"/>
      <c r="CQ773" s="64"/>
      <c r="CR773" s="62"/>
      <c r="CS773" s="62"/>
      <c r="CT773" s="62"/>
      <c r="CU773" s="62"/>
      <c r="CX773" s="62"/>
      <c r="CZ773" s="62"/>
    </row>
    <row r="774" spans="93:104" ht="14.25" customHeight="1">
      <c r="CO774" s="63"/>
      <c r="CP774" s="63"/>
      <c r="CQ774" s="64"/>
      <c r="CR774" s="62"/>
      <c r="CS774" s="62"/>
      <c r="CT774" s="62"/>
      <c r="CU774" s="62"/>
      <c r="CX774" s="62"/>
      <c r="CZ774" s="62"/>
    </row>
    <row r="775" spans="93:104" ht="14.25" customHeight="1">
      <c r="CO775" s="63"/>
      <c r="CP775" s="63"/>
      <c r="CQ775" s="64"/>
      <c r="CR775" s="62"/>
      <c r="CS775" s="62"/>
      <c r="CT775" s="62"/>
      <c r="CU775" s="62"/>
      <c r="CX775" s="62"/>
      <c r="CZ775" s="62"/>
    </row>
    <row r="776" spans="93:104" ht="14.25" customHeight="1">
      <c r="CO776" s="63"/>
      <c r="CP776" s="63"/>
      <c r="CQ776" s="64"/>
      <c r="CR776" s="62"/>
      <c r="CS776" s="62"/>
      <c r="CT776" s="62"/>
      <c r="CU776" s="62"/>
      <c r="CX776" s="62"/>
      <c r="CZ776" s="62"/>
    </row>
    <row r="777" spans="93:104" ht="14.25" customHeight="1">
      <c r="CO777" s="63"/>
      <c r="CP777" s="63"/>
      <c r="CQ777" s="64"/>
      <c r="CR777" s="62"/>
      <c r="CS777" s="62"/>
      <c r="CT777" s="62"/>
      <c r="CU777" s="62"/>
      <c r="CX777" s="62"/>
      <c r="CZ777" s="62"/>
    </row>
    <row r="778" spans="93:104" ht="14.25" customHeight="1">
      <c r="CO778" s="63"/>
      <c r="CP778" s="63"/>
      <c r="CQ778" s="64"/>
      <c r="CR778" s="62"/>
      <c r="CS778" s="62"/>
      <c r="CT778" s="62"/>
      <c r="CU778" s="62"/>
      <c r="CX778" s="62"/>
      <c r="CZ778" s="62"/>
    </row>
    <row r="779" spans="93:104" ht="14.25" customHeight="1">
      <c r="CO779" s="63"/>
      <c r="CP779" s="63"/>
      <c r="CQ779" s="64"/>
      <c r="CR779" s="62"/>
      <c r="CS779" s="62"/>
      <c r="CT779" s="62"/>
      <c r="CU779" s="62"/>
      <c r="CX779" s="62"/>
      <c r="CZ779" s="62"/>
    </row>
    <row r="780" spans="93:104" ht="14.25" customHeight="1">
      <c r="CO780" s="63"/>
      <c r="CP780" s="63"/>
      <c r="CQ780" s="64"/>
      <c r="CR780" s="62"/>
      <c r="CS780" s="62"/>
      <c r="CT780" s="62"/>
      <c r="CU780" s="62"/>
      <c r="CX780" s="62"/>
      <c r="CZ780" s="62"/>
    </row>
    <row r="781" spans="93:104" ht="14.25" customHeight="1">
      <c r="CO781" s="63"/>
      <c r="CP781" s="63"/>
      <c r="CQ781" s="64"/>
      <c r="CR781" s="62"/>
      <c r="CS781" s="62"/>
      <c r="CT781" s="62"/>
      <c r="CU781" s="62"/>
      <c r="CX781" s="62"/>
      <c r="CZ781" s="62"/>
    </row>
    <row r="782" spans="93:104" ht="14.25" customHeight="1">
      <c r="CO782" s="63"/>
      <c r="CP782" s="63"/>
      <c r="CQ782" s="64"/>
      <c r="CR782" s="62"/>
      <c r="CS782" s="62"/>
      <c r="CT782" s="62"/>
      <c r="CU782" s="62"/>
      <c r="CX782" s="62"/>
      <c r="CZ782" s="62"/>
    </row>
    <row r="783" spans="93:104" ht="14.25" customHeight="1">
      <c r="CO783" s="63"/>
      <c r="CP783" s="63"/>
      <c r="CQ783" s="64"/>
      <c r="CR783" s="62"/>
      <c r="CS783" s="62"/>
      <c r="CT783" s="62"/>
      <c r="CU783" s="62"/>
      <c r="CX783" s="62"/>
      <c r="CZ783" s="62"/>
    </row>
    <row r="784" spans="93:104" ht="14.25" customHeight="1">
      <c r="CO784" s="63"/>
      <c r="CP784" s="63"/>
      <c r="CQ784" s="64"/>
      <c r="CR784" s="62"/>
      <c r="CS784" s="62"/>
      <c r="CT784" s="62"/>
      <c r="CU784" s="62"/>
      <c r="CX784" s="62"/>
      <c r="CZ784" s="62"/>
    </row>
    <row r="785" spans="93:104" ht="14.25" customHeight="1">
      <c r="CO785" s="63"/>
      <c r="CP785" s="63"/>
      <c r="CQ785" s="64"/>
      <c r="CR785" s="62"/>
      <c r="CS785" s="62"/>
      <c r="CT785" s="62"/>
      <c r="CU785" s="62"/>
      <c r="CX785" s="62"/>
      <c r="CZ785" s="62"/>
    </row>
    <row r="786" spans="93:104" ht="14.25" customHeight="1">
      <c r="CO786" s="63"/>
      <c r="CP786" s="63"/>
      <c r="CQ786" s="64"/>
      <c r="CR786" s="62"/>
      <c r="CS786" s="62"/>
      <c r="CT786" s="62"/>
      <c r="CU786" s="62"/>
      <c r="CX786" s="62"/>
      <c r="CZ786" s="62"/>
    </row>
    <row r="787" spans="93:104" ht="14.25" customHeight="1">
      <c r="CO787" s="63"/>
      <c r="CP787" s="63"/>
      <c r="CQ787" s="64"/>
      <c r="CR787" s="62"/>
      <c r="CS787" s="62"/>
      <c r="CT787" s="62"/>
      <c r="CU787" s="62"/>
      <c r="CX787" s="62"/>
      <c r="CZ787" s="62"/>
    </row>
    <row r="788" spans="93:104" ht="14.25" customHeight="1">
      <c r="CO788" s="63"/>
      <c r="CP788" s="63"/>
      <c r="CQ788" s="64"/>
      <c r="CR788" s="62"/>
      <c r="CS788" s="62"/>
      <c r="CT788" s="62"/>
      <c r="CU788" s="62"/>
      <c r="CX788" s="62"/>
      <c r="CZ788" s="62"/>
    </row>
    <row r="789" spans="93:104" ht="14.25" customHeight="1">
      <c r="CO789" s="63"/>
      <c r="CP789" s="63"/>
      <c r="CQ789" s="64"/>
      <c r="CR789" s="62"/>
      <c r="CS789" s="62"/>
      <c r="CT789" s="62"/>
      <c r="CU789" s="62"/>
      <c r="CX789" s="62"/>
      <c r="CZ789" s="62"/>
    </row>
    <row r="790" spans="93:104" ht="14.25" customHeight="1">
      <c r="CO790" s="63"/>
      <c r="CP790" s="63"/>
      <c r="CQ790" s="64"/>
      <c r="CR790" s="62"/>
      <c r="CS790" s="62"/>
      <c r="CT790" s="62"/>
      <c r="CU790" s="62"/>
      <c r="CX790" s="62"/>
      <c r="CZ790" s="62"/>
    </row>
    <row r="791" spans="93:104" ht="14.25" customHeight="1">
      <c r="CO791" s="63"/>
      <c r="CP791" s="63"/>
      <c r="CQ791" s="64"/>
      <c r="CR791" s="62"/>
      <c r="CS791" s="62"/>
      <c r="CT791" s="62"/>
      <c r="CU791" s="62"/>
      <c r="CX791" s="62"/>
      <c r="CZ791" s="62"/>
    </row>
    <row r="792" spans="93:104" ht="14.25" customHeight="1">
      <c r="CO792" s="63"/>
      <c r="CP792" s="63"/>
      <c r="CQ792" s="64"/>
      <c r="CR792" s="62"/>
      <c r="CS792" s="62"/>
      <c r="CT792" s="62"/>
      <c r="CU792" s="62"/>
      <c r="CX792" s="62"/>
      <c r="CZ792" s="62"/>
    </row>
    <row r="793" spans="93:104" ht="14.25" customHeight="1">
      <c r="CO793" s="63"/>
      <c r="CP793" s="63"/>
      <c r="CQ793" s="64"/>
      <c r="CR793" s="62"/>
      <c r="CS793" s="62"/>
      <c r="CT793" s="62"/>
      <c r="CU793" s="62"/>
      <c r="CX793" s="62"/>
      <c r="CZ793" s="62"/>
    </row>
    <row r="794" spans="93:104" ht="14.25" customHeight="1">
      <c r="CO794" s="63"/>
      <c r="CP794" s="63"/>
      <c r="CQ794" s="64"/>
      <c r="CR794" s="62"/>
      <c r="CS794" s="62"/>
      <c r="CT794" s="62"/>
      <c r="CU794" s="62"/>
      <c r="CX794" s="62"/>
      <c r="CZ794" s="62"/>
    </row>
    <row r="795" spans="93:104" ht="14.25" customHeight="1">
      <c r="CO795" s="63"/>
      <c r="CP795" s="63"/>
      <c r="CQ795" s="64"/>
      <c r="CR795" s="62"/>
      <c r="CS795" s="62"/>
      <c r="CT795" s="62"/>
      <c r="CU795" s="62"/>
      <c r="CX795" s="62"/>
      <c r="CZ795" s="62"/>
    </row>
    <row r="796" spans="93:104" ht="14.25" customHeight="1">
      <c r="CO796" s="63"/>
      <c r="CP796" s="63"/>
      <c r="CQ796" s="64"/>
      <c r="CR796" s="62"/>
      <c r="CS796" s="62"/>
      <c r="CT796" s="62"/>
      <c r="CU796" s="62"/>
      <c r="CX796" s="62"/>
      <c r="CZ796" s="62"/>
    </row>
    <row r="797" spans="93:104" ht="14.25" customHeight="1">
      <c r="CO797" s="63"/>
      <c r="CP797" s="63"/>
      <c r="CQ797" s="64"/>
      <c r="CR797" s="62"/>
      <c r="CS797" s="62"/>
      <c r="CT797" s="62"/>
      <c r="CU797" s="62"/>
      <c r="CX797" s="62"/>
      <c r="CZ797" s="62"/>
    </row>
    <row r="798" spans="93:104" ht="14.25" customHeight="1">
      <c r="CO798" s="63"/>
      <c r="CP798" s="63"/>
      <c r="CQ798" s="64"/>
      <c r="CR798" s="62"/>
      <c r="CS798" s="62"/>
      <c r="CT798" s="62"/>
      <c r="CU798" s="62"/>
      <c r="CX798" s="62"/>
      <c r="CZ798" s="62"/>
    </row>
    <row r="799" spans="93:104" ht="14.25" customHeight="1">
      <c r="CO799" s="63"/>
      <c r="CP799" s="63"/>
      <c r="CQ799" s="64"/>
      <c r="CR799" s="62"/>
      <c r="CS799" s="62"/>
      <c r="CT799" s="62"/>
      <c r="CU799" s="62"/>
      <c r="CX799" s="62"/>
      <c r="CZ799" s="62"/>
    </row>
  </sheetData>
  <autoFilter ref="A17:DG120" xr:uid="{025C221E-DC7E-4996-BDC6-0E6E8D649E54}"/>
  <mergeCells count="9">
    <mergeCell ref="AB16:AV16"/>
    <mergeCell ref="AW16:BQ16"/>
    <mergeCell ref="BR16:CL16"/>
    <mergeCell ref="A11:B11"/>
    <mergeCell ref="A12:B12"/>
    <mergeCell ref="A13:B13"/>
    <mergeCell ref="A14:B14"/>
    <mergeCell ref="A15:B15"/>
    <mergeCell ref="G16:AA16"/>
  </mergeCells>
  <conditionalFormatting sqref="CP64:CP67 CP90 CP119 CP93 CP70:CP75 CP1:CP59 CP121:CP799">
    <cfRule type="notContainsBlanks" dxfId="36" priority="55">
      <formula>LEN(TRIM(CP1))&gt;0</formula>
    </cfRule>
  </conditionalFormatting>
  <conditionalFormatting sqref="CP60">
    <cfRule type="notContainsBlanks" dxfId="35" priority="54">
      <formula>LEN(TRIM(CP60))&gt;0</formula>
    </cfRule>
  </conditionalFormatting>
  <conditionalFormatting sqref="CP61">
    <cfRule type="notContainsBlanks" dxfId="34" priority="53">
      <formula>LEN(TRIM(CP61))&gt;0</formula>
    </cfRule>
  </conditionalFormatting>
  <conditionalFormatting sqref="CP62">
    <cfRule type="notContainsBlanks" dxfId="33" priority="52">
      <formula>LEN(TRIM(CP62))&gt;0</formula>
    </cfRule>
  </conditionalFormatting>
  <conditionalFormatting sqref="CP63">
    <cfRule type="notContainsBlanks" dxfId="32" priority="49">
      <formula>LEN(TRIM(CP63))&gt;0</formula>
    </cfRule>
  </conditionalFormatting>
  <conditionalFormatting sqref="CP76">
    <cfRule type="notContainsBlanks" dxfId="31" priority="44">
      <formula>LEN(TRIM(CP76))&gt;0</formula>
    </cfRule>
  </conditionalFormatting>
  <conditionalFormatting sqref="CP77">
    <cfRule type="notContainsBlanks" dxfId="30" priority="42">
      <formula>LEN(TRIM(CP77))&gt;0</formula>
    </cfRule>
  </conditionalFormatting>
  <conditionalFormatting sqref="CP78">
    <cfRule type="notContainsBlanks" dxfId="29" priority="41">
      <formula>LEN(TRIM(CP78))&gt;0</formula>
    </cfRule>
  </conditionalFormatting>
  <conditionalFormatting sqref="CP79">
    <cfRule type="notContainsBlanks" dxfId="28" priority="39">
      <formula>LEN(TRIM(CP79))&gt;0</formula>
    </cfRule>
  </conditionalFormatting>
  <conditionalFormatting sqref="CP80">
    <cfRule type="notContainsBlanks" dxfId="27" priority="37">
      <formula>LEN(TRIM(CP80))&gt;0</formula>
    </cfRule>
  </conditionalFormatting>
  <conditionalFormatting sqref="CP81">
    <cfRule type="notContainsBlanks" dxfId="26" priority="36">
      <formula>LEN(TRIM(CP81))&gt;0</formula>
    </cfRule>
  </conditionalFormatting>
  <conditionalFormatting sqref="CP82">
    <cfRule type="notContainsBlanks" dxfId="25" priority="35">
      <formula>LEN(TRIM(CP82))&gt;0</formula>
    </cfRule>
  </conditionalFormatting>
  <conditionalFormatting sqref="CP83">
    <cfRule type="notContainsBlanks" dxfId="24" priority="34">
      <formula>LEN(TRIM(CP83))&gt;0</formula>
    </cfRule>
  </conditionalFormatting>
  <conditionalFormatting sqref="CP84:CP85">
    <cfRule type="notContainsBlanks" dxfId="23" priority="33">
      <formula>LEN(TRIM(CP84))&gt;0</formula>
    </cfRule>
  </conditionalFormatting>
  <conditionalFormatting sqref="CP86">
    <cfRule type="notContainsBlanks" dxfId="22" priority="32">
      <formula>LEN(TRIM(CP86))&gt;0</formula>
    </cfRule>
  </conditionalFormatting>
  <conditionalFormatting sqref="CP87">
    <cfRule type="notContainsBlanks" dxfId="21" priority="31">
      <formula>LEN(TRIM(CP87))&gt;0</formula>
    </cfRule>
  </conditionalFormatting>
  <conditionalFormatting sqref="CP88">
    <cfRule type="notContainsBlanks" dxfId="20" priority="30">
      <formula>LEN(TRIM(CP88))&gt;0</formula>
    </cfRule>
  </conditionalFormatting>
  <conditionalFormatting sqref="CP89">
    <cfRule type="notContainsBlanks" dxfId="19" priority="29">
      <formula>LEN(TRIM(CP89))&gt;0</formula>
    </cfRule>
  </conditionalFormatting>
  <conditionalFormatting sqref="CP91">
    <cfRule type="notContainsBlanks" dxfId="18" priority="27">
      <formula>LEN(TRIM(CP91))&gt;0</formula>
    </cfRule>
  </conditionalFormatting>
  <conditionalFormatting sqref="CP92">
    <cfRule type="notContainsBlanks" dxfId="17" priority="25">
      <formula>LEN(TRIM(CP92))&gt;0</formula>
    </cfRule>
  </conditionalFormatting>
  <conditionalFormatting sqref="CP94">
    <cfRule type="notContainsBlanks" dxfId="16" priority="23">
      <formula>LEN(TRIM(CP94))&gt;0</formula>
    </cfRule>
  </conditionalFormatting>
  <conditionalFormatting sqref="CP96">
    <cfRule type="notContainsBlanks" dxfId="15" priority="21">
      <formula>LEN(TRIM(CP96))&gt;0</formula>
    </cfRule>
  </conditionalFormatting>
  <conditionalFormatting sqref="CP97">
    <cfRule type="notContainsBlanks" dxfId="14" priority="20">
      <formula>LEN(TRIM(CP97))&gt;0</formula>
    </cfRule>
  </conditionalFormatting>
  <conditionalFormatting sqref="CP98">
    <cfRule type="notContainsBlanks" dxfId="13" priority="14">
      <formula>LEN(TRIM(CP98))&gt;0</formula>
    </cfRule>
  </conditionalFormatting>
  <conditionalFormatting sqref="CP95">
    <cfRule type="notContainsBlanks" dxfId="12" priority="13">
      <formula>LEN(TRIM(CP95))&gt;0</formula>
    </cfRule>
  </conditionalFormatting>
  <conditionalFormatting sqref="CP99">
    <cfRule type="notContainsBlanks" dxfId="11" priority="12">
      <formula>LEN(TRIM(CP99))&gt;0</formula>
    </cfRule>
  </conditionalFormatting>
  <conditionalFormatting sqref="CP100">
    <cfRule type="notContainsBlanks" dxfId="10" priority="11">
      <formula>LEN(TRIM(CP100))&gt;0</formula>
    </cfRule>
  </conditionalFormatting>
  <conditionalFormatting sqref="CP101">
    <cfRule type="notContainsBlanks" dxfId="9" priority="10">
      <formula>LEN(TRIM(CP101))&gt;0</formula>
    </cfRule>
  </conditionalFormatting>
  <conditionalFormatting sqref="CP102">
    <cfRule type="notContainsBlanks" dxfId="8" priority="9">
      <formula>LEN(TRIM(CP102))&gt;0</formula>
    </cfRule>
  </conditionalFormatting>
  <conditionalFormatting sqref="CP103">
    <cfRule type="notContainsBlanks" dxfId="7" priority="8">
      <formula>LEN(TRIM(CP103))&gt;0</formula>
    </cfRule>
  </conditionalFormatting>
  <conditionalFormatting sqref="CP104:CP114">
    <cfRule type="notContainsBlanks" dxfId="6" priority="7">
      <formula>LEN(TRIM(CP104))&gt;0</formula>
    </cfRule>
  </conditionalFormatting>
  <conditionalFormatting sqref="CP115">
    <cfRule type="notContainsBlanks" dxfId="5" priority="5">
      <formula>LEN(TRIM(CP115))&gt;0</formula>
    </cfRule>
  </conditionalFormatting>
  <conditionalFormatting sqref="CP116">
    <cfRule type="notContainsBlanks" dxfId="4" priority="4">
      <formula>LEN(TRIM(CP116))&gt;0</formula>
    </cfRule>
  </conditionalFormatting>
  <conditionalFormatting sqref="CP117">
    <cfRule type="notContainsBlanks" dxfId="3" priority="3">
      <formula>LEN(TRIM(CP117))&gt;0</formula>
    </cfRule>
  </conditionalFormatting>
  <conditionalFormatting sqref="CP118">
    <cfRule type="notContainsBlanks" dxfId="2" priority="2">
      <formula>LEN(TRIM(CP118))&gt;0</formula>
    </cfRule>
  </conditionalFormatting>
  <conditionalFormatting sqref="CP120">
    <cfRule type="notContainsBlanks" dxfId="1" priority="1">
      <formula>LEN(TRIM(CP120))&gt;0</formula>
    </cfRule>
  </conditionalFormatting>
  <pageMargins left="0.7" right="0.7" top="0.75" bottom="0.75" header="0" footer="0"/>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AC3"/>
  <sheetViews>
    <sheetView workbookViewId="0">
      <selection activeCell="E3" sqref="E3"/>
    </sheetView>
  </sheetViews>
  <sheetFormatPr defaultRowHeight="14.5"/>
  <cols>
    <col min="1" max="1" width="3.54296875" bestFit="1" customWidth="1"/>
    <col min="2" max="2" width="12.54296875" bestFit="1" customWidth="1"/>
    <col min="3" max="3" width="8.1796875" bestFit="1" customWidth="1"/>
    <col min="4" max="4" width="5.26953125" bestFit="1" customWidth="1"/>
    <col min="5" max="5" width="9.7265625" bestFit="1" customWidth="1"/>
    <col min="6" max="6" width="9.453125" customWidth="1"/>
    <col min="7" max="7" width="9.7265625" bestFit="1" customWidth="1"/>
    <col min="8" max="8" width="7.7265625" bestFit="1" customWidth="1"/>
    <col min="9" max="9" width="19.7265625" customWidth="1"/>
    <col min="10" max="10" width="6.453125" customWidth="1"/>
    <col min="11" max="11" width="6.453125" bestFit="1" customWidth="1"/>
    <col min="12" max="12" width="6" customWidth="1"/>
    <col min="13" max="13" width="6.453125" bestFit="1" customWidth="1"/>
    <col min="14" max="14" width="6.453125" customWidth="1"/>
    <col min="15" max="15" width="6.453125" bestFit="1" customWidth="1"/>
    <col min="16" max="16" width="6.453125" customWidth="1"/>
    <col min="17" max="17" width="6.453125" bestFit="1" customWidth="1"/>
    <col min="18" max="18" width="6" customWidth="1"/>
    <col min="19" max="19" width="5.453125" bestFit="1" customWidth="1"/>
    <col min="20" max="20" width="6.453125" customWidth="1"/>
    <col min="21" max="21" width="6.453125" bestFit="1" customWidth="1"/>
    <col min="22" max="22" width="6.453125" customWidth="1"/>
    <col min="23" max="23" width="6.453125" bestFit="1" customWidth="1"/>
    <col min="24" max="24" width="6" customWidth="1"/>
    <col min="25" max="25" width="5.453125" bestFit="1" customWidth="1"/>
    <col min="26" max="26" width="6.453125" customWidth="1"/>
    <col min="27" max="27" width="6.453125" bestFit="1" customWidth="1"/>
    <col min="28" max="28" width="6.453125" customWidth="1"/>
    <col min="29" max="29" width="6.453125" bestFit="1" customWidth="1"/>
    <col min="30" max="30" width="6" customWidth="1"/>
  </cols>
  <sheetData>
    <row r="1" spans="2:29">
      <c r="E1" s="54">
        <f>SUBTOTAL(9,E3:E10)</f>
        <v>24300</v>
      </c>
    </row>
    <row r="2" spans="2:29">
      <c r="B2" s="26" t="s">
        <v>404</v>
      </c>
      <c r="C2" s="26" t="s">
        <v>231</v>
      </c>
      <c r="D2" s="26" t="s">
        <v>165</v>
      </c>
      <c r="E2" s="26" t="s">
        <v>405</v>
      </c>
      <c r="F2" s="26" t="s">
        <v>406</v>
      </c>
      <c r="G2" s="53" t="s">
        <v>304</v>
      </c>
      <c r="H2" s="53"/>
      <c r="I2" s="53"/>
      <c r="J2" s="53"/>
      <c r="K2" s="53"/>
      <c r="M2" s="53"/>
      <c r="N2" s="53"/>
      <c r="O2" s="53"/>
      <c r="P2" s="53"/>
      <c r="Q2" s="53"/>
      <c r="S2" s="53"/>
      <c r="T2" s="53"/>
      <c r="U2" s="53"/>
      <c r="V2" s="53"/>
      <c r="W2" s="53"/>
      <c r="Y2" s="53"/>
      <c r="Z2" s="53"/>
      <c r="AA2" s="53"/>
      <c r="AB2" s="53"/>
      <c r="AC2" s="53"/>
    </row>
    <row r="3" spans="2:29">
      <c r="B3" s="18" t="s">
        <v>969</v>
      </c>
      <c r="C3" s="159">
        <v>1215</v>
      </c>
      <c r="D3">
        <v>20</v>
      </c>
      <c r="E3">
        <f>C3*D3</f>
        <v>24300</v>
      </c>
    </row>
  </sheetData>
  <autoFilter ref="B2:G2" xr:uid="{3D54ED4A-5183-4D21-A01C-C227800B3FE0}"/>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1DAFF-E79E-4619-8F50-67100144DDDB}">
  <sheetPr codeName="Sheet14"/>
  <dimension ref="B1:H9"/>
  <sheetViews>
    <sheetView topLeftCell="B1" workbookViewId="0">
      <selection activeCell="F11" sqref="F11"/>
    </sheetView>
  </sheetViews>
  <sheetFormatPr defaultRowHeight="14.5"/>
  <cols>
    <col min="1" max="1" width="5" customWidth="1"/>
    <col min="2" max="2" width="14.26953125" customWidth="1"/>
    <col min="5" max="5" width="10.453125" bestFit="1" customWidth="1"/>
  </cols>
  <sheetData>
    <row r="1" spans="2:8">
      <c r="E1" s="54">
        <f>SUBTOTAL(9,E3:E6)</f>
        <v>142500</v>
      </c>
    </row>
    <row r="2" spans="2:8">
      <c r="B2" s="26" t="s">
        <v>404</v>
      </c>
      <c r="C2" s="26" t="s">
        <v>231</v>
      </c>
      <c r="D2" s="26" t="s">
        <v>165</v>
      </c>
      <c r="E2" s="26" t="s">
        <v>405</v>
      </c>
      <c r="F2" s="26" t="s">
        <v>406</v>
      </c>
    </row>
    <row r="3" spans="2:8">
      <c r="B3" s="18" t="s">
        <v>665</v>
      </c>
      <c r="C3" s="24">
        <v>2400</v>
      </c>
      <c r="D3">
        <v>20</v>
      </c>
      <c r="E3">
        <f>C3*D3</f>
        <v>48000</v>
      </c>
      <c r="H3" t="s">
        <v>1148</v>
      </c>
    </row>
    <row r="4" spans="2:8">
      <c r="B4" s="21" t="s">
        <v>533</v>
      </c>
      <c r="C4" s="159">
        <v>3000</v>
      </c>
      <c r="D4">
        <v>17</v>
      </c>
      <c r="E4">
        <f>C4*D4</f>
        <v>51000</v>
      </c>
      <c r="H4" t="s">
        <v>1148</v>
      </c>
    </row>
    <row r="5" spans="2:8">
      <c r="B5" s="254" t="s">
        <v>783</v>
      </c>
      <c r="C5" s="218">
        <v>340</v>
      </c>
      <c r="D5">
        <v>50</v>
      </c>
      <c r="E5">
        <f>C5*D5</f>
        <v>17000</v>
      </c>
    </row>
    <row r="6" spans="2:8">
      <c r="B6" s="3" t="s">
        <v>823</v>
      </c>
      <c r="C6" s="3">
        <v>265</v>
      </c>
      <c r="D6">
        <v>100</v>
      </c>
      <c r="E6">
        <f>C6*D6</f>
        <v>26500</v>
      </c>
    </row>
    <row r="7" spans="2:8">
      <c r="B7" s="181"/>
      <c r="C7" s="21"/>
    </row>
    <row r="9" spans="2:8">
      <c r="B9" s="425"/>
      <c r="C9" s="425"/>
      <c r="D9" s="425"/>
      <c r="E9" s="425"/>
      <c r="F9" s="425"/>
      <c r="G9" s="425"/>
    </row>
  </sheetData>
  <autoFilter ref="B2:G2" xr:uid="{2C7E50F3-DDA2-481C-A5A2-5991C10F7E17}"/>
  <pageMargins left="0.7" right="0.7" top="0.75" bottom="0.75" header="0.3" footer="0.3"/>
  <pageSetup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4F348-3AA7-4DB5-AC60-E1B3B87515D9}">
  <sheetPr codeName="Sheet15"/>
  <dimension ref="B1:C27"/>
  <sheetViews>
    <sheetView workbookViewId="0">
      <selection activeCell="D11" sqref="D11"/>
    </sheetView>
  </sheetViews>
  <sheetFormatPr defaultRowHeight="14.5"/>
  <cols>
    <col min="2" max="2" width="13.7265625" bestFit="1" customWidth="1"/>
    <col min="7" max="7" width="15.7265625" bestFit="1" customWidth="1"/>
  </cols>
  <sheetData>
    <row r="1" spans="2:3">
      <c r="B1" t="s">
        <v>404</v>
      </c>
      <c r="C1" t="s">
        <v>304</v>
      </c>
    </row>
    <row r="2" spans="2:3">
      <c r="B2" s="138" t="s">
        <v>30</v>
      </c>
      <c r="C2" s="131"/>
    </row>
    <row r="3" spans="2:3">
      <c r="B3" s="138" t="s">
        <v>15</v>
      </c>
    </row>
    <row r="4" spans="2:3">
      <c r="B4" s="138" t="s">
        <v>31</v>
      </c>
    </row>
    <row r="5" spans="2:3">
      <c r="B5" s="138" t="s">
        <v>16</v>
      </c>
    </row>
    <row r="6" spans="2:3">
      <c r="B6" s="139" t="s">
        <v>36</v>
      </c>
    </row>
    <row r="7" spans="2:3">
      <c r="B7" s="137" t="s">
        <v>20</v>
      </c>
    </row>
    <row r="8" spans="2:3">
      <c r="B8" s="140" t="s">
        <v>35</v>
      </c>
    </row>
    <row r="9" spans="2:3">
      <c r="B9" s="137" t="s">
        <v>10</v>
      </c>
    </row>
    <row r="10" spans="2:3">
      <c r="B10" s="137" t="s">
        <v>53</v>
      </c>
    </row>
    <row r="11" spans="2:3">
      <c r="B11" s="137" t="s">
        <v>9</v>
      </c>
    </row>
    <row r="12" spans="2:3">
      <c r="B12" s="140" t="s">
        <v>17</v>
      </c>
    </row>
    <row r="13" spans="2:3">
      <c r="B13" s="137" t="s">
        <v>25</v>
      </c>
    </row>
    <row r="14" spans="2:3">
      <c r="B14" s="138" t="s">
        <v>22</v>
      </c>
    </row>
    <row r="15" spans="2:3">
      <c r="B15" s="138" t="s">
        <v>26</v>
      </c>
    </row>
    <row r="16" spans="2:3">
      <c r="B16" s="138" t="s">
        <v>159</v>
      </c>
    </row>
    <row r="17" spans="2:2">
      <c r="B17" s="138" t="s">
        <v>24</v>
      </c>
    </row>
    <row r="18" spans="2:2">
      <c r="B18" s="137" t="s">
        <v>206</v>
      </c>
    </row>
    <row r="19" spans="2:2">
      <c r="B19" s="137" t="s">
        <v>68</v>
      </c>
    </row>
    <row r="20" spans="2:2">
      <c r="B20" s="138" t="s">
        <v>37</v>
      </c>
    </row>
    <row r="21" spans="2:2">
      <c r="B21" s="138" t="s">
        <v>33</v>
      </c>
    </row>
    <row r="22" spans="2:2">
      <c r="B22" s="137" t="s">
        <v>21</v>
      </c>
    </row>
    <row r="23" spans="2:2">
      <c r="B23" s="137" t="s">
        <v>19</v>
      </c>
    </row>
    <row r="24" spans="2:2" ht="15" customHeight="1">
      <c r="B24" s="138" t="s">
        <v>12</v>
      </c>
    </row>
    <row r="25" spans="2:2">
      <c r="B25" s="141" t="s">
        <v>226</v>
      </c>
    </row>
    <row r="26" spans="2:2">
      <c r="B26" s="137" t="s">
        <v>18</v>
      </c>
    </row>
    <row r="27" spans="2:2">
      <c r="B27" s="137" t="s">
        <v>414</v>
      </c>
    </row>
  </sheetData>
  <autoFilter ref="B1:C1" xr:uid="{060A6276-4F77-4300-9470-41207B18387F}"/>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BC402-3616-45B2-A1DB-255F5CDA2A6A}">
  <sheetPr codeName="Sheet16"/>
  <dimension ref="A1:DE771"/>
  <sheetViews>
    <sheetView topLeftCell="A7" zoomScale="110" zoomScaleNormal="110" workbookViewId="0">
      <pane xSplit="1" topLeftCell="B1" activePane="topRight" state="frozen"/>
      <selection pane="topRight" activeCell="BB24" sqref="BB24"/>
    </sheetView>
  </sheetViews>
  <sheetFormatPr defaultColWidth="13.7265625" defaultRowHeight="15" customHeight="1"/>
  <cols>
    <col min="1" max="1" width="13.7265625" style="61" customWidth="1"/>
    <col min="2" max="2" width="5.26953125" style="61" customWidth="1"/>
    <col min="3" max="3" width="4.453125" style="61" customWidth="1"/>
    <col min="4" max="4" width="6" style="61" customWidth="1"/>
    <col min="5" max="6" width="3.7265625" style="61" customWidth="1"/>
    <col min="7" max="7" width="7.7265625" style="61" customWidth="1"/>
    <col min="8" max="90" width="8.26953125" style="61" customWidth="1"/>
    <col min="91" max="91" width="9.81640625" style="61" customWidth="1"/>
    <col min="92" max="92" width="9.54296875" style="61" bestFit="1" customWidth="1"/>
    <col min="93" max="93" width="8.26953125" style="61" customWidth="1"/>
    <col min="94" max="94" width="9.7265625" style="81" bestFit="1" customWidth="1"/>
    <col min="95" max="95" width="8.26953125" style="61" customWidth="1"/>
    <col min="96" max="96" width="9.26953125" style="61" customWidth="1"/>
    <col min="97" max="109" width="8.26953125" style="61" customWidth="1"/>
    <col min="110" max="16384" width="13.7265625" style="61"/>
  </cols>
  <sheetData>
    <row r="1" spans="1:104" ht="14.25" customHeight="1">
      <c r="CO1" s="62"/>
      <c r="CP1" s="63"/>
      <c r="CQ1" s="64"/>
      <c r="CR1" s="62"/>
      <c r="CS1" s="62"/>
      <c r="CT1" s="62"/>
      <c r="CU1" s="62"/>
      <c r="CX1" s="62"/>
      <c r="CZ1" s="62"/>
    </row>
    <row r="2" spans="1:104" ht="14.25" customHeight="1">
      <c r="CO2" s="62"/>
      <c r="CP2" s="63"/>
      <c r="CQ2" s="64"/>
      <c r="CR2" s="62"/>
      <c r="CS2" s="62"/>
      <c r="CT2" s="62"/>
      <c r="CU2" s="62"/>
      <c r="CX2" s="62"/>
      <c r="CZ2" s="62"/>
    </row>
    <row r="3" spans="1:104" ht="14.25" customHeight="1">
      <c r="CO3" s="62"/>
      <c r="CP3" s="63"/>
      <c r="CQ3" s="64"/>
      <c r="CR3" s="62"/>
      <c r="CS3" s="62"/>
      <c r="CT3" s="62"/>
      <c r="CU3" s="62"/>
      <c r="CX3" s="62"/>
      <c r="CZ3" s="62"/>
    </row>
    <row r="4" spans="1:104" ht="14.25" customHeight="1">
      <c r="CO4" s="62"/>
      <c r="CP4" s="63"/>
      <c r="CQ4" s="64"/>
      <c r="CR4" s="62"/>
      <c r="CS4" s="62"/>
      <c r="CT4" s="62"/>
      <c r="CU4" s="62"/>
      <c r="CX4" s="62"/>
      <c r="CZ4" s="62"/>
    </row>
    <row r="5" spans="1:104" ht="14.25" customHeight="1">
      <c r="CO5" s="62"/>
      <c r="CP5" s="63"/>
      <c r="CQ5" s="64"/>
      <c r="CR5" s="62"/>
      <c r="CS5" s="62"/>
      <c r="CT5" s="62"/>
      <c r="CU5" s="62"/>
      <c r="CX5" s="62"/>
      <c r="CZ5" s="62"/>
    </row>
    <row r="6" spans="1:104" ht="14.25" customHeight="1">
      <c r="CO6" s="62"/>
      <c r="CP6" s="63"/>
      <c r="CQ6" s="64"/>
      <c r="CR6" s="62"/>
      <c r="CS6" s="62"/>
      <c r="CT6" s="62"/>
      <c r="CU6" s="62"/>
      <c r="CX6" s="62"/>
      <c r="CZ6" s="62"/>
    </row>
    <row r="7" spans="1:104" ht="14.25" customHeight="1">
      <c r="CO7" s="62"/>
      <c r="CP7" s="63"/>
      <c r="CQ7" s="64"/>
      <c r="CR7" s="62"/>
      <c r="CS7" s="62"/>
      <c r="CT7" s="62"/>
      <c r="CU7" s="62"/>
      <c r="CX7" s="62"/>
      <c r="CZ7" s="62"/>
    </row>
    <row r="8" spans="1:104" ht="14.25" customHeight="1">
      <c r="CO8" s="62"/>
      <c r="CP8" s="63"/>
      <c r="CQ8" s="64"/>
      <c r="CR8" s="62"/>
      <c r="CS8" s="62"/>
      <c r="CT8" s="62"/>
      <c r="CU8" s="62"/>
      <c r="CX8" s="62"/>
      <c r="CZ8" s="62"/>
    </row>
    <row r="9" spans="1:104" ht="14.25" customHeight="1">
      <c r="CO9" s="62"/>
      <c r="CP9" s="63"/>
      <c r="CQ9" s="64"/>
      <c r="CR9" s="62"/>
      <c r="CS9" s="62"/>
      <c r="CT9" s="62"/>
      <c r="CU9" s="62"/>
      <c r="CX9" s="62"/>
      <c r="CZ9" s="62"/>
    </row>
    <row r="10" spans="1:104" ht="14.25" customHeight="1">
      <c r="G10" s="65" t="s">
        <v>275</v>
      </c>
      <c r="H10" s="65" t="s">
        <v>276</v>
      </c>
      <c r="I10" s="65" t="s">
        <v>277</v>
      </c>
      <c r="J10" s="65" t="s">
        <v>278</v>
      </c>
      <c r="K10" s="65" t="s">
        <v>279</v>
      </c>
      <c r="L10" s="65" t="s">
        <v>280</v>
      </c>
      <c r="M10" s="65" t="s">
        <v>281</v>
      </c>
      <c r="N10" s="65" t="s">
        <v>282</v>
      </c>
      <c r="O10" s="65" t="s">
        <v>283</v>
      </c>
      <c r="P10" s="65" t="s">
        <v>284</v>
      </c>
      <c r="Q10" s="65" t="s">
        <v>285</v>
      </c>
      <c r="R10" s="65" t="s">
        <v>286</v>
      </c>
      <c r="S10" s="65" t="s">
        <v>287</v>
      </c>
      <c r="T10" s="65" t="s">
        <v>288</v>
      </c>
      <c r="U10" s="65" t="s">
        <v>289</v>
      </c>
      <c r="V10" s="65" t="s">
        <v>290</v>
      </c>
      <c r="W10" s="65" t="s">
        <v>291</v>
      </c>
      <c r="X10" s="65" t="s">
        <v>292</v>
      </c>
      <c r="Y10" s="65" t="s">
        <v>293</v>
      </c>
      <c r="Z10" s="65" t="s">
        <v>294</v>
      </c>
      <c r="AA10" s="65" t="s">
        <v>295</v>
      </c>
      <c r="CO10" s="62"/>
      <c r="CP10" s="63"/>
      <c r="CQ10" s="64"/>
      <c r="CR10" s="62"/>
      <c r="CS10" s="62"/>
      <c r="CT10" s="62"/>
      <c r="CU10" s="62"/>
      <c r="CX10" s="62"/>
      <c r="CZ10" s="62"/>
    </row>
    <row r="11" spans="1:104" ht="14.25" customHeight="1">
      <c r="A11" s="509" t="s">
        <v>296</v>
      </c>
      <c r="B11" s="506"/>
      <c r="C11" s="161"/>
      <c r="D11" s="161"/>
      <c r="E11" s="161"/>
      <c r="G11" s="65" t="e">
        <f t="shared" ref="G11:AA11" si="0">(G13+(3*G14)+G15)/5</f>
        <v>#DIV/0!</v>
      </c>
      <c r="H11" s="65" t="e">
        <f t="shared" si="0"/>
        <v>#DIV/0!</v>
      </c>
      <c r="I11" s="65" t="e">
        <f t="shared" si="0"/>
        <v>#DIV/0!</v>
      </c>
      <c r="J11" s="65" t="e">
        <f t="shared" si="0"/>
        <v>#DIV/0!</v>
      </c>
      <c r="K11" s="65" t="e">
        <f t="shared" si="0"/>
        <v>#DIV/0!</v>
      </c>
      <c r="L11" s="65" t="e">
        <f t="shared" si="0"/>
        <v>#DIV/0!</v>
      </c>
      <c r="M11" s="65" t="e">
        <f t="shared" si="0"/>
        <v>#DIV/0!</v>
      </c>
      <c r="N11" s="65" t="e">
        <f t="shared" si="0"/>
        <v>#DIV/0!</v>
      </c>
      <c r="O11" s="65" t="e">
        <f t="shared" si="0"/>
        <v>#DIV/0!</v>
      </c>
      <c r="P11" s="65" t="e">
        <f t="shared" si="0"/>
        <v>#DIV/0!</v>
      </c>
      <c r="Q11" s="65" t="e">
        <f t="shared" si="0"/>
        <v>#DIV/0!</v>
      </c>
      <c r="R11" s="65" t="e">
        <f t="shared" si="0"/>
        <v>#DIV/0!</v>
      </c>
      <c r="S11" s="65" t="e">
        <f t="shared" si="0"/>
        <v>#DIV/0!</v>
      </c>
      <c r="T11" s="65" t="e">
        <f t="shared" si="0"/>
        <v>#DIV/0!</v>
      </c>
      <c r="U11" s="65" t="e">
        <f t="shared" si="0"/>
        <v>#DIV/0!</v>
      </c>
      <c r="V11" s="65" t="e">
        <f t="shared" si="0"/>
        <v>#DIV/0!</v>
      </c>
      <c r="W11" s="65" t="e">
        <f t="shared" si="0"/>
        <v>#DIV/0!</v>
      </c>
      <c r="X11" s="65" t="e">
        <f t="shared" si="0"/>
        <v>#DIV/0!</v>
      </c>
      <c r="Y11" s="65" t="e">
        <f t="shared" si="0"/>
        <v>#DIV/0!</v>
      </c>
      <c r="Z11" s="65" t="e">
        <f t="shared" si="0"/>
        <v>#DIV/0!</v>
      </c>
      <c r="AA11" s="65" t="e">
        <f t="shared" si="0"/>
        <v>#DIV/0!</v>
      </c>
      <c r="CO11" s="62"/>
      <c r="CP11" s="63"/>
      <c r="CQ11" s="64"/>
      <c r="CR11" s="62"/>
      <c r="CS11" s="62"/>
      <c r="CT11" s="62"/>
      <c r="CU11" s="62"/>
      <c r="CX11" s="62"/>
      <c r="CZ11" s="62"/>
    </row>
    <row r="12" spans="1:104" ht="14.25" customHeight="1">
      <c r="A12" s="509" t="s">
        <v>297</v>
      </c>
      <c r="B12" s="506"/>
      <c r="C12" s="161"/>
      <c r="D12" s="161"/>
      <c r="E12" s="161"/>
      <c r="F12" s="65">
        <f>SUBTOTAL(9,C18:C21)</f>
        <v>3</v>
      </c>
      <c r="G12" s="65">
        <f>SUBTOTAL(9,G18:G21)*F12</f>
        <v>893.55000000000007</v>
      </c>
      <c r="H12" s="65">
        <f>SUBTOTAL(9,H18:H21)*F12</f>
        <v>4537.0499999999993</v>
      </c>
      <c r="I12" s="65">
        <f>SUBTOTAL(9,I18:I21)*F12</f>
        <v>3735.8999999999996</v>
      </c>
      <c r="J12" s="65">
        <f>SUBTOTAL(9,J18:J21)*F12</f>
        <v>2645.1</v>
      </c>
      <c r="K12" s="65">
        <f>SUBTOTAL(9,K18:K21)*F12</f>
        <v>3783.75</v>
      </c>
      <c r="L12" s="65">
        <f>SUBTOTAL(9,L18:L21)*F12</f>
        <v>3997.5</v>
      </c>
      <c r="M12" s="65">
        <f>SUBTOTAL(9,M18:M21)*F12</f>
        <v>3376.05</v>
      </c>
      <c r="N12" s="65">
        <f>SUBTOTAL(9,N18:N21)*F12</f>
        <v>4596.1499999999996</v>
      </c>
      <c r="O12" s="65">
        <f>SUBTOTAL(9,O18:O21)*F12</f>
        <v>4757.0999999999995</v>
      </c>
      <c r="P12" s="65">
        <f>SUBTOTAL(9,P18:P21)*F12</f>
        <v>4752</v>
      </c>
      <c r="Q12" s="65">
        <f>SUBTOTAL(9,Q18:Q21)*F12</f>
        <v>5299.2000000000007</v>
      </c>
      <c r="R12" s="65">
        <f>SUBTOTAL(9,R18:R21)*F12</f>
        <v>4364.55</v>
      </c>
      <c r="S12" s="65">
        <f>SUBTOTAL(9,S18:S21)*F12</f>
        <v>5972.4</v>
      </c>
      <c r="T12" s="65">
        <f>SUBTOTAL(9,T18:T21)*F12</f>
        <v>4529.9400000000005</v>
      </c>
      <c r="U12" s="65">
        <f>SUBTOTAL(9,U18:U21)*F12</f>
        <v>3278.76</v>
      </c>
      <c r="V12" s="65">
        <f>SUBTOTAL(9,V18:V21)*F12</f>
        <v>3180.93</v>
      </c>
      <c r="W12" s="65">
        <f>SUBTOTAL(9,W18:W21)*F12</f>
        <v>2178.9299999999998</v>
      </c>
      <c r="X12" s="65">
        <f>SUBTOTAL(9,X18:X21)*F12</f>
        <v>2322.96</v>
      </c>
      <c r="Y12" s="65">
        <f>SUBTOTAL(9,Y18:Y21)*F12</f>
        <v>1926.8999999999999</v>
      </c>
      <c r="Z12" s="65">
        <f>SUBTOTAL(9,Z18:Z21)*F12</f>
        <v>1892.37</v>
      </c>
      <c r="AA12" s="65">
        <f>SUBTOTAL(9,AA18:AA21)*F12</f>
        <v>2225.4299999999998</v>
      </c>
      <c r="CO12" s="62"/>
      <c r="CP12" s="63"/>
      <c r="CQ12" s="64"/>
      <c r="CR12" s="67"/>
      <c r="CS12" s="62"/>
      <c r="CT12" s="62"/>
      <c r="CU12" s="62"/>
      <c r="CX12" s="62"/>
      <c r="CZ12" s="62"/>
    </row>
    <row r="13" spans="1:104" ht="14.25" customHeight="1">
      <c r="A13" s="510" t="s">
        <v>298</v>
      </c>
      <c r="B13" s="506"/>
      <c r="C13" s="162"/>
      <c r="D13" s="162"/>
      <c r="E13" s="162"/>
      <c r="F13" s="65" t="e">
        <f>SUBTOTAL(9,D18:D21)</f>
        <v>#DIV/0!</v>
      </c>
      <c r="G13" s="65" t="e">
        <f>SUBTOTAL(9,AB18:AB21)*F13</f>
        <v>#DIV/0!</v>
      </c>
      <c r="H13" s="65" t="e">
        <f>SUBTOTAL(9,AC18:AC21)*F13</f>
        <v>#DIV/0!</v>
      </c>
      <c r="I13" s="65" t="e">
        <f>SUBTOTAL(9,AD18:AD21)*F13</f>
        <v>#DIV/0!</v>
      </c>
      <c r="J13" s="65" t="e">
        <f>SUBTOTAL(9,AE18:AE21)*F13</f>
        <v>#DIV/0!</v>
      </c>
      <c r="K13" s="65" t="e">
        <f>SUBTOTAL(9,AF18:AF21)*F13</f>
        <v>#DIV/0!</v>
      </c>
      <c r="L13" s="65" t="e">
        <f>SUBTOTAL(9,AG18:AG21)*F13</f>
        <v>#DIV/0!</v>
      </c>
      <c r="M13" s="65" t="e">
        <f>SUBTOTAL(9,AH18:AH21)*F13</f>
        <v>#DIV/0!</v>
      </c>
      <c r="N13" s="65" t="e">
        <f>SUBTOTAL(9,AI18:AI21)*F13</f>
        <v>#DIV/0!</v>
      </c>
      <c r="O13" s="65" t="e">
        <f>SUBTOTAL(9,AJ18:AJ21)*F13</f>
        <v>#DIV/0!</v>
      </c>
      <c r="P13" s="65" t="e">
        <f>SUBTOTAL(9,AK18:AK21)*F13</f>
        <v>#DIV/0!</v>
      </c>
      <c r="Q13" s="65" t="e">
        <f>SUBTOTAL(9,AL18:AL21)*F13</f>
        <v>#DIV/0!</v>
      </c>
      <c r="R13" s="65" t="e">
        <f>SUBTOTAL(9,AM18:AM21)*F13</f>
        <v>#DIV/0!</v>
      </c>
      <c r="S13" s="65" t="e">
        <f>SUBTOTAL(9,AN18:AN21)*F13</f>
        <v>#DIV/0!</v>
      </c>
      <c r="T13" s="65" t="e">
        <f>SUBTOTAL(9,AO18:AO21)*F13</f>
        <v>#DIV/0!</v>
      </c>
      <c r="U13" s="65" t="e">
        <f>SUBTOTAL(9,AP18:AP21)*F13</f>
        <v>#DIV/0!</v>
      </c>
      <c r="V13" s="65" t="e">
        <f>SUBTOTAL(9,AQ18:AQ21)*F13</f>
        <v>#DIV/0!</v>
      </c>
      <c r="W13" s="65" t="e">
        <f>SUBTOTAL(9,AR18:AR21)*F13</f>
        <v>#DIV/0!</v>
      </c>
      <c r="X13" s="65" t="e">
        <f>SUBTOTAL(9,AS18:AS21)*F13</f>
        <v>#DIV/0!</v>
      </c>
      <c r="Y13" s="65" t="e">
        <f>SUBTOTAL(9,AT18:AT21)*F13</f>
        <v>#DIV/0!</v>
      </c>
      <c r="Z13" s="65" t="e">
        <f>SUBTOTAL(9,AU18:AU21)*F13</f>
        <v>#DIV/0!</v>
      </c>
      <c r="AA13" s="65" t="e">
        <f>SUBTOTAL(9,AV18:AV21)*F13</f>
        <v>#DIV/0!</v>
      </c>
      <c r="CO13" s="62"/>
      <c r="CP13" s="63"/>
      <c r="CQ13" s="64"/>
      <c r="CR13" s="62"/>
      <c r="CS13" s="62"/>
      <c r="CT13" s="62"/>
      <c r="CU13" s="62"/>
      <c r="CX13" s="62"/>
      <c r="CZ13" s="62"/>
    </row>
    <row r="14" spans="1:104" ht="14.25" customHeight="1">
      <c r="A14" s="511" t="s">
        <v>163</v>
      </c>
      <c r="B14" s="506"/>
      <c r="C14" s="163"/>
      <c r="D14" s="163"/>
      <c r="E14" s="163"/>
      <c r="F14" s="65">
        <f>SUBTOTAL(9,E18:E21)</f>
        <v>92.981995685943104</v>
      </c>
      <c r="G14" s="65">
        <f>SUBTOTAL(9,AW18:AW21)*F14</f>
        <v>181194.9448131542</v>
      </c>
      <c r="H14" s="65">
        <f>SUBTOTAL(9,AX18:AX21)*F14</f>
        <v>149227.73469632692</v>
      </c>
      <c r="I14" s="65">
        <f>SUBTOTAL(9,AY18:AY21)*F14</f>
        <v>171659.6411555607</v>
      </c>
      <c r="J14" s="65">
        <f>SUBTOTAL(9,AZ18:AZ21)*F14</f>
        <v>139751.00969601562</v>
      </c>
      <c r="K14" s="65">
        <f>SUBTOTAL(9,BA18:BA21)*F14</f>
        <v>214324.42987605574</v>
      </c>
      <c r="L14" s="65">
        <f>SUBTOTAL(9,BB18:BB21)*F14</f>
        <v>208403.3363907749</v>
      </c>
      <c r="M14" s="65">
        <f>SUBTOTAL(9,BC18:BC21)*F14</f>
        <v>146998.95625973487</v>
      </c>
      <c r="N14" s="65">
        <f>SUBTOTAL(9,BD18:BD21)*F14</f>
        <v>137276.75879081269</v>
      </c>
      <c r="O14" s="65">
        <f>SUBTOTAL(9,BE18:BE21)*F14</f>
        <v>101611.65470555548</v>
      </c>
      <c r="P14" s="65">
        <f>SUBTOTAL(9,BF18:BF21)*F14</f>
        <v>149051.99872448051</v>
      </c>
      <c r="Q14" s="65">
        <f>SUBTOTAL(9,BG18:BG21)*F14</f>
        <v>182250.29046418963</v>
      </c>
      <c r="R14" s="65">
        <f>SUBTOTAL(9,BH18:BH21)*F14</f>
        <v>142860.32763175355</v>
      </c>
      <c r="S14" s="65">
        <f>SUBTOTAL(9,BI18:BI21)*F14</f>
        <v>-302240.76643702859</v>
      </c>
      <c r="T14" s="65">
        <f>SUBTOTAL(9,BJ18:BJ21)*F14</f>
        <v>195267.76986022168</v>
      </c>
      <c r="U14" s="65">
        <f>SUBTOTAL(9,BK18:BK21)*F14</f>
        <v>186692.04039810717</v>
      </c>
      <c r="V14" s="65">
        <f>SUBTOTAL(9,BL18:BL21)*F14</f>
        <v>177271.10459520738</v>
      </c>
      <c r="W14" s="65">
        <f>SUBTOTAL(9,BM18:BM21)*F14</f>
        <v>130226.86387790448</v>
      </c>
      <c r="X14" s="65">
        <f>SUBTOTAL(9,BN18:BN21)*F14</f>
        <v>157394.34337742333</v>
      </c>
      <c r="Y14" s="65">
        <f>SUBTOTAL(9,BO18:BO21)*F14</f>
        <v>167509.85468809708</v>
      </c>
      <c r="Z14" s="65">
        <f>SUBTOTAL(9,BP18:BP21)*F14</f>
        <v>158370.65433212573</v>
      </c>
      <c r="AA14" s="65">
        <f>SUBTOTAL(9,BQ18:BQ21)*F14</f>
        <v>154987.03950911426</v>
      </c>
      <c r="CO14" s="62"/>
      <c r="CP14" s="63"/>
      <c r="CQ14" s="64"/>
      <c r="CR14" s="62"/>
      <c r="CS14" s="62"/>
      <c r="CT14" s="62"/>
      <c r="CU14" s="62"/>
      <c r="CX14" s="62"/>
      <c r="CZ14" s="62"/>
    </row>
    <row r="15" spans="1:104" ht="14.25" customHeight="1">
      <c r="A15" s="508" t="s">
        <v>299</v>
      </c>
      <c r="B15" s="506"/>
      <c r="C15" s="160"/>
      <c r="D15" s="160"/>
      <c r="E15" s="160"/>
      <c r="F15" s="65" t="e">
        <f>SUBTOTAL(9,F18:F21)</f>
        <v>#DIV/0!</v>
      </c>
      <c r="G15" s="65" t="e">
        <f>SUBTOTAL(9,BR18:BR21)*F15</f>
        <v>#DIV/0!</v>
      </c>
      <c r="H15" s="65" t="e">
        <f>SUBTOTAL(9,BS18:BS21)*F15</f>
        <v>#DIV/0!</v>
      </c>
      <c r="I15" s="65" t="e">
        <f>SUBTOTAL(9,BT18:BT21)*F15</f>
        <v>#DIV/0!</v>
      </c>
      <c r="J15" s="65" t="e">
        <f>SUBTOTAL(9,BU18:BU21)*F15</f>
        <v>#DIV/0!</v>
      </c>
      <c r="K15" s="65" t="e">
        <f>SUBTOTAL(9,BV18:BV21)*F15</f>
        <v>#DIV/0!</v>
      </c>
      <c r="L15" s="65" t="e">
        <f>SUBTOTAL(9,BW18:BW21)*F15</f>
        <v>#DIV/0!</v>
      </c>
      <c r="M15" s="65" t="e">
        <f>SUBTOTAL(9,BX18:BX21)*F15</f>
        <v>#DIV/0!</v>
      </c>
      <c r="N15" s="65" t="e">
        <f>SUBTOTAL(9,BY18:BY21)*F15</f>
        <v>#DIV/0!</v>
      </c>
      <c r="O15" s="65" t="e">
        <f>SUBTOTAL(9,BZ18:BZ21)*F15</f>
        <v>#DIV/0!</v>
      </c>
      <c r="P15" s="65" t="e">
        <f>SUBTOTAL(9,CA18:CA21)*F15</f>
        <v>#DIV/0!</v>
      </c>
      <c r="Q15" s="65" t="e">
        <f>SUBTOTAL(9,CB18:CB21)*F15</f>
        <v>#DIV/0!</v>
      </c>
      <c r="R15" s="65" t="e">
        <f>SUBTOTAL(9,CC18:CC21)*F15</f>
        <v>#DIV/0!</v>
      </c>
      <c r="S15" s="65" t="e">
        <f>SUBTOTAL(9,CD18:CD21)*F15</f>
        <v>#DIV/0!</v>
      </c>
      <c r="T15" s="65" t="e">
        <f>SUBTOTAL(9,CE18:CE21)*F15</f>
        <v>#DIV/0!</v>
      </c>
      <c r="U15" s="65" t="e">
        <f>SUBTOTAL(9,CF18:CF21)*F15</f>
        <v>#DIV/0!</v>
      </c>
      <c r="V15" s="65" t="e">
        <f>SUBTOTAL(9,CG18:CG21)*F15</f>
        <v>#DIV/0!</v>
      </c>
      <c r="W15" s="65" t="e">
        <f>SUBTOTAL(9,CH18:CH21)*F15</f>
        <v>#DIV/0!</v>
      </c>
      <c r="X15" s="65" t="e">
        <f>SUBTOTAL(9,CI18:CI21)*F15</f>
        <v>#DIV/0!</v>
      </c>
      <c r="Y15" s="65" t="e">
        <f>SUBTOTAL(9,CJ18:CJ21)*F15</f>
        <v>#DIV/0!</v>
      </c>
      <c r="Z15" s="65" t="e">
        <f>SUBTOTAL(9,CK18:CK21)*F15</f>
        <v>#DIV/0!</v>
      </c>
      <c r="AA15" s="65" t="e">
        <f>SUBTOTAL(9,CL18:CL21)*F15</f>
        <v>#DIV/0!</v>
      </c>
      <c r="CO15" s="62"/>
      <c r="CP15" s="63"/>
      <c r="CQ15" s="64"/>
      <c r="CR15" s="62"/>
      <c r="CS15" s="62"/>
      <c r="CT15" s="62"/>
      <c r="CU15" s="62"/>
      <c r="CX15" s="62"/>
      <c r="CZ15" s="62"/>
    </row>
    <row r="16" spans="1:104" ht="14.25" customHeight="1">
      <c r="B16" s="71" t="e">
        <f>((1+((G11-G12)/G12))*10000)</f>
        <v>#DIV/0!</v>
      </c>
      <c r="C16" s="65">
        <f>SUBTOTAL(9,CT18:CT21)</f>
        <v>85.973630153753334</v>
      </c>
      <c r="D16" s="65">
        <f>SUBTOTAL(9,CR18:CR21)</f>
        <v>29560.8884222345</v>
      </c>
      <c r="E16" s="65">
        <f>SUBTOTAL(9,CW18:CW21)</f>
        <v>94.933630153753327</v>
      </c>
      <c r="G16" s="512" t="s">
        <v>300</v>
      </c>
      <c r="H16" s="506"/>
      <c r="I16" s="506"/>
      <c r="J16" s="506"/>
      <c r="K16" s="506"/>
      <c r="L16" s="506"/>
      <c r="M16" s="506"/>
      <c r="N16" s="506"/>
      <c r="O16" s="506"/>
      <c r="P16" s="506"/>
      <c r="Q16" s="506"/>
      <c r="R16" s="506"/>
      <c r="S16" s="506"/>
      <c r="T16" s="506"/>
      <c r="U16" s="506"/>
      <c r="V16" s="506"/>
      <c r="W16" s="506"/>
      <c r="X16" s="506"/>
      <c r="Y16" s="506"/>
      <c r="Z16" s="506"/>
      <c r="AA16" s="506"/>
      <c r="AB16" s="505" t="s">
        <v>298</v>
      </c>
      <c r="AC16" s="506"/>
      <c r="AD16" s="506"/>
      <c r="AE16" s="506"/>
      <c r="AF16" s="506"/>
      <c r="AG16" s="506"/>
      <c r="AH16" s="506"/>
      <c r="AI16" s="506"/>
      <c r="AJ16" s="506"/>
      <c r="AK16" s="506"/>
      <c r="AL16" s="506"/>
      <c r="AM16" s="506"/>
      <c r="AN16" s="506"/>
      <c r="AO16" s="506"/>
      <c r="AP16" s="506"/>
      <c r="AQ16" s="506"/>
      <c r="AR16" s="506"/>
      <c r="AS16" s="506"/>
      <c r="AT16" s="506"/>
      <c r="AU16" s="506"/>
      <c r="AV16" s="506"/>
      <c r="AW16" s="507" t="s">
        <v>301</v>
      </c>
      <c r="AX16" s="506"/>
      <c r="AY16" s="506"/>
      <c r="AZ16" s="506"/>
      <c r="BA16" s="506"/>
      <c r="BB16" s="506"/>
      <c r="BC16" s="506"/>
      <c r="BD16" s="506"/>
      <c r="BE16" s="506"/>
      <c r="BF16" s="506"/>
      <c r="BG16" s="506"/>
      <c r="BH16" s="506"/>
      <c r="BI16" s="506"/>
      <c r="BJ16" s="506"/>
      <c r="BK16" s="506"/>
      <c r="BL16" s="506"/>
      <c r="BM16" s="506"/>
      <c r="BN16" s="506"/>
      <c r="BO16" s="506"/>
      <c r="BP16" s="506"/>
      <c r="BQ16" s="506"/>
      <c r="BR16" s="508" t="s">
        <v>302</v>
      </c>
      <c r="BS16" s="506"/>
      <c r="BT16" s="506"/>
      <c r="BU16" s="506"/>
      <c r="BV16" s="506"/>
      <c r="BW16" s="506"/>
      <c r="BX16" s="506"/>
      <c r="BY16" s="506"/>
      <c r="BZ16" s="506"/>
      <c r="CA16" s="506"/>
      <c r="CB16" s="506"/>
      <c r="CC16" s="506"/>
      <c r="CD16" s="506"/>
      <c r="CE16" s="506"/>
      <c r="CF16" s="506"/>
      <c r="CG16" s="506"/>
      <c r="CH16" s="506"/>
      <c r="CI16" s="506"/>
      <c r="CJ16" s="506"/>
      <c r="CK16" s="506"/>
      <c r="CL16" s="506"/>
      <c r="CO16" s="62"/>
      <c r="CP16" s="63"/>
      <c r="CQ16" s="64"/>
      <c r="CR16" s="62"/>
      <c r="CS16" s="62"/>
      <c r="CT16" s="62"/>
      <c r="CU16" s="62"/>
      <c r="CX16" s="62"/>
      <c r="CZ16" s="62"/>
    </row>
    <row r="17" spans="1:109" ht="14.25" customHeight="1" thickBot="1">
      <c r="A17" s="72" t="s">
        <v>303</v>
      </c>
      <c r="B17" s="65" t="s">
        <v>304</v>
      </c>
      <c r="C17" s="65" t="s">
        <v>305</v>
      </c>
      <c r="D17" s="65" t="s">
        <v>306</v>
      </c>
      <c r="E17" s="65" t="s">
        <v>307</v>
      </c>
      <c r="F17" s="65" t="s">
        <v>308</v>
      </c>
      <c r="G17" s="73" t="s">
        <v>275</v>
      </c>
      <c r="H17" s="65" t="s">
        <v>309</v>
      </c>
      <c r="I17" s="65" t="s">
        <v>310</v>
      </c>
      <c r="J17" s="65" t="s">
        <v>311</v>
      </c>
      <c r="K17" s="65" t="s">
        <v>312</v>
      </c>
      <c r="L17" s="65" t="s">
        <v>313</v>
      </c>
      <c r="M17" s="65" t="s">
        <v>314</v>
      </c>
      <c r="N17" s="65" t="s">
        <v>315</v>
      </c>
      <c r="O17" s="65" t="s">
        <v>316</v>
      </c>
      <c r="P17" s="65" t="s">
        <v>317</v>
      </c>
      <c r="Q17" s="65" t="s">
        <v>318</v>
      </c>
      <c r="R17" s="65" t="s">
        <v>319</v>
      </c>
      <c r="S17" s="65" t="s">
        <v>320</v>
      </c>
      <c r="T17" s="65" t="s">
        <v>321</v>
      </c>
      <c r="U17" s="65" t="s">
        <v>322</v>
      </c>
      <c r="V17" s="65" t="s">
        <v>323</v>
      </c>
      <c r="W17" s="65" t="s">
        <v>324</v>
      </c>
      <c r="X17" s="65" t="s">
        <v>325</v>
      </c>
      <c r="Y17" s="65" t="s">
        <v>326</v>
      </c>
      <c r="Z17" s="65" t="s">
        <v>327</v>
      </c>
      <c r="AA17" s="65" t="s">
        <v>328</v>
      </c>
      <c r="AB17" s="65" t="s">
        <v>275</v>
      </c>
      <c r="AC17" s="65" t="s">
        <v>329</v>
      </c>
      <c r="AD17" s="65" t="s">
        <v>330</v>
      </c>
      <c r="AE17" s="65" t="s">
        <v>331</v>
      </c>
      <c r="AF17" s="65" t="s">
        <v>332</v>
      </c>
      <c r="AG17" s="65" t="s">
        <v>333</v>
      </c>
      <c r="AH17" s="65" t="s">
        <v>334</v>
      </c>
      <c r="AI17" s="65" t="s">
        <v>335</v>
      </c>
      <c r="AJ17" s="65" t="s">
        <v>336</v>
      </c>
      <c r="AK17" s="65" t="s">
        <v>337</v>
      </c>
      <c r="AL17" s="65" t="s">
        <v>338</v>
      </c>
      <c r="AM17" s="65" t="s">
        <v>339</v>
      </c>
      <c r="AN17" s="65" t="s">
        <v>340</v>
      </c>
      <c r="AO17" s="65" t="s">
        <v>341</v>
      </c>
      <c r="AP17" s="65" t="s">
        <v>342</v>
      </c>
      <c r="AQ17" s="65" t="s">
        <v>343</v>
      </c>
      <c r="AR17" s="65" t="s">
        <v>344</v>
      </c>
      <c r="AS17" s="65" t="s">
        <v>345</v>
      </c>
      <c r="AT17" s="65" t="s">
        <v>346</v>
      </c>
      <c r="AU17" s="65" t="s">
        <v>347</v>
      </c>
      <c r="AV17" s="65" t="s">
        <v>348</v>
      </c>
      <c r="AW17" s="65" t="s">
        <v>275</v>
      </c>
      <c r="AX17" s="65" t="s">
        <v>349</v>
      </c>
      <c r="AY17" s="65" t="s">
        <v>350</v>
      </c>
      <c r="AZ17" s="65" t="s">
        <v>351</v>
      </c>
      <c r="BA17" s="65" t="s">
        <v>352</v>
      </c>
      <c r="BB17" s="65" t="s">
        <v>353</v>
      </c>
      <c r="BC17" s="65" t="s">
        <v>354</v>
      </c>
      <c r="BD17" s="65" t="s">
        <v>355</v>
      </c>
      <c r="BE17" s="65" t="s">
        <v>356</v>
      </c>
      <c r="BF17" s="65" t="s">
        <v>357</v>
      </c>
      <c r="BG17" s="65" t="s">
        <v>358</v>
      </c>
      <c r="BH17" s="65" t="s">
        <v>359</v>
      </c>
      <c r="BI17" s="65" t="s">
        <v>360</v>
      </c>
      <c r="BJ17" s="65" t="s">
        <v>361</v>
      </c>
      <c r="BK17" s="65" t="s">
        <v>362</v>
      </c>
      <c r="BL17" s="65" t="s">
        <v>363</v>
      </c>
      <c r="BM17" s="65" t="s">
        <v>364</v>
      </c>
      <c r="BN17" s="65" t="s">
        <v>365</v>
      </c>
      <c r="BO17" s="65" t="s">
        <v>366</v>
      </c>
      <c r="BP17" s="65" t="s">
        <v>367</v>
      </c>
      <c r="BQ17" s="65" t="s">
        <v>368</v>
      </c>
      <c r="BR17" s="65" t="s">
        <v>275</v>
      </c>
      <c r="BS17" s="65" t="s">
        <v>369</v>
      </c>
      <c r="BT17" s="65" t="s">
        <v>370</v>
      </c>
      <c r="BU17" s="65" t="s">
        <v>371</v>
      </c>
      <c r="BV17" s="65" t="s">
        <v>372</v>
      </c>
      <c r="BW17" s="65" t="s">
        <v>373</v>
      </c>
      <c r="BX17" s="65" t="s">
        <v>374</v>
      </c>
      <c r="BY17" s="65" t="s">
        <v>375</v>
      </c>
      <c r="BZ17" s="65" t="s">
        <v>376</v>
      </c>
      <c r="CA17" s="65" t="s">
        <v>377</v>
      </c>
      <c r="CB17" s="65" t="s">
        <v>378</v>
      </c>
      <c r="CC17" s="65" t="s">
        <v>379</v>
      </c>
      <c r="CD17" s="65" t="s">
        <v>380</v>
      </c>
      <c r="CE17" s="65" t="s">
        <v>381</v>
      </c>
      <c r="CF17" s="65" t="s">
        <v>382</v>
      </c>
      <c r="CG17" s="65" t="s">
        <v>383</v>
      </c>
      <c r="CH17" s="65" t="s">
        <v>384</v>
      </c>
      <c r="CI17" s="65" t="s">
        <v>385</v>
      </c>
      <c r="CJ17" s="65" t="s">
        <v>386</v>
      </c>
      <c r="CK17" s="65" t="s">
        <v>387</v>
      </c>
      <c r="CL17" s="65" t="s">
        <v>388</v>
      </c>
      <c r="CM17" s="74" t="s">
        <v>389</v>
      </c>
      <c r="CN17" s="74" t="s">
        <v>223</v>
      </c>
      <c r="CO17" s="62" t="s">
        <v>390</v>
      </c>
      <c r="CP17" s="63" t="s">
        <v>391</v>
      </c>
      <c r="CQ17" s="73" t="s">
        <v>392</v>
      </c>
      <c r="CR17" s="62" t="s">
        <v>66</v>
      </c>
      <c r="CS17" s="62" t="s">
        <v>163</v>
      </c>
      <c r="CT17" s="62" t="s">
        <v>393</v>
      </c>
      <c r="CU17" s="62" t="s">
        <v>411</v>
      </c>
      <c r="CV17" s="65" t="s">
        <v>394</v>
      </c>
      <c r="CW17" s="65" t="s">
        <v>395</v>
      </c>
      <c r="CX17" s="62" t="s">
        <v>66</v>
      </c>
      <c r="CY17" s="65" t="s">
        <v>163</v>
      </c>
      <c r="CZ17" s="62" t="s">
        <v>393</v>
      </c>
      <c r="DA17" s="75" t="s">
        <v>396</v>
      </c>
      <c r="DB17" s="75" t="s">
        <v>397</v>
      </c>
      <c r="DC17" s="76" t="s">
        <v>398</v>
      </c>
      <c r="DD17" s="65" t="s">
        <v>399</v>
      </c>
      <c r="DE17" s="65" t="s">
        <v>400</v>
      </c>
    </row>
    <row r="18" spans="1:109" ht="14.25" customHeight="1" thickBot="1">
      <c r="A18" s="148" t="s">
        <v>427</v>
      </c>
      <c r="B18" s="65" t="s">
        <v>268</v>
      </c>
      <c r="C18" s="65">
        <v>1</v>
      </c>
      <c r="D18" s="65" t="e">
        <f>AVERAGE(G18:AA18)/AVERAGE(AC18:AV18)</f>
        <v>#DIV/0!</v>
      </c>
      <c r="E18" s="65">
        <f>AVERAGE(G18:AA18)/AVERAGE(AY18:BQ18)</f>
        <v>91.850486091898787</v>
      </c>
      <c r="F18" s="65" t="e">
        <f>AVERAGE(G18:AA18)/AVERAGE(BS18:CL18)</f>
        <v>#DIV/0!</v>
      </c>
      <c r="G18" s="76">
        <v>42.2</v>
      </c>
      <c r="H18" s="62">
        <v>1392.35</v>
      </c>
      <c r="I18" s="164">
        <v>1051.6500000000001</v>
      </c>
      <c r="J18" s="165">
        <v>694.05</v>
      </c>
      <c r="K18" s="166">
        <v>1038.95</v>
      </c>
      <c r="L18" s="164">
        <v>1135.2</v>
      </c>
      <c r="M18" s="165">
        <v>936.1</v>
      </c>
      <c r="N18" s="164">
        <v>1299.3</v>
      </c>
      <c r="O18" s="166">
        <v>1324.1</v>
      </c>
      <c r="P18" s="166">
        <v>1312.1</v>
      </c>
      <c r="Q18" s="166">
        <v>1443.9</v>
      </c>
      <c r="R18" s="166">
        <v>1170.8</v>
      </c>
      <c r="S18" s="164">
        <v>1702.55</v>
      </c>
      <c r="T18" s="164">
        <v>1286.9000000000001</v>
      </c>
      <c r="U18" s="165">
        <v>880.95</v>
      </c>
      <c r="V18" s="167">
        <v>853.35</v>
      </c>
      <c r="W18" s="167">
        <v>515.29999999999995</v>
      </c>
      <c r="X18" s="167">
        <v>570.85</v>
      </c>
      <c r="Y18" s="167">
        <v>404.65</v>
      </c>
      <c r="Z18" s="167">
        <v>366.8</v>
      </c>
      <c r="AA18" s="167">
        <v>498</v>
      </c>
      <c r="AB18" s="89"/>
      <c r="AC18" s="89"/>
      <c r="AW18" s="90">
        <v>37</v>
      </c>
      <c r="AX18" s="90">
        <v>-17</v>
      </c>
      <c r="AY18" s="153">
        <v>27</v>
      </c>
      <c r="AZ18" s="153">
        <v>-17</v>
      </c>
      <c r="BA18">
        <v>-9</v>
      </c>
      <c r="BB18" s="134">
        <v>6.71</v>
      </c>
      <c r="BC18" s="168">
        <v>-11.64</v>
      </c>
      <c r="BD18" s="168">
        <v>-8.74</v>
      </c>
      <c r="BE18" s="168">
        <v>-6.03</v>
      </c>
      <c r="BF18" s="86">
        <v>-12.41</v>
      </c>
      <c r="BG18" s="92">
        <v>-13.91</v>
      </c>
      <c r="BH18" s="86">
        <v>14.46</v>
      </c>
      <c r="BI18" s="86">
        <v>25.11</v>
      </c>
      <c r="BJ18" s="84">
        <v>11.78</v>
      </c>
      <c r="BK18" s="86">
        <v>65.89</v>
      </c>
      <c r="BL18" s="86">
        <v>70.14</v>
      </c>
      <c r="BM18" s="84">
        <v>19.37</v>
      </c>
      <c r="BN18" s="86">
        <v>3.63</v>
      </c>
      <c r="BO18" s="86">
        <v>9.32</v>
      </c>
      <c r="BP18" s="86">
        <v>24.78</v>
      </c>
      <c r="BQ18" s="92">
        <v>-3.24</v>
      </c>
      <c r="CM18" s="117">
        <v>9521.07</v>
      </c>
      <c r="CN18" s="117">
        <v>8233.92</v>
      </c>
      <c r="CO18" s="156">
        <f>CN18/CM18%</f>
        <v>86.481036270083081</v>
      </c>
      <c r="CP18" s="62">
        <f>CS18/CN18%</f>
        <v>0.80642027126811999</v>
      </c>
      <c r="CQ18" s="76">
        <v>0</v>
      </c>
      <c r="CR18" s="79">
        <f>( G18/DA18) * DB18</f>
        <v>757.04198630137</v>
      </c>
      <c r="CS18" s="65">
        <f>((0.5*AW18)+(0.3*AX18)+(0.15*AY18)+(0.05*AZ18))*4</f>
        <v>66.399999999999991</v>
      </c>
      <c r="CT18" s="80">
        <f>CS18/CR18%</f>
        <v>8.7709798401547161</v>
      </c>
      <c r="CU18" s="110">
        <f>(4*AW18)/CR18%</f>
        <v>19.549774342513526</v>
      </c>
      <c r="CV18" s="83">
        <v>4.2699999999999996</v>
      </c>
      <c r="CW18" s="65">
        <f>CT18+CV18</f>
        <v>13.040979840154716</v>
      </c>
      <c r="CX18" s="65">
        <f>SUM(K18:N18)/SUM(G18:J18)*CR18</f>
        <v>1049.670463232515</v>
      </c>
      <c r="CY18" s="65">
        <f>SUM(BC18:BF18)</f>
        <v>-38.820000000000007</v>
      </c>
      <c r="CZ18" s="65">
        <f>CY18/CX18%</f>
        <v>-3.6983035495208458</v>
      </c>
      <c r="DA18" s="120">
        <v>29.2</v>
      </c>
      <c r="DB18" s="88">
        <v>523.83000000000004</v>
      </c>
    </row>
    <row r="19" spans="1:109" ht="14.25" customHeight="1">
      <c r="A19" s="157" t="s">
        <v>428</v>
      </c>
      <c r="B19" s="65" t="s">
        <v>44</v>
      </c>
      <c r="C19" s="65">
        <v>1</v>
      </c>
      <c r="D19" s="65">
        <f>AVERAGE(G19:AA19)/AVERAGE(AC19:AV19)</f>
        <v>0.10663357377502783</v>
      </c>
      <c r="E19" s="65">
        <f>AVERAGE(G19:AA19)/AVERAGE(AX19:BQ19)</f>
        <v>1.0468728798835307</v>
      </c>
      <c r="F19" s="65" t="e">
        <f>AVERAGE(G19:AA19)/AVERAGE(BS19:CL19)</f>
        <v>#DIV/0!</v>
      </c>
      <c r="G19" s="61">
        <v>42.75</v>
      </c>
      <c r="H19" s="119">
        <v>40</v>
      </c>
      <c r="I19" s="119">
        <v>78.05</v>
      </c>
      <c r="J19" s="119">
        <v>84.1</v>
      </c>
      <c r="K19" s="119">
        <v>126.8</v>
      </c>
      <c r="L19" s="119">
        <v>120</v>
      </c>
      <c r="M19" s="119">
        <v>103.6</v>
      </c>
      <c r="N19" s="119">
        <v>115.95</v>
      </c>
      <c r="O19" s="119">
        <v>122.35</v>
      </c>
      <c r="P19" s="119">
        <v>147.5</v>
      </c>
      <c r="Q19" s="119">
        <v>162.5</v>
      </c>
      <c r="R19" s="119">
        <v>153.9</v>
      </c>
      <c r="S19" s="119">
        <v>163.75</v>
      </c>
      <c r="T19" s="119">
        <v>114.05</v>
      </c>
      <c r="U19" s="119">
        <v>122.3</v>
      </c>
      <c r="V19" s="119">
        <v>119.41</v>
      </c>
      <c r="W19" s="119">
        <v>91.11</v>
      </c>
      <c r="X19" s="119">
        <v>80.39</v>
      </c>
      <c r="Y19" s="119">
        <v>104.83</v>
      </c>
      <c r="Z19" s="119">
        <v>114.77</v>
      </c>
      <c r="AA19" s="119">
        <v>102.63</v>
      </c>
      <c r="AB19" s="93">
        <v>1271.28</v>
      </c>
      <c r="AC19" s="93">
        <v>1294.69</v>
      </c>
      <c r="AD19" s="93">
        <v>1273.31</v>
      </c>
      <c r="AE19" s="93">
        <v>1224.9100000000001</v>
      </c>
      <c r="AF19" s="93">
        <v>1214.97</v>
      </c>
      <c r="AG19" s="93">
        <v>1152.3599999999999</v>
      </c>
      <c r="AH19" s="93">
        <v>1105.79</v>
      </c>
      <c r="AI19" s="93">
        <v>1080.08</v>
      </c>
      <c r="AJ19" s="93">
        <v>1042.52</v>
      </c>
      <c r="AK19" s="115">
        <v>1009.5</v>
      </c>
      <c r="AL19" s="99">
        <v>949.83</v>
      </c>
      <c r="AM19" s="99">
        <v>903.52</v>
      </c>
      <c r="AN19" s="99">
        <v>983.58</v>
      </c>
      <c r="AO19" s="99">
        <v>979.09</v>
      </c>
      <c r="AP19" s="99">
        <v>927.37</v>
      </c>
      <c r="AQ19" s="99">
        <v>951.67</v>
      </c>
      <c r="AR19" s="99">
        <v>901.8</v>
      </c>
      <c r="AS19" s="99">
        <v>919.48</v>
      </c>
      <c r="AT19" s="99">
        <v>927.53</v>
      </c>
      <c r="AU19" s="99">
        <v>902.55</v>
      </c>
      <c r="AV19" s="78">
        <v>893.46</v>
      </c>
      <c r="AW19" s="134">
        <v>196.38</v>
      </c>
      <c r="AX19" s="144">
        <v>27.31</v>
      </c>
      <c r="AY19" s="78">
        <v>123.14</v>
      </c>
      <c r="AZ19" s="78">
        <v>105.91</v>
      </c>
      <c r="BA19" s="78">
        <v>175.42</v>
      </c>
      <c r="BB19" s="99">
        <v>61.73</v>
      </c>
      <c r="BC19" s="78">
        <v>140.41</v>
      </c>
      <c r="BD19" s="78">
        <v>111.86</v>
      </c>
      <c r="BE19" s="78">
        <v>163.24</v>
      </c>
      <c r="BF19" s="78">
        <v>11</v>
      </c>
      <c r="BG19" s="78">
        <v>87.38</v>
      </c>
      <c r="BH19" s="78">
        <v>93.38</v>
      </c>
      <c r="BI19" s="78">
        <v>133.85</v>
      </c>
      <c r="BJ19" s="78">
        <v>138.37</v>
      </c>
      <c r="BK19" s="78">
        <v>68.52</v>
      </c>
      <c r="BL19" s="78">
        <v>123.82</v>
      </c>
      <c r="BM19" s="78">
        <v>121.54</v>
      </c>
      <c r="BN19" s="78">
        <v>106.79</v>
      </c>
      <c r="BO19" s="78">
        <v>96.91</v>
      </c>
      <c r="BP19" s="78">
        <v>102.25</v>
      </c>
      <c r="BQ19" s="78">
        <v>109.34</v>
      </c>
      <c r="CM19" s="104">
        <v>79045.759999999995</v>
      </c>
      <c r="CN19" s="104">
        <v>71777.63</v>
      </c>
      <c r="CO19" s="156">
        <f>CN19/CM19%</f>
        <v>90.805161465966052</v>
      </c>
      <c r="CP19" s="62">
        <f>CS19/CN19%</f>
        <v>0.72529282451928268</v>
      </c>
      <c r="CR19" s="79">
        <f>( G19/DA19) * DB19</f>
        <v>1208.1499330207637</v>
      </c>
      <c r="CS19" s="65">
        <f>((0.5*AW19)+(0.3*AX19)+(0.15*AY19)+(0.05*AZ19))*4</f>
        <v>520.59799999999996</v>
      </c>
      <c r="CT19" s="77">
        <f>CS19/CR19%</f>
        <v>43.090512673235629</v>
      </c>
      <c r="CU19" s="110">
        <f>(4*AW19)/CR19%</f>
        <v>65.018420191933231</v>
      </c>
      <c r="CV19" s="61">
        <v>4.6900000000000004</v>
      </c>
      <c r="CW19" s="65">
        <f>CT19+CV19</f>
        <v>47.780512673235627</v>
      </c>
      <c r="CX19" s="65">
        <f>SUM(K19:N19)/SUM(G19:J19)*CR19</f>
        <v>2300.6154400336181</v>
      </c>
      <c r="CY19" s="65">
        <f>SUM(BB19:BE19)</f>
        <v>477.24</v>
      </c>
      <c r="CZ19" s="65">
        <f>CY19/CX19%</f>
        <v>20.74401447957883</v>
      </c>
      <c r="DA19" s="61">
        <v>74.650000000000006</v>
      </c>
      <c r="DB19" s="104">
        <v>2109.67</v>
      </c>
      <c r="DD19" s="65">
        <f>(100-CO19)*CW19</f>
        <v>439.33409910376434</v>
      </c>
      <c r="DE19" s="65" t="e">
        <f>[1]Sheet1!#REF!/[1]Sheet1!G46*DD19</f>
        <v>#REF!</v>
      </c>
    </row>
    <row r="20" spans="1:109" ht="14.25" customHeight="1" thickBot="1">
      <c r="A20" s="147" t="s">
        <v>429</v>
      </c>
      <c r="B20" s="65" t="s">
        <v>44</v>
      </c>
      <c r="C20" s="65">
        <v>1</v>
      </c>
      <c r="D20" s="65" t="e">
        <f>AVERAGE(G20:AA20)/AVERAGE(AC20:AV20)</f>
        <v>#DIV/0!</v>
      </c>
      <c r="E20" s="65">
        <f>AVERAGE(G20:AA20)/AVERAGE(AY20:BQ20)</f>
        <v>8.4636714160781085E-2</v>
      </c>
      <c r="F20" s="65" t="e">
        <f>AVERAGE(G20:AA20)/AVERAGE(BS20:CL20)</f>
        <v>#DIV/0!</v>
      </c>
      <c r="G20" s="76">
        <v>93.4</v>
      </c>
      <c r="H20" s="65">
        <v>80</v>
      </c>
      <c r="I20" s="65">
        <v>115.6</v>
      </c>
      <c r="J20" s="65">
        <v>103.55</v>
      </c>
      <c r="K20" s="65">
        <v>95.5</v>
      </c>
      <c r="L20" s="65">
        <v>77.3</v>
      </c>
      <c r="M20" s="65">
        <v>85.65</v>
      </c>
      <c r="N20" s="65">
        <v>116.8</v>
      </c>
      <c r="O20" s="65">
        <v>139.25</v>
      </c>
      <c r="P20" s="65">
        <v>124.4</v>
      </c>
      <c r="Q20" s="65">
        <v>160</v>
      </c>
      <c r="R20" s="65">
        <v>130.15</v>
      </c>
      <c r="S20" s="65">
        <v>124.5</v>
      </c>
      <c r="T20" s="65">
        <v>109.03</v>
      </c>
      <c r="U20" s="65">
        <v>89.67</v>
      </c>
      <c r="V20" s="65">
        <v>87.55</v>
      </c>
      <c r="W20" s="65">
        <v>119.9</v>
      </c>
      <c r="X20" s="65">
        <v>123.08</v>
      </c>
      <c r="Y20" s="65">
        <v>132.82</v>
      </c>
      <c r="Z20" s="65">
        <v>149.22</v>
      </c>
      <c r="AA20" s="65">
        <v>141.18</v>
      </c>
      <c r="AJ20" s="77"/>
      <c r="AK20" s="89"/>
      <c r="AR20" s="77"/>
      <c r="AW20" s="154">
        <v>1699.56</v>
      </c>
      <c r="AX20" s="146">
        <v>1435</v>
      </c>
      <c r="AY20" s="146">
        <v>1680</v>
      </c>
      <c r="AZ20" s="146">
        <v>1382.76</v>
      </c>
      <c r="BA20" s="108">
        <v>2117.56</v>
      </c>
      <c r="BB20" s="146">
        <v>2075.84</v>
      </c>
      <c r="BC20" s="108">
        <v>1355.12</v>
      </c>
      <c r="BD20" s="158">
        <v>1373.26</v>
      </c>
      <c r="BE20" s="86">
        <v>935.6</v>
      </c>
      <c r="BF20" s="108">
        <v>1604.43</v>
      </c>
      <c r="BG20" s="108">
        <v>1886.59</v>
      </c>
      <c r="BH20" s="158">
        <v>1428.59</v>
      </c>
      <c r="BI20" s="112">
        <v>-3409.49</v>
      </c>
      <c r="BJ20" s="108">
        <v>1949.91</v>
      </c>
      <c r="BK20" s="108">
        <v>1873.42</v>
      </c>
      <c r="BL20" s="108">
        <v>1712.55</v>
      </c>
      <c r="BM20" s="108">
        <v>1259.6500000000001</v>
      </c>
      <c r="BN20" s="108">
        <v>1582.32</v>
      </c>
      <c r="BO20" s="158">
        <v>1695.3</v>
      </c>
      <c r="BP20" s="158">
        <v>1576.21</v>
      </c>
      <c r="BQ20" s="158">
        <v>1560.75</v>
      </c>
      <c r="CM20" s="152">
        <v>340794.96</v>
      </c>
      <c r="CN20" s="155">
        <v>285929.02</v>
      </c>
      <c r="CO20" s="156">
        <f>CN20/CM20%</f>
        <v>83.900601112176062</v>
      </c>
      <c r="CP20" s="62">
        <f>CS20/CN20%</f>
        <v>2.2403014566342372</v>
      </c>
      <c r="CR20" s="79">
        <f>( G20/DA20) * DB20</f>
        <v>24658.362737240081</v>
      </c>
      <c r="CS20" s="65">
        <f>((0.5*AW20)+(0.3*AX20)+(0.15*AY20)+(0.05*AZ20))*4</f>
        <v>6405.6719999999996</v>
      </c>
      <c r="CT20" s="80">
        <f>CS20/CR20%</f>
        <v>25.97768581904219</v>
      </c>
      <c r="CU20" s="110">
        <f>(4*AW20)/CR20%</f>
        <v>27.569713660400559</v>
      </c>
      <c r="CW20" s="65">
        <f>CT20+CV20</f>
        <v>25.97768581904219</v>
      </c>
      <c r="CX20" s="65">
        <f>SUM(K20:N20)/SUM(G20:J20)*CR20</f>
        <v>23571.648496113467</v>
      </c>
      <c r="CY20" s="65">
        <f>SUM(BC20:BF20)</f>
        <v>5268.41</v>
      </c>
      <c r="CZ20" s="65">
        <f>CY20/CX20%</f>
        <v>22.350621768641528</v>
      </c>
      <c r="DA20" s="61">
        <v>132.25</v>
      </c>
      <c r="DB20" s="104">
        <v>34915.08</v>
      </c>
    </row>
    <row r="21" spans="1:109" ht="14.25" customHeight="1">
      <c r="A21" s="137" t="s">
        <v>430</v>
      </c>
      <c r="B21" s="65" t="s">
        <v>269</v>
      </c>
      <c r="G21" s="61">
        <v>119.5</v>
      </c>
      <c r="AC21" s="89"/>
      <c r="AW21" s="144">
        <v>15.77</v>
      </c>
      <c r="AX21" s="90">
        <v>159.6</v>
      </c>
      <c r="AY21" s="90">
        <v>16.02</v>
      </c>
      <c r="AZ21" s="89">
        <v>31.32</v>
      </c>
      <c r="BA21" s="90">
        <v>21.03</v>
      </c>
      <c r="BB21" s="90">
        <v>97.05</v>
      </c>
      <c r="BC21" s="90">
        <v>97.05</v>
      </c>
      <c r="BD21" s="89"/>
      <c r="BF21" s="89"/>
      <c r="BG21" s="89"/>
      <c r="BH21" s="89"/>
      <c r="BL21" s="89"/>
      <c r="BO21" s="89"/>
      <c r="BP21" s="89"/>
      <c r="BQ21" s="89"/>
      <c r="CM21" s="152">
        <v>2053.65</v>
      </c>
      <c r="CN21" s="151">
        <v>465.78</v>
      </c>
      <c r="CO21" s="156">
        <f>CN21/CM21%</f>
        <v>22.680593090351323</v>
      </c>
      <c r="CP21" s="62">
        <f>CS21/CN21%</f>
        <v>51.29803770020181</v>
      </c>
      <c r="CR21" s="79">
        <f>( G21/DA21) * DB21</f>
        <v>2937.3337656722865</v>
      </c>
      <c r="CS21" s="65">
        <f>((0.5*AW21)+(0.3*AX21)+(0.15*AY21)+(0.05*AZ21))*4</f>
        <v>238.93599999999998</v>
      </c>
      <c r="CT21" s="77">
        <f>CS21/CR21%</f>
        <v>8.1344518213207948</v>
      </c>
      <c r="CU21" s="110">
        <f>(4*AW21)/CR21%</f>
        <v>2.1475257846825748</v>
      </c>
      <c r="CW21" s="65">
        <f>CT21+CV21</f>
        <v>8.1344518213207948</v>
      </c>
      <c r="CX21" s="65">
        <f>SUM(K21:N21)/SUM(G21:J21)*CR21</f>
        <v>0</v>
      </c>
      <c r="CY21" s="65">
        <f>SUM(BB21:BE21)</f>
        <v>194.1</v>
      </c>
      <c r="CZ21" s="65" t="e">
        <f>CY21/CX21%</f>
        <v>#DIV/0!</v>
      </c>
      <c r="DA21" s="76">
        <v>115.65</v>
      </c>
      <c r="DB21" s="67">
        <v>2842.7</v>
      </c>
      <c r="DD21" s="65">
        <f>(100-CO21)*CW21</f>
        <v>628.95099035963528</v>
      </c>
      <c r="DE21" s="65">
        <v>704.92431284026031</v>
      </c>
    </row>
    <row r="22" spans="1:109" ht="14.25" customHeight="1">
      <c r="A22" t="s">
        <v>431</v>
      </c>
      <c r="CO22" s="62"/>
      <c r="CP22" s="63"/>
      <c r="CQ22" s="64"/>
      <c r="CR22" s="62"/>
      <c r="CS22" s="62"/>
      <c r="CT22" s="62"/>
      <c r="CU22" s="62"/>
      <c r="CX22" s="62"/>
      <c r="CZ22" s="62"/>
    </row>
    <row r="23" spans="1:109" ht="14.25" customHeight="1">
      <c r="CO23" s="62"/>
      <c r="CP23" s="63"/>
      <c r="CQ23" s="64"/>
      <c r="CR23" s="62"/>
      <c r="CS23" s="62"/>
      <c r="CT23" s="62"/>
      <c r="CU23" s="62"/>
      <c r="CX23" s="62"/>
      <c r="CZ23" s="62"/>
    </row>
    <row r="24" spans="1:109" ht="14.25" customHeight="1">
      <c r="CO24" s="62"/>
      <c r="CP24" s="63"/>
      <c r="CQ24" s="64"/>
      <c r="CR24" s="62"/>
      <c r="CS24" s="62"/>
      <c r="CT24" s="62"/>
      <c r="CU24" s="62"/>
      <c r="CX24" s="62"/>
      <c r="CZ24" s="62"/>
    </row>
    <row r="25" spans="1:109" ht="14.25" customHeight="1">
      <c r="CO25" s="62"/>
      <c r="CP25" s="63"/>
      <c r="CQ25" s="64"/>
      <c r="CR25" s="62"/>
      <c r="CS25" s="62"/>
      <c r="CT25" s="62"/>
      <c r="CU25" s="62"/>
      <c r="CX25" s="62"/>
      <c r="CZ25" s="62"/>
    </row>
    <row r="26" spans="1:109" ht="14.25" customHeight="1">
      <c r="CO26" s="62"/>
      <c r="CP26" s="63"/>
      <c r="CQ26" s="64"/>
      <c r="CR26" s="62"/>
      <c r="CS26" s="62"/>
      <c r="CT26" s="62"/>
      <c r="CU26" s="62"/>
      <c r="CX26" s="62"/>
      <c r="CZ26" s="62"/>
    </row>
    <row r="27" spans="1:109" ht="14.25" customHeight="1">
      <c r="CO27" s="62"/>
      <c r="CP27" s="63"/>
      <c r="CQ27" s="64"/>
      <c r="CR27" s="62"/>
      <c r="CS27" s="62"/>
      <c r="CT27" s="62"/>
      <c r="CU27" s="62"/>
      <c r="CX27" s="62"/>
      <c r="CZ27" s="62"/>
    </row>
    <row r="28" spans="1:109" ht="14.25" customHeight="1">
      <c r="CO28" s="62"/>
      <c r="CP28" s="63"/>
      <c r="CQ28" s="64"/>
      <c r="CR28" s="62"/>
      <c r="CS28" s="62"/>
      <c r="CT28" s="62"/>
      <c r="CU28" s="62"/>
      <c r="CX28" s="62"/>
      <c r="CZ28" s="62"/>
    </row>
    <row r="29" spans="1:109" ht="14.25" customHeight="1">
      <c r="CO29" s="62"/>
      <c r="CP29" s="63"/>
      <c r="CQ29" s="64"/>
      <c r="CR29" s="62"/>
      <c r="CS29" s="62"/>
      <c r="CT29" s="62"/>
      <c r="CU29" s="62"/>
      <c r="CX29" s="62"/>
      <c r="CZ29" s="62"/>
    </row>
    <row r="30" spans="1:109" ht="14.25" customHeight="1">
      <c r="CO30" s="62"/>
      <c r="CP30" s="63"/>
      <c r="CQ30" s="64"/>
      <c r="CR30" s="62"/>
      <c r="CS30" s="62"/>
      <c r="CT30" s="62"/>
      <c r="CU30" s="62"/>
      <c r="CX30" s="62"/>
      <c r="CZ30" s="62"/>
    </row>
    <row r="31" spans="1:109" ht="14.25" customHeight="1">
      <c r="CO31" s="62"/>
      <c r="CP31" s="63"/>
      <c r="CQ31" s="64"/>
      <c r="CR31" s="62"/>
      <c r="CS31" s="62"/>
      <c r="CT31" s="62"/>
      <c r="CU31" s="62"/>
      <c r="CX31" s="62"/>
      <c r="CZ31" s="62"/>
    </row>
    <row r="32" spans="1:109" ht="14.25" customHeight="1">
      <c r="CO32" s="62"/>
      <c r="CP32" s="63"/>
      <c r="CQ32" s="64"/>
      <c r="CR32" s="62"/>
      <c r="CS32" s="62"/>
      <c r="CT32" s="62"/>
      <c r="CU32" s="62"/>
      <c r="CX32" s="62"/>
      <c r="CZ32" s="62"/>
    </row>
    <row r="33" spans="93:104" ht="14.25" customHeight="1">
      <c r="CO33" s="62"/>
      <c r="CP33" s="63"/>
      <c r="CQ33" s="64"/>
      <c r="CR33" s="62"/>
      <c r="CS33" s="62"/>
      <c r="CT33" s="62"/>
      <c r="CU33" s="62"/>
      <c r="CX33" s="62"/>
      <c r="CZ33" s="62"/>
    </row>
    <row r="34" spans="93:104" ht="14.25" customHeight="1">
      <c r="CO34" s="62"/>
      <c r="CP34" s="63"/>
      <c r="CQ34" s="64"/>
      <c r="CR34" s="62"/>
      <c r="CS34" s="62"/>
      <c r="CT34" s="62"/>
      <c r="CU34" s="62"/>
      <c r="CX34" s="62"/>
      <c r="CZ34" s="62"/>
    </row>
    <row r="35" spans="93:104" ht="14.25" customHeight="1">
      <c r="CO35" s="62"/>
      <c r="CP35" s="63"/>
      <c r="CQ35" s="64"/>
      <c r="CR35" s="62"/>
      <c r="CS35" s="62"/>
      <c r="CT35" s="62"/>
      <c r="CU35" s="62"/>
      <c r="CX35" s="62"/>
      <c r="CZ35" s="62"/>
    </row>
    <row r="36" spans="93:104" ht="14.25" customHeight="1">
      <c r="CO36" s="62"/>
      <c r="CP36" s="63"/>
      <c r="CQ36" s="64"/>
      <c r="CR36" s="62"/>
      <c r="CS36" s="62"/>
      <c r="CT36" s="62"/>
      <c r="CU36" s="62"/>
      <c r="CX36" s="62"/>
      <c r="CZ36" s="62"/>
    </row>
    <row r="37" spans="93:104" ht="14.25" customHeight="1">
      <c r="CO37" s="62"/>
      <c r="CP37" s="63"/>
      <c r="CQ37" s="64"/>
      <c r="CR37" s="62"/>
      <c r="CS37" s="62"/>
      <c r="CT37" s="62"/>
      <c r="CU37" s="62"/>
      <c r="CX37" s="62"/>
      <c r="CZ37" s="62"/>
    </row>
    <row r="38" spans="93:104" ht="14.25" customHeight="1">
      <c r="CO38" s="62"/>
      <c r="CP38" s="63"/>
      <c r="CQ38" s="64"/>
      <c r="CR38" s="62"/>
      <c r="CS38" s="62"/>
      <c r="CT38" s="62"/>
      <c r="CU38" s="62"/>
      <c r="CX38" s="62"/>
      <c r="CZ38" s="62"/>
    </row>
    <row r="39" spans="93:104" ht="14.25" customHeight="1">
      <c r="CO39" s="62"/>
      <c r="CP39" s="63"/>
      <c r="CQ39" s="64"/>
      <c r="CR39" s="62"/>
      <c r="CS39" s="62"/>
      <c r="CT39" s="62"/>
      <c r="CU39" s="62"/>
      <c r="CX39" s="62"/>
      <c r="CZ39" s="62"/>
    </row>
    <row r="40" spans="93:104" ht="14.25" customHeight="1">
      <c r="CO40" s="62"/>
      <c r="CP40" s="63"/>
      <c r="CQ40" s="64"/>
      <c r="CR40" s="62"/>
      <c r="CS40" s="62"/>
      <c r="CT40" s="62"/>
      <c r="CU40" s="62"/>
      <c r="CX40" s="62"/>
      <c r="CZ40" s="62"/>
    </row>
    <row r="41" spans="93:104" ht="14.25" customHeight="1">
      <c r="CO41" s="62"/>
      <c r="CP41" s="63"/>
      <c r="CQ41" s="64"/>
      <c r="CR41" s="62"/>
      <c r="CS41" s="62"/>
      <c r="CT41" s="62"/>
      <c r="CU41" s="62"/>
      <c r="CX41" s="62"/>
      <c r="CZ41" s="62"/>
    </row>
    <row r="42" spans="93:104" ht="14.25" customHeight="1">
      <c r="CO42" s="62"/>
      <c r="CP42" s="63"/>
      <c r="CQ42" s="64"/>
      <c r="CR42" s="62"/>
      <c r="CS42" s="62"/>
      <c r="CT42" s="62"/>
      <c r="CU42" s="62"/>
      <c r="CX42" s="62"/>
      <c r="CZ42" s="62"/>
    </row>
    <row r="43" spans="93:104" ht="14.25" customHeight="1">
      <c r="CO43" s="62"/>
      <c r="CP43" s="63"/>
      <c r="CQ43" s="64"/>
      <c r="CR43" s="62"/>
      <c r="CS43" s="62"/>
      <c r="CT43" s="62"/>
      <c r="CU43" s="62"/>
      <c r="CX43" s="62"/>
      <c r="CZ43" s="62"/>
    </row>
    <row r="44" spans="93:104" ht="14.25" customHeight="1">
      <c r="CO44" s="62"/>
      <c r="CP44" s="63"/>
      <c r="CQ44" s="64"/>
      <c r="CR44" s="62"/>
      <c r="CS44" s="62"/>
      <c r="CT44" s="62"/>
      <c r="CU44" s="62"/>
      <c r="CX44" s="62"/>
      <c r="CZ44" s="62"/>
    </row>
    <row r="45" spans="93:104" ht="14.25" customHeight="1">
      <c r="CO45" s="62"/>
      <c r="CP45" s="63"/>
      <c r="CQ45" s="64"/>
      <c r="CR45" s="62"/>
      <c r="CS45" s="62"/>
      <c r="CT45" s="62"/>
      <c r="CU45" s="62"/>
      <c r="CX45" s="62"/>
      <c r="CZ45" s="62"/>
    </row>
    <row r="46" spans="93:104" ht="14.25" customHeight="1">
      <c r="CO46" s="62"/>
      <c r="CP46" s="63"/>
      <c r="CQ46" s="64"/>
      <c r="CR46" s="62"/>
      <c r="CS46" s="62"/>
      <c r="CT46" s="62"/>
      <c r="CU46" s="62"/>
      <c r="CX46" s="62"/>
      <c r="CZ46" s="62"/>
    </row>
    <row r="47" spans="93:104" ht="14.25" customHeight="1">
      <c r="CO47" s="62"/>
      <c r="CP47" s="63"/>
      <c r="CQ47" s="64"/>
      <c r="CR47" s="62"/>
      <c r="CS47" s="62"/>
      <c r="CT47" s="62"/>
      <c r="CU47" s="62"/>
      <c r="CX47" s="62"/>
      <c r="CZ47" s="62"/>
    </row>
    <row r="48" spans="93:104" ht="14.25" customHeight="1">
      <c r="CO48" s="62"/>
      <c r="CP48" s="63"/>
      <c r="CQ48" s="64"/>
      <c r="CR48" s="62"/>
      <c r="CS48" s="62"/>
      <c r="CT48" s="62"/>
      <c r="CU48" s="62"/>
      <c r="CX48" s="62"/>
      <c r="CZ48" s="62"/>
    </row>
    <row r="49" spans="93:104" ht="14.25" customHeight="1">
      <c r="CO49" s="62"/>
      <c r="CP49" s="63"/>
      <c r="CQ49" s="64"/>
      <c r="CR49" s="62"/>
      <c r="CS49" s="62"/>
      <c r="CT49" s="62"/>
      <c r="CU49" s="62"/>
      <c r="CX49" s="62"/>
      <c r="CZ49" s="62"/>
    </row>
    <row r="50" spans="93:104" ht="14.25" customHeight="1">
      <c r="CO50" s="62"/>
      <c r="CP50" s="63"/>
      <c r="CQ50" s="64"/>
      <c r="CR50" s="62"/>
      <c r="CS50" s="62"/>
      <c r="CT50" s="62"/>
      <c r="CU50" s="62"/>
      <c r="CX50" s="62"/>
      <c r="CZ50" s="62"/>
    </row>
    <row r="51" spans="93:104" ht="14.25" customHeight="1">
      <c r="CO51" s="62"/>
      <c r="CP51" s="63"/>
      <c r="CQ51" s="64"/>
      <c r="CR51" s="62"/>
      <c r="CS51" s="62"/>
      <c r="CT51" s="62"/>
      <c r="CU51" s="62"/>
      <c r="CX51" s="62"/>
      <c r="CZ51" s="62"/>
    </row>
    <row r="52" spans="93:104" ht="14.25" customHeight="1">
      <c r="CO52" s="62"/>
      <c r="CP52" s="63"/>
      <c r="CQ52" s="64"/>
      <c r="CR52" s="62"/>
      <c r="CS52" s="62"/>
      <c r="CT52" s="62"/>
      <c r="CU52" s="62"/>
      <c r="CX52" s="62"/>
      <c r="CZ52" s="62"/>
    </row>
    <row r="53" spans="93:104" ht="14.25" customHeight="1">
      <c r="CO53" s="62"/>
      <c r="CP53" s="63"/>
      <c r="CQ53" s="64"/>
      <c r="CR53" s="62"/>
      <c r="CS53" s="62"/>
      <c r="CT53" s="62"/>
      <c r="CU53" s="62"/>
      <c r="CX53" s="62"/>
      <c r="CZ53" s="62"/>
    </row>
    <row r="54" spans="93:104" ht="14.25" customHeight="1">
      <c r="CO54" s="62"/>
      <c r="CP54" s="63"/>
      <c r="CQ54" s="64"/>
      <c r="CR54" s="62"/>
      <c r="CS54" s="62"/>
      <c r="CT54" s="62"/>
      <c r="CU54" s="62"/>
      <c r="CX54" s="62"/>
      <c r="CZ54" s="62"/>
    </row>
    <row r="55" spans="93:104" ht="14.25" customHeight="1">
      <c r="CO55" s="62"/>
      <c r="CP55" s="63"/>
      <c r="CQ55" s="64"/>
      <c r="CR55" s="62"/>
      <c r="CS55" s="62"/>
      <c r="CT55" s="62"/>
      <c r="CU55" s="62"/>
      <c r="CX55" s="62"/>
      <c r="CZ55" s="62"/>
    </row>
    <row r="56" spans="93:104" ht="14.25" customHeight="1">
      <c r="CO56" s="62"/>
      <c r="CP56" s="63"/>
      <c r="CQ56" s="64"/>
      <c r="CR56" s="62"/>
      <c r="CS56" s="62"/>
      <c r="CT56" s="62"/>
      <c r="CU56" s="62"/>
      <c r="CX56" s="62"/>
      <c r="CZ56" s="62"/>
    </row>
    <row r="57" spans="93:104" ht="14.25" customHeight="1">
      <c r="CO57" s="62"/>
      <c r="CP57" s="63"/>
      <c r="CQ57" s="64"/>
      <c r="CR57" s="62"/>
      <c r="CS57" s="62"/>
      <c r="CT57" s="62"/>
      <c r="CU57" s="62"/>
      <c r="CX57" s="62"/>
      <c r="CZ57" s="62"/>
    </row>
    <row r="58" spans="93:104" ht="14.25" customHeight="1">
      <c r="CO58" s="62"/>
      <c r="CP58" s="63"/>
      <c r="CQ58" s="64"/>
      <c r="CR58" s="62"/>
      <c r="CS58" s="62"/>
      <c r="CT58" s="62"/>
      <c r="CU58" s="62"/>
      <c r="CX58" s="62"/>
      <c r="CZ58" s="62"/>
    </row>
    <row r="59" spans="93:104" ht="14.25" customHeight="1">
      <c r="CO59" s="62"/>
      <c r="CP59" s="63"/>
      <c r="CQ59" s="64"/>
      <c r="CR59" s="62"/>
      <c r="CS59" s="62"/>
      <c r="CT59" s="62"/>
      <c r="CU59" s="62"/>
      <c r="CX59" s="62"/>
      <c r="CZ59" s="62"/>
    </row>
    <row r="60" spans="93:104" ht="14.25" customHeight="1">
      <c r="CO60" s="62"/>
      <c r="CP60" s="63"/>
      <c r="CQ60" s="64"/>
      <c r="CR60" s="62"/>
      <c r="CS60" s="62"/>
      <c r="CT60" s="62"/>
      <c r="CU60" s="62"/>
      <c r="CX60" s="62"/>
      <c r="CZ60" s="62"/>
    </row>
    <row r="61" spans="93:104" ht="14.25" customHeight="1">
      <c r="CO61" s="62"/>
      <c r="CP61" s="63"/>
      <c r="CQ61" s="64"/>
      <c r="CR61" s="62"/>
      <c r="CS61" s="62"/>
      <c r="CT61" s="62"/>
      <c r="CU61" s="62"/>
      <c r="CX61" s="62"/>
      <c r="CZ61" s="62"/>
    </row>
    <row r="62" spans="93:104" ht="14.25" customHeight="1">
      <c r="CO62" s="62"/>
      <c r="CP62" s="63"/>
      <c r="CQ62" s="64"/>
      <c r="CR62" s="62"/>
      <c r="CS62" s="62"/>
      <c r="CT62" s="62"/>
      <c r="CU62" s="62"/>
      <c r="CX62" s="62"/>
      <c r="CZ62" s="62"/>
    </row>
    <row r="63" spans="93:104" ht="14.25" customHeight="1">
      <c r="CO63" s="62"/>
      <c r="CP63" s="63"/>
      <c r="CQ63" s="64"/>
      <c r="CR63" s="62"/>
      <c r="CS63" s="62"/>
      <c r="CT63" s="62"/>
      <c r="CU63" s="62"/>
      <c r="CX63" s="62"/>
      <c r="CZ63" s="62"/>
    </row>
    <row r="64" spans="93:104" ht="14.25" customHeight="1">
      <c r="CO64" s="62"/>
      <c r="CP64" s="63"/>
      <c r="CQ64" s="64"/>
      <c r="CR64" s="62"/>
      <c r="CS64" s="62"/>
      <c r="CT64" s="62"/>
      <c r="CU64" s="62"/>
      <c r="CX64" s="62"/>
      <c r="CZ64" s="62"/>
    </row>
    <row r="65" spans="93:104" ht="14.25" customHeight="1">
      <c r="CO65" s="62"/>
      <c r="CP65" s="63"/>
      <c r="CQ65" s="64"/>
      <c r="CR65" s="62"/>
      <c r="CS65" s="62"/>
      <c r="CT65" s="62"/>
      <c r="CU65" s="62"/>
      <c r="CX65" s="62"/>
      <c r="CZ65" s="62"/>
    </row>
    <row r="66" spans="93:104" ht="14.25" customHeight="1">
      <c r="CO66" s="62"/>
      <c r="CP66" s="63"/>
      <c r="CQ66" s="64"/>
      <c r="CR66" s="62"/>
      <c r="CS66" s="62"/>
      <c r="CT66" s="62"/>
      <c r="CU66" s="62"/>
      <c r="CX66" s="62"/>
      <c r="CZ66" s="62"/>
    </row>
    <row r="67" spans="93:104" ht="14.25" customHeight="1">
      <c r="CO67" s="62"/>
      <c r="CP67" s="63"/>
      <c r="CQ67" s="64"/>
      <c r="CR67" s="62"/>
      <c r="CS67" s="62"/>
      <c r="CT67" s="62"/>
      <c r="CU67" s="62"/>
      <c r="CX67" s="62"/>
      <c r="CZ67" s="62"/>
    </row>
    <row r="68" spans="93:104" ht="14.25" customHeight="1">
      <c r="CO68" s="62"/>
      <c r="CP68" s="63"/>
      <c r="CQ68" s="64"/>
      <c r="CR68" s="62"/>
      <c r="CS68" s="62"/>
      <c r="CT68" s="62"/>
      <c r="CU68" s="62"/>
      <c r="CX68" s="62"/>
      <c r="CZ68" s="62"/>
    </row>
    <row r="69" spans="93:104" ht="14.25" customHeight="1">
      <c r="CO69" s="62"/>
      <c r="CP69" s="63"/>
      <c r="CQ69" s="64"/>
      <c r="CR69" s="62"/>
      <c r="CS69" s="62"/>
      <c r="CT69" s="62"/>
      <c r="CU69" s="62"/>
      <c r="CX69" s="62"/>
      <c r="CZ69" s="62"/>
    </row>
    <row r="70" spans="93:104" ht="14.25" customHeight="1">
      <c r="CO70" s="62"/>
      <c r="CP70" s="63"/>
      <c r="CQ70" s="64"/>
      <c r="CR70" s="62"/>
      <c r="CS70" s="62"/>
      <c r="CT70" s="62"/>
      <c r="CU70" s="62"/>
      <c r="CX70" s="62"/>
      <c r="CZ70" s="62"/>
    </row>
    <row r="71" spans="93:104" ht="14.25" customHeight="1">
      <c r="CO71" s="62"/>
      <c r="CP71" s="63"/>
      <c r="CQ71" s="64"/>
      <c r="CR71" s="62"/>
      <c r="CS71" s="62"/>
      <c r="CT71" s="62"/>
      <c r="CU71" s="62"/>
      <c r="CX71" s="62"/>
      <c r="CZ71" s="62"/>
    </row>
    <row r="72" spans="93:104" ht="14.25" customHeight="1">
      <c r="CO72" s="62"/>
      <c r="CP72" s="63"/>
      <c r="CQ72" s="64"/>
      <c r="CR72" s="62"/>
      <c r="CS72" s="62"/>
      <c r="CT72" s="62"/>
      <c r="CU72" s="62"/>
      <c r="CX72" s="62"/>
      <c r="CZ72" s="62"/>
    </row>
    <row r="73" spans="93:104" ht="14.25" customHeight="1">
      <c r="CO73" s="62"/>
      <c r="CP73" s="63"/>
      <c r="CQ73" s="64"/>
      <c r="CR73" s="62"/>
      <c r="CS73" s="62"/>
      <c r="CT73" s="62"/>
      <c r="CU73" s="62"/>
      <c r="CX73" s="62"/>
      <c r="CZ73" s="62"/>
    </row>
    <row r="74" spans="93:104" ht="14.25" customHeight="1">
      <c r="CO74" s="62"/>
      <c r="CP74" s="63"/>
      <c r="CQ74" s="64"/>
      <c r="CR74" s="62"/>
      <c r="CS74" s="62"/>
      <c r="CT74" s="62"/>
      <c r="CU74" s="62"/>
      <c r="CX74" s="62"/>
      <c r="CZ74" s="62"/>
    </row>
    <row r="75" spans="93:104" ht="14.25" customHeight="1">
      <c r="CO75" s="62"/>
      <c r="CP75" s="63"/>
      <c r="CQ75" s="64"/>
      <c r="CR75" s="62"/>
      <c r="CS75" s="62"/>
      <c r="CT75" s="62"/>
      <c r="CU75" s="62"/>
      <c r="CX75" s="62"/>
      <c r="CZ75" s="62"/>
    </row>
    <row r="76" spans="93:104" ht="14.25" customHeight="1">
      <c r="CO76" s="62"/>
      <c r="CP76" s="63"/>
      <c r="CQ76" s="64"/>
      <c r="CR76" s="62"/>
      <c r="CS76" s="62"/>
      <c r="CT76" s="62"/>
      <c r="CU76" s="62"/>
      <c r="CX76" s="62"/>
      <c r="CZ76" s="62"/>
    </row>
    <row r="77" spans="93:104" ht="14.25" customHeight="1">
      <c r="CO77" s="62"/>
      <c r="CP77" s="63"/>
      <c r="CQ77" s="64"/>
      <c r="CR77" s="62"/>
      <c r="CS77" s="62"/>
      <c r="CT77" s="62"/>
      <c r="CU77" s="62"/>
      <c r="CX77" s="62"/>
      <c r="CZ77" s="62"/>
    </row>
    <row r="78" spans="93:104" ht="14.25" customHeight="1">
      <c r="CO78" s="62"/>
      <c r="CP78" s="63"/>
      <c r="CQ78" s="64"/>
      <c r="CR78" s="62"/>
      <c r="CS78" s="62"/>
      <c r="CT78" s="62"/>
      <c r="CU78" s="62"/>
      <c r="CX78" s="62"/>
      <c r="CZ78" s="62"/>
    </row>
    <row r="79" spans="93:104" ht="14.25" customHeight="1">
      <c r="CO79" s="62"/>
      <c r="CP79" s="63"/>
      <c r="CQ79" s="64"/>
      <c r="CR79" s="62"/>
      <c r="CS79" s="62"/>
      <c r="CT79" s="62"/>
      <c r="CU79" s="62"/>
      <c r="CX79" s="62"/>
      <c r="CZ79" s="62"/>
    </row>
    <row r="80" spans="93:104" ht="14.25" customHeight="1">
      <c r="CO80" s="62"/>
      <c r="CP80" s="63"/>
      <c r="CQ80" s="64"/>
      <c r="CR80" s="62"/>
      <c r="CS80" s="62"/>
      <c r="CT80" s="62"/>
      <c r="CU80" s="62"/>
      <c r="CX80" s="62"/>
      <c r="CZ80" s="62"/>
    </row>
    <row r="81" spans="93:104" ht="14.25" customHeight="1">
      <c r="CO81" s="62"/>
      <c r="CP81" s="63"/>
      <c r="CQ81" s="64"/>
      <c r="CR81" s="62"/>
      <c r="CS81" s="62"/>
      <c r="CT81" s="62"/>
      <c r="CU81" s="62"/>
      <c r="CX81" s="62"/>
      <c r="CZ81" s="62"/>
    </row>
    <row r="82" spans="93:104" ht="14.25" customHeight="1">
      <c r="CO82" s="62"/>
      <c r="CP82" s="63"/>
      <c r="CQ82" s="64"/>
      <c r="CR82" s="62"/>
      <c r="CS82" s="62"/>
      <c r="CT82" s="62"/>
      <c r="CU82" s="62"/>
      <c r="CX82" s="62"/>
      <c r="CZ82" s="62"/>
    </row>
    <row r="83" spans="93:104" ht="14.25" customHeight="1">
      <c r="CO83" s="62"/>
      <c r="CP83" s="63"/>
      <c r="CQ83" s="64"/>
      <c r="CR83" s="62"/>
      <c r="CS83" s="62"/>
      <c r="CT83" s="62"/>
      <c r="CU83" s="62"/>
      <c r="CX83" s="62"/>
      <c r="CZ83" s="62"/>
    </row>
    <row r="84" spans="93:104" ht="14.25" customHeight="1">
      <c r="CO84" s="62"/>
      <c r="CP84" s="63"/>
      <c r="CQ84" s="64"/>
      <c r="CR84" s="62"/>
      <c r="CS84" s="62"/>
      <c r="CT84" s="62"/>
      <c r="CU84" s="62"/>
      <c r="CX84" s="62"/>
      <c r="CZ84" s="62"/>
    </row>
    <row r="85" spans="93:104" ht="14.25" customHeight="1">
      <c r="CO85" s="62"/>
      <c r="CP85" s="63"/>
      <c r="CQ85" s="64"/>
      <c r="CR85" s="62"/>
      <c r="CS85" s="62"/>
      <c r="CT85" s="62"/>
      <c r="CU85" s="62"/>
      <c r="CX85" s="62"/>
      <c r="CZ85" s="62"/>
    </row>
    <row r="86" spans="93:104" ht="14.25" customHeight="1">
      <c r="CO86" s="62"/>
      <c r="CP86" s="63"/>
      <c r="CQ86" s="64"/>
      <c r="CR86" s="62"/>
      <c r="CS86" s="62"/>
      <c r="CT86" s="62"/>
      <c r="CU86" s="62"/>
      <c r="CX86" s="62"/>
      <c r="CZ86" s="62"/>
    </row>
    <row r="87" spans="93:104" ht="14.25" customHeight="1">
      <c r="CO87" s="62"/>
      <c r="CP87" s="63"/>
      <c r="CQ87" s="64"/>
      <c r="CR87" s="62"/>
      <c r="CS87" s="62"/>
      <c r="CT87" s="62"/>
      <c r="CU87" s="62"/>
      <c r="CX87" s="62"/>
      <c r="CZ87" s="62"/>
    </row>
    <row r="88" spans="93:104" ht="14.25" customHeight="1">
      <c r="CO88" s="62"/>
      <c r="CP88" s="63"/>
      <c r="CQ88" s="64"/>
      <c r="CR88" s="62"/>
      <c r="CS88" s="62"/>
      <c r="CT88" s="62"/>
      <c r="CU88" s="62"/>
      <c r="CX88" s="62"/>
      <c r="CZ88" s="62"/>
    </row>
    <row r="89" spans="93:104" ht="14.25" customHeight="1">
      <c r="CO89" s="62"/>
      <c r="CP89" s="63"/>
      <c r="CQ89" s="64"/>
      <c r="CR89" s="62"/>
      <c r="CS89" s="62"/>
      <c r="CT89" s="62"/>
      <c r="CU89" s="62"/>
      <c r="CX89" s="62"/>
      <c r="CZ89" s="62"/>
    </row>
    <row r="90" spans="93:104" ht="14.25" customHeight="1">
      <c r="CO90" s="62"/>
      <c r="CP90" s="63"/>
      <c r="CQ90" s="64"/>
      <c r="CR90" s="62"/>
      <c r="CS90" s="62"/>
      <c r="CT90" s="62"/>
      <c r="CU90" s="62"/>
      <c r="CX90" s="62"/>
      <c r="CZ90" s="62"/>
    </row>
    <row r="91" spans="93:104" ht="14.25" customHeight="1">
      <c r="CO91" s="62"/>
      <c r="CP91" s="63"/>
      <c r="CQ91" s="64"/>
      <c r="CR91" s="62"/>
      <c r="CS91" s="62"/>
      <c r="CT91" s="62"/>
      <c r="CU91" s="62"/>
      <c r="CX91" s="62"/>
      <c r="CZ91" s="62"/>
    </row>
    <row r="92" spans="93:104" ht="14.25" customHeight="1">
      <c r="CO92" s="62"/>
      <c r="CP92" s="63"/>
      <c r="CQ92" s="64"/>
      <c r="CR92" s="62"/>
      <c r="CS92" s="62"/>
      <c r="CT92" s="62"/>
      <c r="CU92" s="62"/>
      <c r="CX92" s="62"/>
      <c r="CZ92" s="62"/>
    </row>
    <row r="93" spans="93:104" ht="14.25" customHeight="1">
      <c r="CO93" s="62"/>
      <c r="CP93" s="63"/>
      <c r="CQ93" s="64"/>
      <c r="CR93" s="62"/>
      <c r="CS93" s="62"/>
      <c r="CT93" s="62"/>
      <c r="CU93" s="62"/>
      <c r="CX93" s="62"/>
      <c r="CZ93" s="62"/>
    </row>
    <row r="94" spans="93:104" ht="14.25" customHeight="1">
      <c r="CO94" s="62"/>
      <c r="CP94" s="63"/>
      <c r="CQ94" s="64"/>
      <c r="CR94" s="62"/>
      <c r="CS94" s="62"/>
      <c r="CT94" s="62"/>
      <c r="CU94" s="62"/>
      <c r="CX94" s="62"/>
      <c r="CZ94" s="62"/>
    </row>
    <row r="95" spans="93:104" ht="14.25" customHeight="1">
      <c r="CO95" s="62"/>
      <c r="CP95" s="63"/>
      <c r="CQ95" s="64"/>
      <c r="CR95" s="62"/>
      <c r="CS95" s="62"/>
      <c r="CT95" s="62"/>
      <c r="CU95" s="62"/>
      <c r="CX95" s="62"/>
      <c r="CZ95" s="62"/>
    </row>
    <row r="96" spans="93:104" ht="14.25" customHeight="1">
      <c r="CO96" s="62"/>
      <c r="CP96" s="63"/>
      <c r="CQ96" s="64"/>
      <c r="CR96" s="62"/>
      <c r="CS96" s="62"/>
      <c r="CT96" s="62"/>
      <c r="CU96" s="62"/>
      <c r="CX96" s="62"/>
      <c r="CZ96" s="62"/>
    </row>
    <row r="97" spans="93:104" ht="14.25" customHeight="1">
      <c r="CO97" s="62"/>
      <c r="CP97" s="63"/>
      <c r="CQ97" s="64"/>
      <c r="CR97" s="62"/>
      <c r="CS97" s="62"/>
      <c r="CT97" s="62"/>
      <c r="CU97" s="62"/>
      <c r="CX97" s="62"/>
      <c r="CZ97" s="62"/>
    </row>
    <row r="98" spans="93:104" ht="14.25" customHeight="1">
      <c r="CO98" s="62"/>
      <c r="CP98" s="63"/>
      <c r="CQ98" s="64"/>
      <c r="CR98" s="62"/>
      <c r="CS98" s="62"/>
      <c r="CT98" s="62"/>
      <c r="CU98" s="62"/>
      <c r="CX98" s="62"/>
      <c r="CZ98" s="62"/>
    </row>
    <row r="99" spans="93:104" ht="14.25" customHeight="1">
      <c r="CO99" s="62"/>
      <c r="CP99" s="63"/>
      <c r="CQ99" s="64"/>
      <c r="CR99" s="62"/>
      <c r="CS99" s="62"/>
      <c r="CT99" s="62"/>
      <c r="CU99" s="62"/>
      <c r="CX99" s="62"/>
      <c r="CZ99" s="62"/>
    </row>
    <row r="100" spans="93:104" ht="14.25" customHeight="1">
      <c r="CO100" s="62"/>
      <c r="CP100" s="63"/>
      <c r="CQ100" s="64"/>
      <c r="CR100" s="62"/>
      <c r="CS100" s="62"/>
      <c r="CT100" s="62"/>
      <c r="CU100" s="62"/>
      <c r="CX100" s="62"/>
      <c r="CZ100" s="62"/>
    </row>
    <row r="101" spans="93:104" ht="14.25" customHeight="1">
      <c r="CO101" s="62"/>
      <c r="CP101" s="63"/>
      <c r="CQ101" s="64"/>
      <c r="CR101" s="62"/>
      <c r="CS101" s="62"/>
      <c r="CT101" s="62"/>
      <c r="CU101" s="62"/>
      <c r="CX101" s="62"/>
      <c r="CZ101" s="62"/>
    </row>
    <row r="102" spans="93:104" ht="14.25" customHeight="1">
      <c r="CO102" s="62"/>
      <c r="CP102" s="63"/>
      <c r="CQ102" s="64"/>
      <c r="CR102" s="62"/>
      <c r="CS102" s="62"/>
      <c r="CT102" s="62"/>
      <c r="CU102" s="62"/>
      <c r="CX102" s="62"/>
      <c r="CZ102" s="62"/>
    </row>
    <row r="103" spans="93:104" ht="14.25" customHeight="1">
      <c r="CO103" s="62"/>
      <c r="CP103" s="63"/>
      <c r="CQ103" s="64"/>
      <c r="CR103" s="62"/>
      <c r="CS103" s="62"/>
      <c r="CT103" s="62"/>
      <c r="CU103" s="62"/>
      <c r="CX103" s="62"/>
      <c r="CZ103" s="62"/>
    </row>
    <row r="104" spans="93:104" ht="14.25" customHeight="1">
      <c r="CO104" s="62"/>
      <c r="CP104" s="63"/>
      <c r="CQ104" s="64"/>
      <c r="CR104" s="62"/>
      <c r="CS104" s="62"/>
      <c r="CT104" s="62"/>
      <c r="CU104" s="62"/>
      <c r="CX104" s="62"/>
      <c r="CZ104" s="62"/>
    </row>
    <row r="105" spans="93:104" ht="14.25" customHeight="1">
      <c r="CO105" s="62"/>
      <c r="CP105" s="63"/>
      <c r="CQ105" s="64"/>
      <c r="CR105" s="62"/>
      <c r="CS105" s="62"/>
      <c r="CT105" s="62"/>
      <c r="CU105" s="62"/>
      <c r="CX105" s="62"/>
      <c r="CZ105" s="62"/>
    </row>
    <row r="106" spans="93:104" ht="14.25" customHeight="1">
      <c r="CO106" s="62"/>
      <c r="CP106" s="63"/>
      <c r="CQ106" s="64"/>
      <c r="CR106" s="62"/>
      <c r="CS106" s="62"/>
      <c r="CT106" s="62"/>
      <c r="CU106" s="62"/>
      <c r="CX106" s="62"/>
      <c r="CZ106" s="62"/>
    </row>
    <row r="107" spans="93:104" ht="14.25" customHeight="1">
      <c r="CO107" s="62"/>
      <c r="CP107" s="63"/>
      <c r="CQ107" s="64"/>
      <c r="CR107" s="62"/>
      <c r="CS107" s="62"/>
      <c r="CT107" s="62"/>
      <c r="CU107" s="62"/>
      <c r="CX107" s="62"/>
      <c r="CZ107" s="62"/>
    </row>
    <row r="108" spans="93:104" ht="14.25" customHeight="1">
      <c r="CO108" s="62"/>
      <c r="CP108" s="63"/>
      <c r="CQ108" s="64"/>
      <c r="CR108" s="62"/>
      <c r="CS108" s="62"/>
      <c r="CT108" s="62"/>
      <c r="CU108" s="62"/>
      <c r="CX108" s="62"/>
      <c r="CZ108" s="62"/>
    </row>
    <row r="109" spans="93:104" ht="14.25" customHeight="1">
      <c r="CO109" s="62"/>
      <c r="CP109" s="63"/>
      <c r="CQ109" s="64"/>
      <c r="CR109" s="62"/>
      <c r="CS109" s="62"/>
      <c r="CT109" s="62"/>
      <c r="CU109" s="62"/>
      <c r="CX109" s="62"/>
      <c r="CZ109" s="62"/>
    </row>
    <row r="110" spans="93:104" ht="14.25" customHeight="1">
      <c r="CO110" s="62"/>
      <c r="CP110" s="63"/>
      <c r="CQ110" s="64"/>
      <c r="CR110" s="62"/>
      <c r="CS110" s="62"/>
      <c r="CT110" s="62"/>
      <c r="CU110" s="62"/>
      <c r="CX110" s="62"/>
      <c r="CZ110" s="62"/>
    </row>
    <row r="111" spans="93:104" ht="14.25" customHeight="1">
      <c r="CO111" s="62"/>
      <c r="CP111" s="63"/>
      <c r="CQ111" s="64"/>
      <c r="CR111" s="62"/>
      <c r="CS111" s="62"/>
      <c r="CT111" s="62"/>
      <c r="CU111" s="62"/>
      <c r="CX111" s="62"/>
      <c r="CZ111" s="62"/>
    </row>
    <row r="112" spans="93:104" ht="14.25" customHeight="1">
      <c r="CO112" s="62"/>
      <c r="CP112" s="63"/>
      <c r="CQ112" s="64"/>
      <c r="CR112" s="62"/>
      <c r="CS112" s="62"/>
      <c r="CT112" s="62"/>
      <c r="CU112" s="62"/>
      <c r="CX112" s="62"/>
      <c r="CZ112" s="62"/>
    </row>
    <row r="113" spans="93:104" ht="14.25" customHeight="1">
      <c r="CO113" s="62"/>
      <c r="CP113" s="63"/>
      <c r="CQ113" s="64"/>
      <c r="CR113" s="62"/>
      <c r="CS113" s="62"/>
      <c r="CT113" s="62"/>
      <c r="CU113" s="62"/>
      <c r="CX113" s="62"/>
      <c r="CZ113" s="62"/>
    </row>
    <row r="114" spans="93:104" ht="14.25" customHeight="1">
      <c r="CO114" s="62"/>
      <c r="CP114" s="63"/>
      <c r="CQ114" s="64"/>
      <c r="CR114" s="62"/>
      <c r="CS114" s="62"/>
      <c r="CT114" s="62"/>
      <c r="CU114" s="62"/>
      <c r="CX114" s="62"/>
      <c r="CZ114" s="62"/>
    </row>
    <row r="115" spans="93:104" ht="14.25" customHeight="1">
      <c r="CO115" s="62"/>
      <c r="CP115" s="63"/>
      <c r="CQ115" s="64"/>
      <c r="CR115" s="62"/>
      <c r="CS115" s="62"/>
      <c r="CT115" s="62"/>
      <c r="CU115" s="62"/>
      <c r="CX115" s="62"/>
      <c r="CZ115" s="62"/>
    </row>
    <row r="116" spans="93:104" ht="14.25" customHeight="1">
      <c r="CO116" s="62"/>
      <c r="CP116" s="63"/>
      <c r="CQ116" s="64"/>
      <c r="CR116" s="62"/>
      <c r="CS116" s="62"/>
      <c r="CT116" s="62"/>
      <c r="CU116" s="62"/>
      <c r="CX116" s="62"/>
      <c r="CZ116" s="62"/>
    </row>
    <row r="117" spans="93:104" ht="14.25" customHeight="1">
      <c r="CO117" s="62"/>
      <c r="CP117" s="63"/>
      <c r="CQ117" s="64"/>
      <c r="CR117" s="62"/>
      <c r="CS117" s="62"/>
      <c r="CT117" s="62"/>
      <c r="CU117" s="62"/>
      <c r="CX117" s="62"/>
      <c r="CZ117" s="62"/>
    </row>
    <row r="118" spans="93:104" ht="14.25" customHeight="1">
      <c r="CO118" s="62"/>
      <c r="CP118" s="63"/>
      <c r="CQ118" s="64"/>
      <c r="CR118" s="62"/>
      <c r="CS118" s="62"/>
      <c r="CT118" s="62"/>
      <c r="CU118" s="62"/>
      <c r="CX118" s="62"/>
      <c r="CZ118" s="62"/>
    </row>
    <row r="119" spans="93:104" ht="14.25" customHeight="1">
      <c r="CO119" s="62"/>
      <c r="CP119" s="63"/>
      <c r="CQ119" s="64"/>
      <c r="CR119" s="62"/>
      <c r="CS119" s="62"/>
      <c r="CT119" s="62"/>
      <c r="CU119" s="62"/>
      <c r="CX119" s="62"/>
      <c r="CZ119" s="62"/>
    </row>
    <row r="120" spans="93:104" ht="14.25" customHeight="1">
      <c r="CO120" s="62"/>
      <c r="CP120" s="63"/>
      <c r="CQ120" s="64"/>
      <c r="CR120" s="62"/>
      <c r="CS120" s="62"/>
      <c r="CT120" s="62"/>
      <c r="CU120" s="62"/>
      <c r="CX120" s="62"/>
      <c r="CZ120" s="62"/>
    </row>
    <row r="121" spans="93:104" ht="14.25" customHeight="1">
      <c r="CO121" s="62"/>
      <c r="CP121" s="63"/>
      <c r="CQ121" s="64"/>
      <c r="CR121" s="62"/>
      <c r="CS121" s="62"/>
      <c r="CT121" s="62"/>
      <c r="CU121" s="62"/>
      <c r="CX121" s="62"/>
      <c r="CZ121" s="62"/>
    </row>
    <row r="122" spans="93:104" ht="14.25" customHeight="1">
      <c r="CO122" s="62"/>
      <c r="CP122" s="63"/>
      <c r="CQ122" s="64"/>
      <c r="CR122" s="62"/>
      <c r="CS122" s="62"/>
      <c r="CT122" s="62"/>
      <c r="CU122" s="62"/>
      <c r="CX122" s="62"/>
      <c r="CZ122" s="62"/>
    </row>
    <row r="123" spans="93:104" ht="14.25" customHeight="1">
      <c r="CO123" s="62"/>
      <c r="CP123" s="63"/>
      <c r="CQ123" s="64"/>
      <c r="CR123" s="62"/>
      <c r="CS123" s="62"/>
      <c r="CT123" s="62"/>
      <c r="CU123" s="62"/>
      <c r="CX123" s="62"/>
      <c r="CZ123" s="62"/>
    </row>
    <row r="124" spans="93:104" ht="14.25" customHeight="1">
      <c r="CO124" s="62"/>
      <c r="CP124" s="63"/>
      <c r="CQ124" s="64"/>
      <c r="CR124" s="62"/>
      <c r="CS124" s="62"/>
      <c r="CT124" s="62"/>
      <c r="CU124" s="62"/>
      <c r="CX124" s="62"/>
      <c r="CZ124" s="62"/>
    </row>
    <row r="125" spans="93:104" ht="14.25" customHeight="1">
      <c r="CO125" s="62"/>
      <c r="CP125" s="63"/>
      <c r="CQ125" s="64"/>
      <c r="CR125" s="62"/>
      <c r="CS125" s="62"/>
      <c r="CT125" s="62"/>
      <c r="CU125" s="62"/>
      <c r="CX125" s="62"/>
      <c r="CZ125" s="62"/>
    </row>
    <row r="126" spans="93:104" ht="14.25" customHeight="1">
      <c r="CO126" s="62"/>
      <c r="CP126" s="63"/>
      <c r="CQ126" s="64"/>
      <c r="CR126" s="62"/>
      <c r="CS126" s="62"/>
      <c r="CT126" s="62"/>
      <c r="CU126" s="62"/>
      <c r="CX126" s="62"/>
      <c r="CZ126" s="62"/>
    </row>
    <row r="127" spans="93:104" ht="14.25" customHeight="1">
      <c r="CO127" s="62"/>
      <c r="CP127" s="63"/>
      <c r="CQ127" s="64"/>
      <c r="CR127" s="62"/>
      <c r="CS127" s="62"/>
      <c r="CT127" s="62"/>
      <c r="CU127" s="62"/>
      <c r="CX127" s="62"/>
      <c r="CZ127" s="62"/>
    </row>
    <row r="128" spans="93:104" ht="14.25" customHeight="1">
      <c r="CO128" s="62"/>
      <c r="CP128" s="63"/>
      <c r="CQ128" s="64"/>
      <c r="CR128" s="62"/>
      <c r="CS128" s="62"/>
      <c r="CT128" s="62"/>
      <c r="CU128" s="62"/>
      <c r="CX128" s="62"/>
      <c r="CZ128" s="62"/>
    </row>
    <row r="129" spans="93:104" ht="14.25" customHeight="1">
      <c r="CO129" s="62"/>
      <c r="CP129" s="63"/>
      <c r="CQ129" s="64"/>
      <c r="CR129" s="62"/>
      <c r="CS129" s="62"/>
      <c r="CT129" s="62"/>
      <c r="CU129" s="62"/>
      <c r="CX129" s="62"/>
      <c r="CZ129" s="62"/>
    </row>
    <row r="130" spans="93:104" ht="14.25" customHeight="1">
      <c r="CO130" s="62"/>
      <c r="CP130" s="63"/>
      <c r="CQ130" s="64"/>
      <c r="CR130" s="62"/>
      <c r="CS130" s="62"/>
      <c r="CT130" s="62"/>
      <c r="CU130" s="62"/>
      <c r="CX130" s="62"/>
      <c r="CZ130" s="62"/>
    </row>
    <row r="131" spans="93:104" ht="14.25" customHeight="1">
      <c r="CO131" s="62"/>
      <c r="CP131" s="63"/>
      <c r="CQ131" s="64"/>
      <c r="CR131" s="62"/>
      <c r="CS131" s="62"/>
      <c r="CT131" s="62"/>
      <c r="CU131" s="62"/>
      <c r="CX131" s="62"/>
      <c r="CZ131" s="62"/>
    </row>
    <row r="132" spans="93:104" ht="14.25" customHeight="1">
      <c r="CO132" s="62"/>
      <c r="CP132" s="63"/>
      <c r="CQ132" s="64"/>
      <c r="CR132" s="62"/>
      <c r="CS132" s="62"/>
      <c r="CT132" s="62"/>
      <c r="CU132" s="62"/>
      <c r="CX132" s="62"/>
      <c r="CZ132" s="62"/>
    </row>
    <row r="133" spans="93:104" ht="14.25" customHeight="1">
      <c r="CO133" s="62"/>
      <c r="CP133" s="63"/>
      <c r="CQ133" s="64"/>
      <c r="CR133" s="62"/>
      <c r="CS133" s="62"/>
      <c r="CT133" s="62"/>
      <c r="CU133" s="62"/>
      <c r="CX133" s="62"/>
      <c r="CZ133" s="62"/>
    </row>
    <row r="134" spans="93:104" ht="14.25" customHeight="1">
      <c r="CO134" s="62"/>
      <c r="CP134" s="63"/>
      <c r="CQ134" s="64"/>
      <c r="CR134" s="62"/>
      <c r="CS134" s="62"/>
      <c r="CT134" s="62"/>
      <c r="CU134" s="62"/>
      <c r="CX134" s="62"/>
      <c r="CZ134" s="62"/>
    </row>
    <row r="135" spans="93:104" ht="14.25" customHeight="1">
      <c r="CO135" s="62"/>
      <c r="CP135" s="63"/>
      <c r="CQ135" s="64"/>
      <c r="CR135" s="62"/>
      <c r="CS135" s="62"/>
      <c r="CT135" s="62"/>
      <c r="CU135" s="62"/>
      <c r="CX135" s="62"/>
      <c r="CZ135" s="62"/>
    </row>
    <row r="136" spans="93:104" ht="14.25" customHeight="1">
      <c r="CO136" s="62"/>
      <c r="CP136" s="63"/>
      <c r="CQ136" s="64"/>
      <c r="CR136" s="62"/>
      <c r="CS136" s="62"/>
      <c r="CT136" s="62"/>
      <c r="CU136" s="62"/>
      <c r="CX136" s="62"/>
      <c r="CZ136" s="62"/>
    </row>
    <row r="137" spans="93:104" ht="14.25" customHeight="1">
      <c r="CO137" s="62"/>
      <c r="CP137" s="63"/>
      <c r="CQ137" s="64"/>
      <c r="CR137" s="62"/>
      <c r="CS137" s="62"/>
      <c r="CT137" s="62"/>
      <c r="CU137" s="62"/>
      <c r="CX137" s="62"/>
      <c r="CZ137" s="62"/>
    </row>
    <row r="138" spans="93:104" ht="14.25" customHeight="1">
      <c r="CO138" s="62"/>
      <c r="CP138" s="63"/>
      <c r="CQ138" s="64"/>
      <c r="CR138" s="62"/>
      <c r="CS138" s="62"/>
      <c r="CT138" s="62"/>
      <c r="CU138" s="62"/>
      <c r="CX138" s="62"/>
      <c r="CZ138" s="62"/>
    </row>
    <row r="139" spans="93:104" ht="14.25" customHeight="1">
      <c r="CO139" s="62"/>
      <c r="CP139" s="63"/>
      <c r="CQ139" s="64"/>
      <c r="CR139" s="62"/>
      <c r="CS139" s="62"/>
      <c r="CT139" s="62"/>
      <c r="CU139" s="62"/>
      <c r="CX139" s="62"/>
      <c r="CZ139" s="62"/>
    </row>
    <row r="140" spans="93:104" ht="14.25" customHeight="1">
      <c r="CO140" s="62"/>
      <c r="CP140" s="63"/>
      <c r="CQ140" s="64"/>
      <c r="CR140" s="62"/>
      <c r="CS140" s="62"/>
      <c r="CT140" s="62"/>
      <c r="CU140" s="62"/>
      <c r="CX140" s="62"/>
      <c r="CZ140" s="62"/>
    </row>
    <row r="141" spans="93:104" ht="14.25" customHeight="1">
      <c r="CO141" s="62"/>
      <c r="CP141" s="63"/>
      <c r="CQ141" s="64"/>
      <c r="CR141" s="62"/>
      <c r="CS141" s="62"/>
      <c r="CT141" s="62"/>
      <c r="CU141" s="62"/>
      <c r="CX141" s="62"/>
      <c r="CZ141" s="62"/>
    </row>
    <row r="142" spans="93:104" ht="14.25" customHeight="1">
      <c r="CO142" s="62"/>
      <c r="CP142" s="63"/>
      <c r="CQ142" s="64"/>
      <c r="CR142" s="62"/>
      <c r="CS142" s="62"/>
      <c r="CT142" s="62"/>
      <c r="CU142" s="62"/>
      <c r="CX142" s="62"/>
      <c r="CZ142" s="62"/>
    </row>
    <row r="143" spans="93:104" ht="14.25" customHeight="1">
      <c r="CO143" s="62"/>
      <c r="CP143" s="63"/>
      <c r="CQ143" s="64"/>
      <c r="CR143" s="62"/>
      <c r="CS143" s="62"/>
      <c r="CT143" s="62"/>
      <c r="CU143" s="62"/>
      <c r="CX143" s="62"/>
      <c r="CZ143" s="62"/>
    </row>
    <row r="144" spans="93:104" ht="14.25" customHeight="1">
      <c r="CO144" s="62"/>
      <c r="CP144" s="63"/>
      <c r="CQ144" s="64"/>
      <c r="CR144" s="62"/>
      <c r="CS144" s="62"/>
      <c r="CT144" s="62"/>
      <c r="CU144" s="62"/>
      <c r="CX144" s="62"/>
      <c r="CZ144" s="62"/>
    </row>
    <row r="145" spans="93:104" ht="14.25" customHeight="1">
      <c r="CO145" s="62"/>
      <c r="CP145" s="63"/>
      <c r="CQ145" s="64"/>
      <c r="CR145" s="62"/>
      <c r="CS145" s="62"/>
      <c r="CT145" s="62"/>
      <c r="CU145" s="62"/>
      <c r="CX145" s="62"/>
      <c r="CZ145" s="62"/>
    </row>
    <row r="146" spans="93:104" ht="14.25" customHeight="1">
      <c r="CO146" s="62"/>
      <c r="CP146" s="63"/>
      <c r="CQ146" s="64"/>
      <c r="CR146" s="62"/>
      <c r="CS146" s="62"/>
      <c r="CT146" s="62"/>
      <c r="CU146" s="62"/>
      <c r="CX146" s="62"/>
      <c r="CZ146" s="62"/>
    </row>
    <row r="147" spans="93:104" ht="14.25" customHeight="1">
      <c r="CO147" s="62"/>
      <c r="CP147" s="63"/>
      <c r="CQ147" s="64"/>
      <c r="CR147" s="62"/>
      <c r="CS147" s="62"/>
      <c r="CT147" s="62"/>
      <c r="CU147" s="62"/>
      <c r="CX147" s="62"/>
      <c r="CZ147" s="62"/>
    </row>
    <row r="148" spans="93:104" ht="14.25" customHeight="1">
      <c r="CO148" s="62"/>
      <c r="CP148" s="63"/>
      <c r="CQ148" s="64"/>
      <c r="CR148" s="62"/>
      <c r="CS148" s="62"/>
      <c r="CT148" s="62"/>
      <c r="CU148" s="62"/>
      <c r="CX148" s="62"/>
      <c r="CZ148" s="62"/>
    </row>
    <row r="149" spans="93:104" ht="14.25" customHeight="1">
      <c r="CO149" s="62"/>
      <c r="CP149" s="63"/>
      <c r="CQ149" s="64"/>
      <c r="CR149" s="62"/>
      <c r="CS149" s="62"/>
      <c r="CT149" s="62"/>
      <c r="CU149" s="62"/>
      <c r="CX149" s="62"/>
      <c r="CZ149" s="62"/>
    </row>
    <row r="150" spans="93:104" ht="14.25" customHeight="1">
      <c r="CO150" s="62"/>
      <c r="CP150" s="63"/>
      <c r="CQ150" s="64"/>
      <c r="CR150" s="62"/>
      <c r="CS150" s="62"/>
      <c r="CT150" s="62"/>
      <c r="CU150" s="62"/>
      <c r="CX150" s="62"/>
      <c r="CZ150" s="62"/>
    </row>
    <row r="151" spans="93:104" ht="14.25" customHeight="1">
      <c r="CO151" s="62"/>
      <c r="CP151" s="63"/>
      <c r="CQ151" s="64"/>
      <c r="CR151" s="62"/>
      <c r="CS151" s="62"/>
      <c r="CT151" s="62"/>
      <c r="CU151" s="62"/>
      <c r="CX151" s="62"/>
      <c r="CZ151" s="62"/>
    </row>
    <row r="152" spans="93:104" ht="14.25" customHeight="1">
      <c r="CO152" s="62"/>
      <c r="CP152" s="63"/>
      <c r="CQ152" s="64"/>
      <c r="CR152" s="62"/>
      <c r="CS152" s="62"/>
      <c r="CT152" s="62"/>
      <c r="CU152" s="62"/>
      <c r="CX152" s="62"/>
      <c r="CZ152" s="62"/>
    </row>
    <row r="153" spans="93:104" ht="14.25" customHeight="1">
      <c r="CO153" s="62"/>
      <c r="CP153" s="63"/>
      <c r="CQ153" s="64"/>
      <c r="CR153" s="62"/>
      <c r="CS153" s="62"/>
      <c r="CT153" s="62"/>
      <c r="CU153" s="62"/>
      <c r="CX153" s="62"/>
      <c r="CZ153" s="62"/>
    </row>
    <row r="154" spans="93:104" ht="14.25" customHeight="1">
      <c r="CO154" s="62"/>
      <c r="CP154" s="63"/>
      <c r="CQ154" s="64"/>
      <c r="CR154" s="62"/>
      <c r="CS154" s="62"/>
      <c r="CT154" s="62"/>
      <c r="CU154" s="62"/>
      <c r="CX154" s="62"/>
      <c r="CZ154" s="62"/>
    </row>
    <row r="155" spans="93:104" ht="14.25" customHeight="1">
      <c r="CO155" s="62"/>
      <c r="CP155" s="63"/>
      <c r="CQ155" s="64"/>
      <c r="CR155" s="62"/>
      <c r="CS155" s="62"/>
      <c r="CT155" s="62"/>
      <c r="CU155" s="62"/>
      <c r="CX155" s="62"/>
      <c r="CZ155" s="62"/>
    </row>
    <row r="156" spans="93:104" ht="14.25" customHeight="1">
      <c r="CO156" s="62"/>
      <c r="CP156" s="63"/>
      <c r="CQ156" s="64"/>
      <c r="CR156" s="62"/>
      <c r="CS156" s="62"/>
      <c r="CT156" s="62"/>
      <c r="CU156" s="62"/>
      <c r="CX156" s="62"/>
      <c r="CZ156" s="62"/>
    </row>
    <row r="157" spans="93:104" ht="14.25" customHeight="1">
      <c r="CO157" s="62"/>
      <c r="CP157" s="63"/>
      <c r="CQ157" s="64"/>
      <c r="CR157" s="62"/>
      <c r="CS157" s="62"/>
      <c r="CT157" s="62"/>
      <c r="CU157" s="62"/>
      <c r="CX157" s="62"/>
      <c r="CZ157" s="62"/>
    </row>
    <row r="158" spans="93:104" ht="14.25" customHeight="1">
      <c r="CO158" s="62"/>
      <c r="CP158" s="63"/>
      <c r="CQ158" s="64"/>
      <c r="CR158" s="62"/>
      <c r="CS158" s="62"/>
      <c r="CT158" s="62"/>
      <c r="CU158" s="62"/>
      <c r="CX158" s="62"/>
      <c r="CZ158" s="62"/>
    </row>
    <row r="159" spans="93:104" ht="14.25" customHeight="1">
      <c r="CO159" s="62"/>
      <c r="CP159" s="63"/>
      <c r="CQ159" s="64"/>
      <c r="CR159" s="62"/>
      <c r="CS159" s="62"/>
      <c r="CT159" s="62"/>
      <c r="CU159" s="62"/>
      <c r="CX159" s="62"/>
      <c r="CZ159" s="62"/>
    </row>
    <row r="160" spans="93:104" ht="14.25" customHeight="1">
      <c r="CO160" s="62"/>
      <c r="CP160" s="63"/>
      <c r="CQ160" s="64"/>
      <c r="CR160" s="62"/>
      <c r="CS160" s="62"/>
      <c r="CT160" s="62"/>
      <c r="CU160" s="62"/>
      <c r="CX160" s="62"/>
      <c r="CZ160" s="62"/>
    </row>
    <row r="161" spans="93:104" ht="14.25" customHeight="1">
      <c r="CO161" s="62"/>
      <c r="CP161" s="63"/>
      <c r="CQ161" s="64"/>
      <c r="CR161" s="62"/>
      <c r="CS161" s="62"/>
      <c r="CT161" s="62"/>
      <c r="CU161" s="62"/>
      <c r="CX161" s="62"/>
      <c r="CZ161" s="62"/>
    </row>
    <row r="162" spans="93:104" ht="14.25" customHeight="1">
      <c r="CO162" s="62"/>
      <c r="CP162" s="63"/>
      <c r="CQ162" s="64"/>
      <c r="CR162" s="62"/>
      <c r="CS162" s="62"/>
      <c r="CT162" s="62"/>
      <c r="CU162" s="62"/>
      <c r="CX162" s="62"/>
      <c r="CZ162" s="62"/>
    </row>
    <row r="163" spans="93:104" ht="14.25" customHeight="1">
      <c r="CO163" s="62"/>
      <c r="CP163" s="63"/>
      <c r="CQ163" s="64"/>
      <c r="CR163" s="62"/>
      <c r="CS163" s="62"/>
      <c r="CT163" s="62"/>
      <c r="CU163" s="62"/>
      <c r="CX163" s="62"/>
      <c r="CZ163" s="62"/>
    </row>
    <row r="164" spans="93:104" ht="14.25" customHeight="1">
      <c r="CO164" s="62"/>
      <c r="CP164" s="63"/>
      <c r="CQ164" s="64"/>
      <c r="CR164" s="62"/>
      <c r="CS164" s="62"/>
      <c r="CT164" s="62"/>
      <c r="CU164" s="62"/>
      <c r="CX164" s="62"/>
      <c r="CZ164" s="62"/>
    </row>
    <row r="165" spans="93:104" ht="14.25" customHeight="1">
      <c r="CO165" s="62"/>
      <c r="CP165" s="63"/>
      <c r="CQ165" s="64"/>
      <c r="CR165" s="62"/>
      <c r="CS165" s="62"/>
      <c r="CT165" s="62"/>
      <c r="CU165" s="62"/>
      <c r="CX165" s="62"/>
      <c r="CZ165" s="62"/>
    </row>
    <row r="166" spans="93:104" ht="14.25" customHeight="1">
      <c r="CO166" s="62"/>
      <c r="CP166" s="63"/>
      <c r="CQ166" s="64"/>
      <c r="CR166" s="62"/>
      <c r="CS166" s="62"/>
      <c r="CT166" s="62"/>
      <c r="CU166" s="62"/>
      <c r="CX166" s="62"/>
      <c r="CZ166" s="62"/>
    </row>
    <row r="167" spans="93:104" ht="14.25" customHeight="1">
      <c r="CO167" s="62"/>
      <c r="CP167" s="63"/>
      <c r="CQ167" s="64"/>
      <c r="CR167" s="62"/>
      <c r="CS167" s="62"/>
      <c r="CT167" s="62"/>
      <c r="CU167" s="62"/>
      <c r="CX167" s="62"/>
      <c r="CZ167" s="62"/>
    </row>
    <row r="168" spans="93:104" ht="14.25" customHeight="1">
      <c r="CO168" s="62"/>
      <c r="CP168" s="63"/>
      <c r="CQ168" s="64"/>
      <c r="CR168" s="62"/>
      <c r="CS168" s="62"/>
      <c r="CT168" s="62"/>
      <c r="CU168" s="62"/>
      <c r="CX168" s="62"/>
      <c r="CZ168" s="62"/>
    </row>
    <row r="169" spans="93:104" ht="14.25" customHeight="1">
      <c r="CO169" s="62"/>
      <c r="CP169" s="63"/>
      <c r="CQ169" s="64"/>
      <c r="CR169" s="62"/>
      <c r="CS169" s="62"/>
      <c r="CT169" s="62"/>
      <c r="CU169" s="62"/>
      <c r="CX169" s="62"/>
      <c r="CZ169" s="62"/>
    </row>
    <row r="170" spans="93:104" ht="14.25" customHeight="1">
      <c r="CO170" s="62"/>
      <c r="CP170" s="63"/>
      <c r="CQ170" s="64"/>
      <c r="CR170" s="62"/>
      <c r="CS170" s="62"/>
      <c r="CT170" s="62"/>
      <c r="CU170" s="62"/>
      <c r="CX170" s="62"/>
      <c r="CZ170" s="62"/>
    </row>
    <row r="171" spans="93:104" ht="14.25" customHeight="1">
      <c r="CO171" s="62"/>
      <c r="CP171" s="63"/>
      <c r="CQ171" s="64"/>
      <c r="CR171" s="62"/>
      <c r="CS171" s="62"/>
      <c r="CT171" s="62"/>
      <c r="CU171" s="62"/>
      <c r="CX171" s="62"/>
      <c r="CZ171" s="62"/>
    </row>
    <row r="172" spans="93:104" ht="14.25" customHeight="1">
      <c r="CO172" s="62"/>
      <c r="CP172" s="63"/>
      <c r="CQ172" s="64"/>
      <c r="CR172" s="62"/>
      <c r="CS172" s="62"/>
      <c r="CT172" s="62"/>
      <c r="CU172" s="62"/>
      <c r="CX172" s="62"/>
      <c r="CZ172" s="62"/>
    </row>
    <row r="173" spans="93:104" ht="14.25" customHeight="1">
      <c r="CO173" s="62"/>
      <c r="CP173" s="63"/>
      <c r="CQ173" s="64"/>
      <c r="CR173" s="62"/>
      <c r="CS173" s="62"/>
      <c r="CT173" s="62"/>
      <c r="CU173" s="62"/>
      <c r="CX173" s="62"/>
      <c r="CZ173" s="62"/>
    </row>
    <row r="174" spans="93:104" ht="14.25" customHeight="1">
      <c r="CO174" s="62"/>
      <c r="CP174" s="63"/>
      <c r="CQ174" s="64"/>
      <c r="CR174" s="62"/>
      <c r="CS174" s="62"/>
      <c r="CT174" s="62"/>
      <c r="CU174" s="62"/>
      <c r="CX174" s="62"/>
      <c r="CZ174" s="62"/>
    </row>
    <row r="175" spans="93:104" ht="14.25" customHeight="1">
      <c r="CO175" s="62"/>
      <c r="CP175" s="63"/>
      <c r="CQ175" s="64"/>
      <c r="CR175" s="62"/>
      <c r="CS175" s="62"/>
      <c r="CT175" s="62"/>
      <c r="CU175" s="62"/>
      <c r="CX175" s="62"/>
      <c r="CZ175" s="62"/>
    </row>
    <row r="176" spans="93:104" ht="14.25" customHeight="1">
      <c r="CO176" s="62"/>
      <c r="CP176" s="63"/>
      <c r="CQ176" s="64"/>
      <c r="CR176" s="62"/>
      <c r="CS176" s="62"/>
      <c r="CT176" s="62"/>
      <c r="CU176" s="62"/>
      <c r="CX176" s="62"/>
      <c r="CZ176" s="62"/>
    </row>
    <row r="177" spans="93:104" ht="14.25" customHeight="1">
      <c r="CO177" s="62"/>
      <c r="CP177" s="63"/>
      <c r="CQ177" s="64"/>
      <c r="CR177" s="62"/>
      <c r="CS177" s="62"/>
      <c r="CT177" s="62"/>
      <c r="CU177" s="62"/>
      <c r="CX177" s="62"/>
      <c r="CZ177" s="62"/>
    </row>
    <row r="178" spans="93:104" ht="14.25" customHeight="1">
      <c r="CO178" s="62"/>
      <c r="CP178" s="63"/>
      <c r="CQ178" s="64"/>
      <c r="CR178" s="62"/>
      <c r="CS178" s="62"/>
      <c r="CT178" s="62"/>
      <c r="CU178" s="62"/>
      <c r="CX178" s="62"/>
      <c r="CZ178" s="62"/>
    </row>
    <row r="179" spans="93:104" ht="14.25" customHeight="1">
      <c r="CO179" s="62"/>
      <c r="CP179" s="63"/>
      <c r="CQ179" s="64"/>
      <c r="CR179" s="62"/>
      <c r="CS179" s="62"/>
      <c r="CT179" s="62"/>
      <c r="CU179" s="62"/>
      <c r="CX179" s="62"/>
      <c r="CZ179" s="62"/>
    </row>
    <row r="180" spans="93:104" ht="14.25" customHeight="1">
      <c r="CO180" s="62"/>
      <c r="CP180" s="63"/>
      <c r="CQ180" s="64"/>
      <c r="CR180" s="62"/>
      <c r="CS180" s="62"/>
      <c r="CT180" s="62"/>
      <c r="CU180" s="62"/>
      <c r="CX180" s="62"/>
      <c r="CZ180" s="62"/>
    </row>
    <row r="181" spans="93:104" ht="14.25" customHeight="1">
      <c r="CO181" s="62"/>
      <c r="CP181" s="63"/>
      <c r="CQ181" s="64"/>
      <c r="CR181" s="62"/>
      <c r="CS181" s="62"/>
      <c r="CT181" s="62"/>
      <c r="CU181" s="62"/>
      <c r="CX181" s="62"/>
      <c r="CZ181" s="62"/>
    </row>
    <row r="182" spans="93:104" ht="14.25" customHeight="1">
      <c r="CO182" s="62"/>
      <c r="CP182" s="63"/>
      <c r="CQ182" s="64"/>
      <c r="CR182" s="62"/>
      <c r="CS182" s="62"/>
      <c r="CT182" s="62"/>
      <c r="CU182" s="62"/>
      <c r="CX182" s="62"/>
      <c r="CZ182" s="62"/>
    </row>
    <row r="183" spans="93:104" ht="14.25" customHeight="1">
      <c r="CO183" s="62"/>
      <c r="CP183" s="63"/>
      <c r="CQ183" s="64"/>
      <c r="CR183" s="62"/>
      <c r="CS183" s="62"/>
      <c r="CT183" s="62"/>
      <c r="CU183" s="62"/>
      <c r="CX183" s="62"/>
      <c r="CZ183" s="62"/>
    </row>
    <row r="184" spans="93:104" ht="14.25" customHeight="1">
      <c r="CO184" s="62"/>
      <c r="CP184" s="63"/>
      <c r="CQ184" s="64"/>
      <c r="CR184" s="62"/>
      <c r="CS184" s="62"/>
      <c r="CT184" s="62"/>
      <c r="CU184" s="62"/>
      <c r="CX184" s="62"/>
      <c r="CZ184" s="62"/>
    </row>
    <row r="185" spans="93:104" ht="14.25" customHeight="1">
      <c r="CO185" s="62"/>
      <c r="CP185" s="63"/>
      <c r="CQ185" s="64"/>
      <c r="CR185" s="62"/>
      <c r="CS185" s="62"/>
      <c r="CT185" s="62"/>
      <c r="CU185" s="62"/>
      <c r="CX185" s="62"/>
      <c r="CZ185" s="62"/>
    </row>
    <row r="186" spans="93:104" ht="14.25" customHeight="1">
      <c r="CO186" s="62"/>
      <c r="CP186" s="63"/>
      <c r="CQ186" s="64"/>
      <c r="CR186" s="62"/>
      <c r="CS186" s="62"/>
      <c r="CT186" s="62"/>
      <c r="CU186" s="62"/>
      <c r="CX186" s="62"/>
      <c r="CZ186" s="62"/>
    </row>
    <row r="187" spans="93:104" ht="14.25" customHeight="1">
      <c r="CO187" s="62"/>
      <c r="CP187" s="63"/>
      <c r="CQ187" s="64"/>
      <c r="CR187" s="62"/>
      <c r="CS187" s="62"/>
      <c r="CT187" s="62"/>
      <c r="CU187" s="62"/>
      <c r="CX187" s="62"/>
      <c r="CZ187" s="62"/>
    </row>
    <row r="188" spans="93:104" ht="14.25" customHeight="1">
      <c r="CO188" s="62"/>
      <c r="CP188" s="63"/>
      <c r="CQ188" s="64"/>
      <c r="CR188" s="62"/>
      <c r="CS188" s="62"/>
      <c r="CT188" s="62"/>
      <c r="CU188" s="62"/>
      <c r="CX188" s="62"/>
      <c r="CZ188" s="62"/>
    </row>
    <row r="189" spans="93:104" ht="14.25" customHeight="1">
      <c r="CO189" s="62"/>
      <c r="CP189" s="63"/>
      <c r="CQ189" s="64"/>
      <c r="CR189" s="62"/>
      <c r="CS189" s="62"/>
      <c r="CT189" s="62"/>
      <c r="CU189" s="62"/>
      <c r="CX189" s="62"/>
      <c r="CZ189" s="62"/>
    </row>
    <row r="190" spans="93:104" ht="14.25" customHeight="1">
      <c r="CO190" s="62"/>
      <c r="CP190" s="63"/>
      <c r="CQ190" s="64"/>
      <c r="CR190" s="62"/>
      <c r="CS190" s="62"/>
      <c r="CT190" s="62"/>
      <c r="CU190" s="62"/>
      <c r="CX190" s="62"/>
      <c r="CZ190" s="62"/>
    </row>
    <row r="191" spans="93:104" ht="14.25" customHeight="1">
      <c r="CO191" s="62"/>
      <c r="CP191" s="63"/>
      <c r="CQ191" s="64"/>
      <c r="CR191" s="62"/>
      <c r="CS191" s="62"/>
      <c r="CT191" s="62"/>
      <c r="CU191" s="62"/>
      <c r="CX191" s="62"/>
      <c r="CZ191" s="62"/>
    </row>
    <row r="192" spans="93:104" ht="14.25" customHeight="1">
      <c r="CO192" s="62"/>
      <c r="CP192" s="63"/>
      <c r="CQ192" s="64"/>
      <c r="CR192" s="62"/>
      <c r="CS192" s="62"/>
      <c r="CT192" s="62"/>
      <c r="CU192" s="62"/>
      <c r="CX192" s="62"/>
      <c r="CZ192" s="62"/>
    </row>
    <row r="193" spans="93:104" ht="14.25" customHeight="1">
      <c r="CO193" s="62"/>
      <c r="CP193" s="63"/>
      <c r="CQ193" s="64"/>
      <c r="CR193" s="62"/>
      <c r="CS193" s="62"/>
      <c r="CT193" s="62"/>
      <c r="CU193" s="62"/>
      <c r="CX193" s="62"/>
      <c r="CZ193" s="62"/>
    </row>
    <row r="194" spans="93:104" ht="14.25" customHeight="1">
      <c r="CO194" s="62"/>
      <c r="CP194" s="63"/>
      <c r="CQ194" s="64"/>
      <c r="CR194" s="62"/>
      <c r="CS194" s="62"/>
      <c r="CT194" s="62"/>
      <c r="CU194" s="62"/>
      <c r="CX194" s="62"/>
      <c r="CZ194" s="62"/>
    </row>
    <row r="195" spans="93:104" ht="14.25" customHeight="1">
      <c r="CO195" s="62"/>
      <c r="CP195" s="63"/>
      <c r="CQ195" s="64"/>
      <c r="CR195" s="62"/>
      <c r="CS195" s="62"/>
      <c r="CT195" s="62"/>
      <c r="CU195" s="62"/>
      <c r="CX195" s="62"/>
      <c r="CZ195" s="62"/>
    </row>
    <row r="196" spans="93:104" ht="14.25" customHeight="1">
      <c r="CO196" s="62"/>
      <c r="CP196" s="63"/>
      <c r="CQ196" s="64"/>
      <c r="CR196" s="62"/>
      <c r="CS196" s="62"/>
      <c r="CT196" s="62"/>
      <c r="CU196" s="62"/>
      <c r="CX196" s="62"/>
      <c r="CZ196" s="62"/>
    </row>
    <row r="197" spans="93:104" ht="14.25" customHeight="1">
      <c r="CO197" s="62"/>
      <c r="CP197" s="63"/>
      <c r="CQ197" s="64"/>
      <c r="CR197" s="62"/>
      <c r="CS197" s="62"/>
      <c r="CT197" s="62"/>
      <c r="CU197" s="62"/>
      <c r="CX197" s="62"/>
      <c r="CZ197" s="62"/>
    </row>
    <row r="198" spans="93:104" ht="14.25" customHeight="1">
      <c r="CO198" s="62"/>
      <c r="CP198" s="63"/>
      <c r="CQ198" s="64"/>
      <c r="CR198" s="62"/>
      <c r="CS198" s="62"/>
      <c r="CT198" s="62"/>
      <c r="CU198" s="62"/>
      <c r="CX198" s="62"/>
      <c r="CZ198" s="62"/>
    </row>
    <row r="199" spans="93:104" ht="14.25" customHeight="1">
      <c r="CO199" s="62"/>
      <c r="CP199" s="63"/>
      <c r="CQ199" s="64"/>
      <c r="CR199" s="62"/>
      <c r="CS199" s="62"/>
      <c r="CT199" s="62"/>
      <c r="CU199" s="62"/>
      <c r="CX199" s="62"/>
      <c r="CZ199" s="62"/>
    </row>
    <row r="200" spans="93:104" ht="14.25" customHeight="1">
      <c r="CO200" s="62"/>
      <c r="CP200" s="63"/>
      <c r="CQ200" s="64"/>
      <c r="CR200" s="62"/>
      <c r="CS200" s="62"/>
      <c r="CT200" s="62"/>
      <c r="CU200" s="62"/>
      <c r="CX200" s="62"/>
      <c r="CZ200" s="62"/>
    </row>
    <row r="201" spans="93:104" ht="14.25" customHeight="1">
      <c r="CO201" s="62"/>
      <c r="CP201" s="63"/>
      <c r="CQ201" s="64"/>
      <c r="CR201" s="62"/>
      <c r="CS201" s="62"/>
      <c r="CT201" s="62"/>
      <c r="CU201" s="62"/>
      <c r="CX201" s="62"/>
      <c r="CZ201" s="62"/>
    </row>
    <row r="202" spans="93:104" ht="14.25" customHeight="1">
      <c r="CO202" s="62"/>
      <c r="CP202" s="63"/>
      <c r="CQ202" s="64"/>
      <c r="CR202" s="62"/>
      <c r="CS202" s="62"/>
      <c r="CT202" s="62"/>
      <c r="CU202" s="62"/>
      <c r="CX202" s="62"/>
      <c r="CZ202" s="62"/>
    </row>
    <row r="203" spans="93:104" ht="14.25" customHeight="1">
      <c r="CO203" s="62"/>
      <c r="CP203" s="63"/>
      <c r="CQ203" s="64"/>
      <c r="CR203" s="62"/>
      <c r="CS203" s="62"/>
      <c r="CT203" s="62"/>
      <c r="CU203" s="62"/>
      <c r="CX203" s="62"/>
      <c r="CZ203" s="62"/>
    </row>
    <row r="204" spans="93:104" ht="14.25" customHeight="1">
      <c r="CO204" s="62"/>
      <c r="CP204" s="63"/>
      <c r="CQ204" s="64"/>
      <c r="CR204" s="62"/>
      <c r="CS204" s="62"/>
      <c r="CT204" s="62"/>
      <c r="CU204" s="62"/>
      <c r="CX204" s="62"/>
      <c r="CZ204" s="62"/>
    </row>
    <row r="205" spans="93:104" ht="14.25" customHeight="1">
      <c r="CO205" s="62"/>
      <c r="CP205" s="63"/>
      <c r="CQ205" s="64"/>
      <c r="CR205" s="62"/>
      <c r="CS205" s="62"/>
      <c r="CT205" s="62"/>
      <c r="CU205" s="62"/>
      <c r="CX205" s="62"/>
      <c r="CZ205" s="62"/>
    </row>
    <row r="206" spans="93:104" ht="14.25" customHeight="1">
      <c r="CO206" s="62"/>
      <c r="CP206" s="63"/>
      <c r="CQ206" s="64"/>
      <c r="CR206" s="62"/>
      <c r="CS206" s="62"/>
      <c r="CT206" s="62"/>
      <c r="CU206" s="62"/>
      <c r="CX206" s="62"/>
      <c r="CZ206" s="62"/>
    </row>
    <row r="207" spans="93:104" ht="14.25" customHeight="1">
      <c r="CO207" s="62"/>
      <c r="CP207" s="63"/>
      <c r="CQ207" s="64"/>
      <c r="CR207" s="62"/>
      <c r="CS207" s="62"/>
      <c r="CT207" s="62"/>
      <c r="CU207" s="62"/>
      <c r="CX207" s="62"/>
      <c r="CZ207" s="62"/>
    </row>
    <row r="208" spans="93:104" ht="14.25" customHeight="1">
      <c r="CO208" s="62"/>
      <c r="CP208" s="63"/>
      <c r="CQ208" s="64"/>
      <c r="CR208" s="62"/>
      <c r="CS208" s="62"/>
      <c r="CT208" s="62"/>
      <c r="CU208" s="62"/>
      <c r="CX208" s="62"/>
      <c r="CZ208" s="62"/>
    </row>
    <row r="209" spans="93:104" ht="14.25" customHeight="1">
      <c r="CO209" s="62"/>
      <c r="CP209" s="63"/>
      <c r="CQ209" s="64"/>
      <c r="CR209" s="62"/>
      <c r="CS209" s="62"/>
      <c r="CT209" s="62"/>
      <c r="CU209" s="62"/>
      <c r="CX209" s="62"/>
      <c r="CZ209" s="62"/>
    </row>
    <row r="210" spans="93:104" ht="14.25" customHeight="1">
      <c r="CO210" s="62"/>
      <c r="CP210" s="63"/>
      <c r="CQ210" s="64"/>
      <c r="CR210" s="62"/>
      <c r="CS210" s="62"/>
      <c r="CT210" s="62"/>
      <c r="CU210" s="62"/>
      <c r="CX210" s="62"/>
      <c r="CZ210" s="62"/>
    </row>
    <row r="211" spans="93:104" ht="14.25" customHeight="1">
      <c r="CO211" s="62"/>
      <c r="CP211" s="63"/>
      <c r="CQ211" s="64"/>
      <c r="CR211" s="62"/>
      <c r="CS211" s="62"/>
      <c r="CT211" s="62"/>
      <c r="CU211" s="62"/>
      <c r="CX211" s="62"/>
      <c r="CZ211" s="62"/>
    </row>
    <row r="212" spans="93:104" ht="14.25" customHeight="1">
      <c r="CO212" s="62"/>
      <c r="CP212" s="63"/>
      <c r="CQ212" s="64"/>
      <c r="CR212" s="62"/>
      <c r="CS212" s="62"/>
      <c r="CT212" s="62"/>
      <c r="CU212" s="62"/>
      <c r="CX212" s="62"/>
      <c r="CZ212" s="62"/>
    </row>
    <row r="213" spans="93:104" ht="14.25" customHeight="1">
      <c r="CO213" s="62"/>
      <c r="CP213" s="63"/>
      <c r="CQ213" s="64"/>
      <c r="CR213" s="62"/>
      <c r="CS213" s="62"/>
      <c r="CT213" s="62"/>
      <c r="CU213" s="62"/>
      <c r="CX213" s="62"/>
      <c r="CZ213" s="62"/>
    </row>
    <row r="214" spans="93:104" ht="14.25" customHeight="1">
      <c r="CO214" s="62"/>
      <c r="CP214" s="63"/>
      <c r="CQ214" s="64"/>
      <c r="CR214" s="62"/>
      <c r="CS214" s="62"/>
      <c r="CT214" s="62"/>
      <c r="CU214" s="62"/>
      <c r="CX214" s="62"/>
      <c r="CZ214" s="62"/>
    </row>
    <row r="215" spans="93:104" ht="14.25" customHeight="1">
      <c r="CO215" s="62"/>
      <c r="CP215" s="63"/>
      <c r="CQ215" s="64"/>
      <c r="CR215" s="62"/>
      <c r="CS215" s="62"/>
      <c r="CT215" s="62"/>
      <c r="CU215" s="62"/>
      <c r="CX215" s="62"/>
      <c r="CZ215" s="62"/>
    </row>
    <row r="216" spans="93:104" ht="14.25" customHeight="1">
      <c r="CO216" s="62"/>
      <c r="CP216" s="63"/>
      <c r="CQ216" s="64"/>
      <c r="CR216" s="62"/>
      <c r="CS216" s="62"/>
      <c r="CT216" s="62"/>
      <c r="CU216" s="62"/>
      <c r="CX216" s="62"/>
      <c r="CZ216" s="62"/>
    </row>
    <row r="217" spans="93:104" ht="14.25" customHeight="1">
      <c r="CO217" s="62"/>
      <c r="CP217" s="63"/>
      <c r="CQ217" s="64"/>
      <c r="CR217" s="62"/>
      <c r="CS217" s="62"/>
      <c r="CT217" s="62"/>
      <c r="CU217" s="62"/>
      <c r="CX217" s="62"/>
      <c r="CZ217" s="62"/>
    </row>
    <row r="218" spans="93:104" ht="14.25" customHeight="1">
      <c r="CO218" s="62"/>
      <c r="CP218" s="63"/>
      <c r="CQ218" s="64"/>
      <c r="CR218" s="62"/>
      <c r="CS218" s="62"/>
      <c r="CT218" s="62"/>
      <c r="CU218" s="62"/>
      <c r="CX218" s="62"/>
      <c r="CZ218" s="62"/>
    </row>
    <row r="219" spans="93:104" ht="14.25" customHeight="1">
      <c r="CO219" s="62"/>
      <c r="CP219" s="63"/>
      <c r="CQ219" s="64"/>
      <c r="CR219" s="62"/>
      <c r="CS219" s="62"/>
      <c r="CT219" s="62"/>
      <c r="CU219" s="62"/>
      <c r="CX219" s="62"/>
      <c r="CZ219" s="62"/>
    </row>
    <row r="220" spans="93:104" ht="14.25" customHeight="1">
      <c r="CO220" s="62"/>
      <c r="CP220" s="63"/>
      <c r="CQ220" s="64"/>
      <c r="CR220" s="62"/>
      <c r="CS220" s="62"/>
      <c r="CT220" s="62"/>
      <c r="CU220" s="62"/>
      <c r="CX220" s="62"/>
      <c r="CZ220" s="62"/>
    </row>
    <row r="221" spans="93:104" ht="14.25" customHeight="1">
      <c r="CO221" s="62"/>
      <c r="CP221" s="63"/>
      <c r="CQ221" s="64"/>
      <c r="CR221" s="62"/>
      <c r="CS221" s="62"/>
      <c r="CT221" s="62"/>
      <c r="CU221" s="62"/>
      <c r="CX221" s="62"/>
      <c r="CZ221" s="62"/>
    </row>
    <row r="222" spans="93:104" ht="14.25" customHeight="1">
      <c r="CO222" s="62"/>
      <c r="CP222" s="63"/>
      <c r="CQ222" s="64"/>
      <c r="CR222" s="62"/>
      <c r="CS222" s="62"/>
      <c r="CT222" s="62"/>
      <c r="CU222" s="62"/>
      <c r="CX222" s="62"/>
      <c r="CZ222" s="62"/>
    </row>
    <row r="223" spans="93:104" ht="14.25" customHeight="1">
      <c r="CO223" s="62"/>
      <c r="CP223" s="63"/>
      <c r="CQ223" s="64"/>
      <c r="CR223" s="62"/>
      <c r="CS223" s="62"/>
      <c r="CT223" s="62"/>
      <c r="CU223" s="62"/>
      <c r="CX223" s="62"/>
      <c r="CZ223" s="62"/>
    </row>
    <row r="224" spans="93:104" ht="14.25" customHeight="1">
      <c r="CO224" s="62"/>
      <c r="CP224" s="63"/>
      <c r="CQ224" s="64"/>
      <c r="CR224" s="62"/>
      <c r="CS224" s="62"/>
      <c r="CT224" s="62"/>
      <c r="CU224" s="62"/>
      <c r="CX224" s="62"/>
      <c r="CZ224" s="62"/>
    </row>
    <row r="225" spans="93:104" ht="14.25" customHeight="1">
      <c r="CO225" s="62"/>
      <c r="CP225" s="63"/>
      <c r="CQ225" s="64"/>
      <c r="CR225" s="62"/>
      <c r="CS225" s="62"/>
      <c r="CT225" s="62"/>
      <c r="CU225" s="62"/>
      <c r="CX225" s="62"/>
      <c r="CZ225" s="62"/>
    </row>
    <row r="226" spans="93:104" ht="14.25" customHeight="1">
      <c r="CO226" s="62"/>
      <c r="CP226" s="63"/>
      <c r="CQ226" s="64"/>
      <c r="CR226" s="62"/>
      <c r="CS226" s="62"/>
      <c r="CT226" s="62"/>
      <c r="CU226" s="62"/>
      <c r="CX226" s="62"/>
      <c r="CZ226" s="62"/>
    </row>
    <row r="227" spans="93:104" ht="14.25" customHeight="1">
      <c r="CO227" s="62"/>
      <c r="CP227" s="63"/>
      <c r="CQ227" s="64"/>
      <c r="CR227" s="62"/>
      <c r="CS227" s="62"/>
      <c r="CT227" s="62"/>
      <c r="CU227" s="62"/>
      <c r="CX227" s="62"/>
      <c r="CZ227" s="62"/>
    </row>
    <row r="228" spans="93:104" ht="14.25" customHeight="1">
      <c r="CO228" s="62"/>
      <c r="CP228" s="63"/>
      <c r="CQ228" s="64"/>
      <c r="CR228" s="62"/>
      <c r="CS228" s="62"/>
      <c r="CT228" s="62"/>
      <c r="CU228" s="62"/>
      <c r="CX228" s="62"/>
      <c r="CZ228" s="62"/>
    </row>
    <row r="229" spans="93:104" ht="14.25" customHeight="1">
      <c r="CO229" s="62"/>
      <c r="CP229" s="63"/>
      <c r="CQ229" s="64"/>
      <c r="CR229" s="62"/>
      <c r="CS229" s="62"/>
      <c r="CT229" s="62"/>
      <c r="CU229" s="62"/>
      <c r="CX229" s="62"/>
      <c r="CZ229" s="62"/>
    </row>
    <row r="230" spans="93:104" ht="14.25" customHeight="1">
      <c r="CO230" s="62"/>
      <c r="CP230" s="63"/>
      <c r="CQ230" s="64"/>
      <c r="CR230" s="62"/>
      <c r="CS230" s="62"/>
      <c r="CT230" s="62"/>
      <c r="CU230" s="62"/>
      <c r="CX230" s="62"/>
      <c r="CZ230" s="62"/>
    </row>
    <row r="231" spans="93:104" ht="14.25" customHeight="1">
      <c r="CO231" s="62"/>
      <c r="CP231" s="63"/>
      <c r="CQ231" s="64"/>
      <c r="CR231" s="62"/>
      <c r="CS231" s="62"/>
      <c r="CT231" s="62"/>
      <c r="CU231" s="62"/>
      <c r="CX231" s="62"/>
      <c r="CZ231" s="62"/>
    </row>
    <row r="232" spans="93:104" ht="14.25" customHeight="1">
      <c r="CO232" s="62"/>
      <c r="CP232" s="63"/>
      <c r="CQ232" s="64"/>
      <c r="CR232" s="62"/>
      <c r="CS232" s="62"/>
      <c r="CT232" s="62"/>
      <c r="CU232" s="62"/>
      <c r="CX232" s="62"/>
      <c r="CZ232" s="62"/>
    </row>
    <row r="233" spans="93:104" ht="14.25" customHeight="1">
      <c r="CO233" s="62"/>
      <c r="CP233" s="63"/>
      <c r="CQ233" s="64"/>
      <c r="CR233" s="62"/>
      <c r="CS233" s="62"/>
      <c r="CT233" s="62"/>
      <c r="CU233" s="62"/>
      <c r="CX233" s="62"/>
      <c r="CZ233" s="62"/>
    </row>
    <row r="234" spans="93:104" ht="14.25" customHeight="1">
      <c r="CO234" s="62"/>
      <c r="CP234" s="63"/>
      <c r="CQ234" s="64"/>
      <c r="CR234" s="62"/>
      <c r="CS234" s="62"/>
      <c r="CT234" s="62"/>
      <c r="CU234" s="62"/>
      <c r="CX234" s="62"/>
      <c r="CZ234" s="62"/>
    </row>
    <row r="235" spans="93:104" ht="14.25" customHeight="1">
      <c r="CO235" s="62"/>
      <c r="CP235" s="63"/>
      <c r="CQ235" s="64"/>
      <c r="CR235" s="62"/>
      <c r="CS235" s="62"/>
      <c r="CT235" s="62"/>
      <c r="CU235" s="62"/>
      <c r="CX235" s="62"/>
      <c r="CZ235" s="62"/>
    </row>
    <row r="236" spans="93:104" ht="14.25" customHeight="1">
      <c r="CO236" s="62"/>
      <c r="CP236" s="63"/>
      <c r="CQ236" s="64"/>
      <c r="CR236" s="62"/>
      <c r="CS236" s="62"/>
      <c r="CT236" s="62"/>
      <c r="CU236" s="62"/>
      <c r="CX236" s="62"/>
      <c r="CZ236" s="62"/>
    </row>
    <row r="237" spans="93:104" ht="14.25" customHeight="1">
      <c r="CO237" s="62"/>
      <c r="CP237" s="63"/>
      <c r="CQ237" s="64"/>
      <c r="CR237" s="62"/>
      <c r="CS237" s="62"/>
      <c r="CT237" s="62"/>
      <c r="CU237" s="62"/>
      <c r="CX237" s="62"/>
      <c r="CZ237" s="62"/>
    </row>
    <row r="238" spans="93:104" ht="14.25" customHeight="1">
      <c r="CO238" s="62"/>
      <c r="CP238" s="63"/>
      <c r="CQ238" s="64"/>
      <c r="CR238" s="62"/>
      <c r="CS238" s="62"/>
      <c r="CT238" s="62"/>
      <c r="CU238" s="62"/>
      <c r="CX238" s="62"/>
      <c r="CZ238" s="62"/>
    </row>
    <row r="239" spans="93:104" ht="14.25" customHeight="1">
      <c r="CO239" s="62"/>
      <c r="CP239" s="63"/>
      <c r="CQ239" s="64"/>
      <c r="CR239" s="62"/>
      <c r="CS239" s="62"/>
      <c r="CT239" s="62"/>
      <c r="CU239" s="62"/>
      <c r="CX239" s="62"/>
      <c r="CZ239" s="62"/>
    </row>
    <row r="240" spans="93:104" ht="14.25" customHeight="1">
      <c r="CO240" s="62"/>
      <c r="CP240" s="63"/>
      <c r="CQ240" s="64"/>
      <c r="CR240" s="62"/>
      <c r="CS240" s="62"/>
      <c r="CT240" s="62"/>
      <c r="CU240" s="62"/>
      <c r="CX240" s="62"/>
      <c r="CZ240" s="62"/>
    </row>
    <row r="241" spans="93:104" ht="14.25" customHeight="1">
      <c r="CO241" s="62"/>
      <c r="CP241" s="63"/>
      <c r="CQ241" s="64"/>
      <c r="CR241" s="62"/>
      <c r="CS241" s="62"/>
      <c r="CT241" s="62"/>
      <c r="CU241" s="62"/>
      <c r="CX241" s="62"/>
      <c r="CZ241" s="62"/>
    </row>
    <row r="242" spans="93:104" ht="14.25" customHeight="1">
      <c r="CO242" s="62"/>
      <c r="CP242" s="63"/>
      <c r="CQ242" s="64"/>
      <c r="CR242" s="62"/>
      <c r="CS242" s="62"/>
      <c r="CT242" s="62"/>
      <c r="CU242" s="62"/>
      <c r="CX242" s="62"/>
      <c r="CZ242" s="62"/>
    </row>
    <row r="243" spans="93:104" ht="14.25" customHeight="1">
      <c r="CO243" s="62"/>
      <c r="CP243" s="63"/>
      <c r="CQ243" s="64"/>
      <c r="CR243" s="62"/>
      <c r="CS243" s="62"/>
      <c r="CT243" s="62"/>
      <c r="CU243" s="62"/>
      <c r="CX243" s="62"/>
      <c r="CZ243" s="62"/>
    </row>
    <row r="244" spans="93:104" ht="14.25" customHeight="1">
      <c r="CO244" s="62"/>
      <c r="CP244" s="63"/>
      <c r="CQ244" s="64"/>
      <c r="CR244" s="62"/>
      <c r="CS244" s="62"/>
      <c r="CT244" s="62"/>
      <c r="CU244" s="62"/>
      <c r="CX244" s="62"/>
      <c r="CZ244" s="62"/>
    </row>
    <row r="245" spans="93:104" ht="14.25" customHeight="1">
      <c r="CO245" s="62"/>
      <c r="CP245" s="63"/>
      <c r="CQ245" s="64"/>
      <c r="CR245" s="62"/>
      <c r="CS245" s="62"/>
      <c r="CT245" s="62"/>
      <c r="CU245" s="62"/>
      <c r="CX245" s="62"/>
      <c r="CZ245" s="62"/>
    </row>
    <row r="246" spans="93:104" ht="14.25" customHeight="1">
      <c r="CO246" s="62"/>
      <c r="CP246" s="63"/>
      <c r="CQ246" s="64"/>
      <c r="CR246" s="62"/>
      <c r="CS246" s="62"/>
      <c r="CT246" s="62"/>
      <c r="CU246" s="62"/>
      <c r="CX246" s="62"/>
      <c r="CZ246" s="62"/>
    </row>
    <row r="247" spans="93:104" ht="14.25" customHeight="1">
      <c r="CO247" s="62"/>
      <c r="CP247" s="63"/>
      <c r="CQ247" s="64"/>
      <c r="CR247" s="62"/>
      <c r="CS247" s="62"/>
      <c r="CT247" s="62"/>
      <c r="CU247" s="62"/>
      <c r="CX247" s="62"/>
      <c r="CZ247" s="62"/>
    </row>
    <row r="248" spans="93:104" ht="14.25" customHeight="1">
      <c r="CO248" s="62"/>
      <c r="CP248" s="63"/>
      <c r="CQ248" s="64"/>
      <c r="CR248" s="62"/>
      <c r="CS248" s="62"/>
      <c r="CT248" s="62"/>
      <c r="CU248" s="62"/>
      <c r="CX248" s="62"/>
      <c r="CZ248" s="62"/>
    </row>
    <row r="249" spans="93:104" ht="14.25" customHeight="1">
      <c r="CO249" s="62"/>
      <c r="CP249" s="63"/>
      <c r="CQ249" s="64"/>
      <c r="CR249" s="62"/>
      <c r="CS249" s="62"/>
      <c r="CT249" s="62"/>
      <c r="CU249" s="62"/>
      <c r="CX249" s="62"/>
      <c r="CZ249" s="62"/>
    </row>
    <row r="250" spans="93:104" ht="14.25" customHeight="1">
      <c r="CO250" s="62"/>
      <c r="CP250" s="63"/>
      <c r="CQ250" s="64"/>
      <c r="CR250" s="62"/>
      <c r="CS250" s="62"/>
      <c r="CT250" s="62"/>
      <c r="CU250" s="62"/>
      <c r="CX250" s="62"/>
      <c r="CZ250" s="62"/>
    </row>
    <row r="251" spans="93:104" ht="14.25" customHeight="1">
      <c r="CO251" s="62"/>
      <c r="CP251" s="63"/>
      <c r="CQ251" s="64"/>
      <c r="CR251" s="62"/>
      <c r="CS251" s="62"/>
      <c r="CT251" s="62"/>
      <c r="CU251" s="62"/>
      <c r="CX251" s="62"/>
      <c r="CZ251" s="62"/>
    </row>
    <row r="252" spans="93:104" ht="14.25" customHeight="1">
      <c r="CO252" s="62"/>
      <c r="CP252" s="63"/>
      <c r="CQ252" s="64"/>
      <c r="CR252" s="62"/>
      <c r="CS252" s="62"/>
      <c r="CT252" s="62"/>
      <c r="CU252" s="62"/>
      <c r="CX252" s="62"/>
      <c r="CZ252" s="62"/>
    </row>
    <row r="253" spans="93:104" ht="14.25" customHeight="1">
      <c r="CO253" s="62"/>
      <c r="CP253" s="63"/>
      <c r="CQ253" s="64"/>
      <c r="CR253" s="62"/>
      <c r="CS253" s="62"/>
      <c r="CT253" s="62"/>
      <c r="CU253" s="62"/>
      <c r="CX253" s="62"/>
      <c r="CZ253" s="62"/>
    </row>
    <row r="254" spans="93:104" ht="14.25" customHeight="1">
      <c r="CO254" s="62"/>
      <c r="CP254" s="63"/>
      <c r="CQ254" s="64"/>
      <c r="CR254" s="62"/>
      <c r="CS254" s="62"/>
      <c r="CT254" s="62"/>
      <c r="CU254" s="62"/>
      <c r="CX254" s="62"/>
      <c r="CZ254" s="62"/>
    </row>
    <row r="255" spans="93:104" ht="14.25" customHeight="1">
      <c r="CO255" s="62"/>
      <c r="CP255" s="63"/>
      <c r="CQ255" s="64"/>
      <c r="CR255" s="62"/>
      <c r="CS255" s="62"/>
      <c r="CT255" s="62"/>
      <c r="CU255" s="62"/>
      <c r="CX255" s="62"/>
      <c r="CZ255" s="62"/>
    </row>
    <row r="256" spans="93:104" ht="14.25" customHeight="1">
      <c r="CO256" s="62"/>
      <c r="CP256" s="63"/>
      <c r="CQ256" s="64"/>
      <c r="CR256" s="62"/>
      <c r="CS256" s="62"/>
      <c r="CT256" s="62"/>
      <c r="CU256" s="62"/>
      <c r="CX256" s="62"/>
      <c r="CZ256" s="62"/>
    </row>
    <row r="257" spans="93:104" ht="14.25" customHeight="1">
      <c r="CO257" s="62"/>
      <c r="CP257" s="63"/>
      <c r="CQ257" s="64"/>
      <c r="CR257" s="62"/>
      <c r="CS257" s="62"/>
      <c r="CT257" s="62"/>
      <c r="CU257" s="62"/>
      <c r="CX257" s="62"/>
      <c r="CZ257" s="62"/>
    </row>
    <row r="258" spans="93:104" ht="14.25" customHeight="1">
      <c r="CO258" s="62"/>
      <c r="CP258" s="63"/>
      <c r="CQ258" s="64"/>
      <c r="CR258" s="62"/>
      <c r="CS258" s="62"/>
      <c r="CT258" s="62"/>
      <c r="CU258" s="62"/>
      <c r="CX258" s="62"/>
      <c r="CZ258" s="62"/>
    </row>
    <row r="259" spans="93:104" ht="14.25" customHeight="1">
      <c r="CO259" s="62"/>
      <c r="CP259" s="63"/>
      <c r="CQ259" s="64"/>
      <c r="CR259" s="62"/>
      <c r="CS259" s="62"/>
      <c r="CT259" s="62"/>
      <c r="CU259" s="62"/>
      <c r="CX259" s="62"/>
      <c r="CZ259" s="62"/>
    </row>
    <row r="260" spans="93:104" ht="14.25" customHeight="1">
      <c r="CO260" s="62"/>
      <c r="CP260" s="63"/>
      <c r="CQ260" s="64"/>
      <c r="CR260" s="62"/>
      <c r="CS260" s="62"/>
      <c r="CT260" s="62"/>
      <c r="CU260" s="62"/>
      <c r="CX260" s="62"/>
      <c r="CZ260" s="62"/>
    </row>
    <row r="261" spans="93:104" ht="14.25" customHeight="1">
      <c r="CO261" s="62"/>
      <c r="CP261" s="63"/>
      <c r="CQ261" s="64"/>
      <c r="CR261" s="62"/>
      <c r="CS261" s="62"/>
      <c r="CT261" s="62"/>
      <c r="CU261" s="62"/>
      <c r="CX261" s="62"/>
      <c r="CZ261" s="62"/>
    </row>
    <row r="262" spans="93:104" ht="14.25" customHeight="1">
      <c r="CO262" s="62"/>
      <c r="CP262" s="63"/>
      <c r="CQ262" s="64"/>
      <c r="CR262" s="62"/>
      <c r="CS262" s="62"/>
      <c r="CT262" s="62"/>
      <c r="CU262" s="62"/>
      <c r="CX262" s="62"/>
      <c r="CZ262" s="62"/>
    </row>
    <row r="263" spans="93:104" ht="14.25" customHeight="1">
      <c r="CO263" s="62"/>
      <c r="CP263" s="63"/>
      <c r="CQ263" s="64"/>
      <c r="CR263" s="62"/>
      <c r="CS263" s="62"/>
      <c r="CT263" s="62"/>
      <c r="CU263" s="62"/>
      <c r="CX263" s="62"/>
      <c r="CZ263" s="62"/>
    </row>
    <row r="264" spans="93:104" ht="14.25" customHeight="1">
      <c r="CO264" s="62"/>
      <c r="CP264" s="63"/>
      <c r="CQ264" s="64"/>
      <c r="CR264" s="62"/>
      <c r="CS264" s="62"/>
      <c r="CT264" s="62"/>
      <c r="CU264" s="62"/>
      <c r="CX264" s="62"/>
      <c r="CZ264" s="62"/>
    </row>
    <row r="265" spans="93:104" ht="14.25" customHeight="1">
      <c r="CO265" s="62"/>
      <c r="CP265" s="63"/>
      <c r="CQ265" s="64"/>
      <c r="CR265" s="62"/>
      <c r="CS265" s="62"/>
      <c r="CT265" s="62"/>
      <c r="CU265" s="62"/>
      <c r="CX265" s="62"/>
      <c r="CZ265" s="62"/>
    </row>
    <row r="266" spans="93:104" ht="14.25" customHeight="1">
      <c r="CO266" s="62"/>
      <c r="CP266" s="63"/>
      <c r="CQ266" s="64"/>
      <c r="CR266" s="62"/>
      <c r="CS266" s="62"/>
      <c r="CT266" s="62"/>
      <c r="CU266" s="62"/>
      <c r="CX266" s="62"/>
      <c r="CZ266" s="62"/>
    </row>
    <row r="267" spans="93:104" ht="14.25" customHeight="1">
      <c r="CO267" s="62"/>
      <c r="CP267" s="63"/>
      <c r="CQ267" s="64"/>
      <c r="CR267" s="62"/>
      <c r="CS267" s="62"/>
      <c r="CT267" s="62"/>
      <c r="CU267" s="62"/>
      <c r="CX267" s="62"/>
      <c r="CZ267" s="62"/>
    </row>
    <row r="268" spans="93:104" ht="14.25" customHeight="1">
      <c r="CO268" s="62"/>
      <c r="CP268" s="63"/>
      <c r="CQ268" s="64"/>
      <c r="CR268" s="62"/>
      <c r="CS268" s="62"/>
      <c r="CT268" s="62"/>
      <c r="CU268" s="62"/>
      <c r="CX268" s="62"/>
      <c r="CZ268" s="62"/>
    </row>
    <row r="269" spans="93:104" ht="14.25" customHeight="1">
      <c r="CO269" s="62"/>
      <c r="CP269" s="63"/>
      <c r="CQ269" s="64"/>
      <c r="CR269" s="62"/>
      <c r="CS269" s="62"/>
      <c r="CT269" s="62"/>
      <c r="CU269" s="62"/>
      <c r="CX269" s="62"/>
      <c r="CZ269" s="62"/>
    </row>
    <row r="270" spans="93:104" ht="14.25" customHeight="1">
      <c r="CO270" s="62"/>
      <c r="CP270" s="63"/>
      <c r="CQ270" s="64"/>
      <c r="CR270" s="62"/>
      <c r="CS270" s="62"/>
      <c r="CT270" s="62"/>
      <c r="CU270" s="62"/>
      <c r="CX270" s="62"/>
      <c r="CZ270" s="62"/>
    </row>
    <row r="271" spans="93:104" ht="14.25" customHeight="1">
      <c r="CO271" s="62"/>
      <c r="CP271" s="63"/>
      <c r="CQ271" s="64"/>
      <c r="CR271" s="62"/>
      <c r="CS271" s="62"/>
      <c r="CT271" s="62"/>
      <c r="CU271" s="62"/>
      <c r="CX271" s="62"/>
      <c r="CZ271" s="62"/>
    </row>
    <row r="272" spans="93:104" ht="14.25" customHeight="1">
      <c r="CO272" s="62"/>
      <c r="CP272" s="63"/>
      <c r="CQ272" s="64"/>
      <c r="CR272" s="62"/>
      <c r="CS272" s="62"/>
      <c r="CT272" s="62"/>
      <c r="CU272" s="62"/>
      <c r="CX272" s="62"/>
      <c r="CZ272" s="62"/>
    </row>
    <row r="273" spans="93:104" ht="14.25" customHeight="1">
      <c r="CO273" s="62"/>
      <c r="CP273" s="63"/>
      <c r="CQ273" s="64"/>
      <c r="CR273" s="62"/>
      <c r="CS273" s="62"/>
      <c r="CT273" s="62"/>
      <c r="CU273" s="62"/>
      <c r="CX273" s="62"/>
      <c r="CZ273" s="62"/>
    </row>
    <row r="274" spans="93:104" ht="14.25" customHeight="1">
      <c r="CO274" s="62"/>
      <c r="CP274" s="63"/>
      <c r="CQ274" s="64"/>
      <c r="CR274" s="62"/>
      <c r="CS274" s="62"/>
      <c r="CT274" s="62"/>
      <c r="CU274" s="62"/>
      <c r="CX274" s="62"/>
      <c r="CZ274" s="62"/>
    </row>
    <row r="275" spans="93:104" ht="14.25" customHeight="1">
      <c r="CO275" s="62"/>
      <c r="CP275" s="63"/>
      <c r="CQ275" s="64"/>
      <c r="CR275" s="62"/>
      <c r="CS275" s="62"/>
      <c r="CT275" s="62"/>
      <c r="CU275" s="62"/>
      <c r="CX275" s="62"/>
      <c r="CZ275" s="62"/>
    </row>
    <row r="276" spans="93:104" ht="14.25" customHeight="1">
      <c r="CO276" s="62"/>
      <c r="CP276" s="63"/>
      <c r="CQ276" s="64"/>
      <c r="CR276" s="62"/>
      <c r="CS276" s="62"/>
      <c r="CT276" s="62"/>
      <c r="CU276" s="62"/>
      <c r="CX276" s="62"/>
      <c r="CZ276" s="62"/>
    </row>
    <row r="277" spans="93:104" ht="14.25" customHeight="1">
      <c r="CO277" s="62"/>
      <c r="CP277" s="63"/>
      <c r="CQ277" s="64"/>
      <c r="CR277" s="62"/>
      <c r="CS277" s="62"/>
      <c r="CT277" s="62"/>
      <c r="CU277" s="62"/>
      <c r="CX277" s="62"/>
      <c r="CZ277" s="62"/>
    </row>
    <row r="278" spans="93:104" ht="14.25" customHeight="1">
      <c r="CO278" s="62"/>
      <c r="CP278" s="63"/>
      <c r="CQ278" s="64"/>
      <c r="CR278" s="62"/>
      <c r="CS278" s="62"/>
      <c r="CT278" s="62"/>
      <c r="CU278" s="62"/>
      <c r="CX278" s="62"/>
      <c r="CZ278" s="62"/>
    </row>
    <row r="279" spans="93:104" ht="14.25" customHeight="1">
      <c r="CO279" s="62"/>
      <c r="CP279" s="63"/>
      <c r="CQ279" s="64"/>
      <c r="CR279" s="62"/>
      <c r="CS279" s="62"/>
      <c r="CT279" s="62"/>
      <c r="CU279" s="62"/>
      <c r="CX279" s="62"/>
      <c r="CZ279" s="62"/>
    </row>
    <row r="280" spans="93:104" ht="14.25" customHeight="1">
      <c r="CO280" s="62"/>
      <c r="CP280" s="63"/>
      <c r="CQ280" s="64"/>
      <c r="CR280" s="62"/>
      <c r="CS280" s="62"/>
      <c r="CT280" s="62"/>
      <c r="CU280" s="62"/>
      <c r="CX280" s="62"/>
      <c r="CZ280" s="62"/>
    </row>
    <row r="281" spans="93:104" ht="14.25" customHeight="1">
      <c r="CO281" s="62"/>
      <c r="CP281" s="63"/>
      <c r="CQ281" s="64"/>
      <c r="CR281" s="62"/>
      <c r="CS281" s="62"/>
      <c r="CT281" s="62"/>
      <c r="CU281" s="62"/>
      <c r="CX281" s="62"/>
      <c r="CZ281" s="62"/>
    </row>
    <row r="282" spans="93:104" ht="14.25" customHeight="1">
      <c r="CO282" s="62"/>
      <c r="CP282" s="63"/>
      <c r="CQ282" s="64"/>
      <c r="CR282" s="62"/>
      <c r="CS282" s="62"/>
      <c r="CT282" s="62"/>
      <c r="CU282" s="62"/>
      <c r="CX282" s="62"/>
      <c r="CZ282" s="62"/>
    </row>
    <row r="283" spans="93:104" ht="14.25" customHeight="1">
      <c r="CO283" s="62"/>
      <c r="CP283" s="63"/>
      <c r="CQ283" s="64"/>
      <c r="CR283" s="62"/>
      <c r="CS283" s="62"/>
      <c r="CT283" s="62"/>
      <c r="CU283" s="62"/>
      <c r="CX283" s="62"/>
      <c r="CZ283" s="62"/>
    </row>
    <row r="284" spans="93:104" ht="14.25" customHeight="1">
      <c r="CO284" s="62"/>
      <c r="CP284" s="63"/>
      <c r="CQ284" s="64"/>
      <c r="CR284" s="62"/>
      <c r="CS284" s="62"/>
      <c r="CT284" s="62"/>
      <c r="CU284" s="62"/>
      <c r="CX284" s="62"/>
      <c r="CZ284" s="62"/>
    </row>
    <row r="285" spans="93:104" ht="14.25" customHeight="1">
      <c r="CO285" s="62"/>
      <c r="CP285" s="63"/>
      <c r="CQ285" s="64"/>
      <c r="CR285" s="62"/>
      <c r="CS285" s="62"/>
      <c r="CT285" s="62"/>
      <c r="CU285" s="62"/>
      <c r="CX285" s="62"/>
      <c r="CZ285" s="62"/>
    </row>
    <row r="286" spans="93:104" ht="14.25" customHeight="1">
      <c r="CO286" s="62"/>
      <c r="CP286" s="63"/>
      <c r="CQ286" s="64"/>
      <c r="CR286" s="62"/>
      <c r="CS286" s="62"/>
      <c r="CT286" s="62"/>
      <c r="CU286" s="62"/>
      <c r="CX286" s="62"/>
      <c r="CZ286" s="62"/>
    </row>
    <row r="287" spans="93:104" ht="14.25" customHeight="1">
      <c r="CO287" s="62"/>
      <c r="CP287" s="63"/>
      <c r="CQ287" s="64"/>
      <c r="CR287" s="62"/>
      <c r="CS287" s="62"/>
      <c r="CT287" s="62"/>
      <c r="CU287" s="62"/>
      <c r="CX287" s="62"/>
      <c r="CZ287" s="62"/>
    </row>
    <row r="288" spans="93:104" ht="14.25" customHeight="1">
      <c r="CO288" s="62"/>
      <c r="CP288" s="63"/>
      <c r="CQ288" s="64"/>
      <c r="CR288" s="62"/>
      <c r="CS288" s="62"/>
      <c r="CT288" s="62"/>
      <c r="CU288" s="62"/>
      <c r="CX288" s="62"/>
      <c r="CZ288" s="62"/>
    </row>
    <row r="289" spans="93:104" ht="14.25" customHeight="1">
      <c r="CO289" s="62"/>
      <c r="CP289" s="63"/>
      <c r="CQ289" s="64"/>
      <c r="CR289" s="62"/>
      <c r="CS289" s="62"/>
      <c r="CT289" s="62"/>
      <c r="CU289" s="62"/>
      <c r="CX289" s="62"/>
      <c r="CZ289" s="62"/>
    </row>
    <row r="290" spans="93:104" ht="14.25" customHeight="1">
      <c r="CO290" s="62"/>
      <c r="CP290" s="63"/>
      <c r="CQ290" s="64"/>
      <c r="CR290" s="62"/>
      <c r="CS290" s="62"/>
      <c r="CT290" s="62"/>
      <c r="CU290" s="62"/>
      <c r="CX290" s="62"/>
      <c r="CZ290" s="62"/>
    </row>
    <row r="291" spans="93:104" ht="14.25" customHeight="1">
      <c r="CO291" s="62"/>
      <c r="CP291" s="63"/>
      <c r="CQ291" s="64"/>
      <c r="CR291" s="62"/>
      <c r="CS291" s="62"/>
      <c r="CT291" s="62"/>
      <c r="CU291" s="62"/>
      <c r="CX291" s="62"/>
      <c r="CZ291" s="62"/>
    </row>
    <row r="292" spans="93:104" ht="14.25" customHeight="1">
      <c r="CO292" s="62"/>
      <c r="CP292" s="63"/>
      <c r="CQ292" s="64"/>
      <c r="CR292" s="62"/>
      <c r="CS292" s="62"/>
      <c r="CT292" s="62"/>
      <c r="CU292" s="62"/>
      <c r="CX292" s="62"/>
      <c r="CZ292" s="62"/>
    </row>
    <row r="293" spans="93:104" ht="14.25" customHeight="1">
      <c r="CO293" s="62"/>
      <c r="CP293" s="63"/>
      <c r="CQ293" s="64"/>
      <c r="CR293" s="62"/>
      <c r="CS293" s="62"/>
      <c r="CT293" s="62"/>
      <c r="CU293" s="62"/>
      <c r="CX293" s="62"/>
      <c r="CZ293" s="62"/>
    </row>
    <row r="294" spans="93:104" ht="14.25" customHeight="1">
      <c r="CO294" s="62"/>
      <c r="CP294" s="63"/>
      <c r="CQ294" s="64"/>
      <c r="CR294" s="62"/>
      <c r="CS294" s="62"/>
      <c r="CT294" s="62"/>
      <c r="CU294" s="62"/>
      <c r="CX294" s="62"/>
      <c r="CZ294" s="62"/>
    </row>
    <row r="295" spans="93:104" ht="14.25" customHeight="1">
      <c r="CO295" s="62"/>
      <c r="CP295" s="63"/>
      <c r="CQ295" s="64"/>
      <c r="CR295" s="62"/>
      <c r="CS295" s="62"/>
      <c r="CT295" s="62"/>
      <c r="CU295" s="62"/>
      <c r="CX295" s="62"/>
      <c r="CZ295" s="62"/>
    </row>
    <row r="296" spans="93:104" ht="14.25" customHeight="1">
      <c r="CO296" s="62"/>
      <c r="CP296" s="63"/>
      <c r="CQ296" s="64"/>
      <c r="CR296" s="62"/>
      <c r="CS296" s="62"/>
      <c r="CT296" s="62"/>
      <c r="CU296" s="62"/>
      <c r="CX296" s="62"/>
      <c r="CZ296" s="62"/>
    </row>
    <row r="297" spans="93:104" ht="14.25" customHeight="1">
      <c r="CO297" s="62"/>
      <c r="CP297" s="63"/>
      <c r="CQ297" s="64"/>
      <c r="CR297" s="62"/>
      <c r="CS297" s="62"/>
      <c r="CT297" s="62"/>
      <c r="CU297" s="62"/>
      <c r="CX297" s="62"/>
      <c r="CZ297" s="62"/>
    </row>
    <row r="298" spans="93:104" ht="14.25" customHeight="1">
      <c r="CO298" s="62"/>
      <c r="CP298" s="63"/>
      <c r="CQ298" s="64"/>
      <c r="CR298" s="62"/>
      <c r="CS298" s="62"/>
      <c r="CT298" s="62"/>
      <c r="CU298" s="62"/>
      <c r="CX298" s="62"/>
      <c r="CZ298" s="62"/>
    </row>
    <row r="299" spans="93:104" ht="14.25" customHeight="1">
      <c r="CO299" s="62"/>
      <c r="CP299" s="63"/>
      <c r="CQ299" s="64"/>
      <c r="CR299" s="62"/>
      <c r="CS299" s="62"/>
      <c r="CT299" s="62"/>
      <c r="CU299" s="62"/>
      <c r="CX299" s="62"/>
      <c r="CZ299" s="62"/>
    </row>
    <row r="300" spans="93:104" ht="14.25" customHeight="1">
      <c r="CO300" s="62"/>
      <c r="CP300" s="63"/>
      <c r="CQ300" s="64"/>
      <c r="CR300" s="62"/>
      <c r="CS300" s="62"/>
      <c r="CT300" s="62"/>
      <c r="CU300" s="62"/>
      <c r="CX300" s="62"/>
      <c r="CZ300" s="62"/>
    </row>
    <row r="301" spans="93:104" ht="14.25" customHeight="1">
      <c r="CO301" s="62"/>
      <c r="CP301" s="63"/>
      <c r="CQ301" s="64"/>
      <c r="CR301" s="62"/>
      <c r="CS301" s="62"/>
      <c r="CT301" s="62"/>
      <c r="CU301" s="62"/>
      <c r="CX301" s="62"/>
      <c r="CZ301" s="62"/>
    </row>
    <row r="302" spans="93:104" ht="14.25" customHeight="1">
      <c r="CO302" s="62"/>
      <c r="CP302" s="63"/>
      <c r="CQ302" s="64"/>
      <c r="CR302" s="62"/>
      <c r="CS302" s="62"/>
      <c r="CT302" s="62"/>
      <c r="CU302" s="62"/>
      <c r="CX302" s="62"/>
      <c r="CZ302" s="62"/>
    </row>
    <row r="303" spans="93:104" ht="14.25" customHeight="1">
      <c r="CO303" s="62"/>
      <c r="CP303" s="63"/>
      <c r="CQ303" s="64"/>
      <c r="CR303" s="62"/>
      <c r="CS303" s="62"/>
      <c r="CT303" s="62"/>
      <c r="CU303" s="62"/>
      <c r="CX303" s="62"/>
      <c r="CZ303" s="62"/>
    </row>
    <row r="304" spans="93:104" ht="14.25" customHeight="1">
      <c r="CO304" s="62"/>
      <c r="CP304" s="63"/>
      <c r="CQ304" s="64"/>
      <c r="CR304" s="62"/>
      <c r="CS304" s="62"/>
      <c r="CT304" s="62"/>
      <c r="CU304" s="62"/>
      <c r="CX304" s="62"/>
      <c r="CZ304" s="62"/>
    </row>
    <row r="305" spans="93:104" ht="14.25" customHeight="1">
      <c r="CO305" s="62"/>
      <c r="CP305" s="63"/>
      <c r="CQ305" s="64"/>
      <c r="CR305" s="62"/>
      <c r="CS305" s="62"/>
      <c r="CT305" s="62"/>
      <c r="CU305" s="62"/>
      <c r="CX305" s="62"/>
      <c r="CZ305" s="62"/>
    </row>
    <row r="306" spans="93:104" ht="14.25" customHeight="1">
      <c r="CO306" s="62"/>
      <c r="CP306" s="63"/>
      <c r="CQ306" s="64"/>
      <c r="CR306" s="62"/>
      <c r="CS306" s="62"/>
      <c r="CT306" s="62"/>
      <c r="CU306" s="62"/>
      <c r="CX306" s="62"/>
      <c r="CZ306" s="62"/>
    </row>
    <row r="307" spans="93:104" ht="14.25" customHeight="1">
      <c r="CO307" s="62"/>
      <c r="CP307" s="63"/>
      <c r="CQ307" s="64"/>
      <c r="CR307" s="62"/>
      <c r="CS307" s="62"/>
      <c r="CT307" s="62"/>
      <c r="CU307" s="62"/>
      <c r="CX307" s="62"/>
      <c r="CZ307" s="62"/>
    </row>
    <row r="308" spans="93:104" ht="14.25" customHeight="1">
      <c r="CO308" s="62"/>
      <c r="CP308" s="63"/>
      <c r="CQ308" s="64"/>
      <c r="CR308" s="62"/>
      <c r="CS308" s="62"/>
      <c r="CT308" s="62"/>
      <c r="CU308" s="62"/>
      <c r="CX308" s="62"/>
      <c r="CZ308" s="62"/>
    </row>
    <row r="309" spans="93:104" ht="14.25" customHeight="1">
      <c r="CO309" s="62"/>
      <c r="CP309" s="63"/>
      <c r="CQ309" s="64"/>
      <c r="CR309" s="62"/>
      <c r="CS309" s="62"/>
      <c r="CT309" s="62"/>
      <c r="CU309" s="62"/>
      <c r="CX309" s="62"/>
      <c r="CZ309" s="62"/>
    </row>
    <row r="310" spans="93:104" ht="14.25" customHeight="1">
      <c r="CO310" s="62"/>
      <c r="CP310" s="63"/>
      <c r="CQ310" s="64"/>
      <c r="CR310" s="62"/>
      <c r="CS310" s="62"/>
      <c r="CT310" s="62"/>
      <c r="CU310" s="62"/>
      <c r="CX310" s="62"/>
      <c r="CZ310" s="62"/>
    </row>
    <row r="311" spans="93:104" ht="14.25" customHeight="1">
      <c r="CO311" s="62"/>
      <c r="CP311" s="63"/>
      <c r="CQ311" s="64"/>
      <c r="CR311" s="62"/>
      <c r="CS311" s="62"/>
      <c r="CT311" s="62"/>
      <c r="CU311" s="62"/>
      <c r="CX311" s="62"/>
      <c r="CZ311" s="62"/>
    </row>
    <row r="312" spans="93:104" ht="14.25" customHeight="1">
      <c r="CO312" s="62"/>
      <c r="CP312" s="63"/>
      <c r="CQ312" s="64"/>
      <c r="CR312" s="62"/>
      <c r="CS312" s="62"/>
      <c r="CT312" s="62"/>
      <c r="CU312" s="62"/>
      <c r="CX312" s="62"/>
      <c r="CZ312" s="62"/>
    </row>
    <row r="313" spans="93:104" ht="14.25" customHeight="1">
      <c r="CO313" s="62"/>
      <c r="CP313" s="63"/>
      <c r="CQ313" s="64"/>
      <c r="CR313" s="62"/>
      <c r="CS313" s="62"/>
      <c r="CT313" s="62"/>
      <c r="CU313" s="62"/>
      <c r="CX313" s="62"/>
      <c r="CZ313" s="62"/>
    </row>
    <row r="314" spans="93:104" ht="14.25" customHeight="1">
      <c r="CO314" s="62"/>
      <c r="CP314" s="63"/>
      <c r="CQ314" s="64"/>
      <c r="CR314" s="62"/>
      <c r="CS314" s="62"/>
      <c r="CT314" s="62"/>
      <c r="CU314" s="62"/>
      <c r="CX314" s="62"/>
      <c r="CZ314" s="62"/>
    </row>
    <row r="315" spans="93:104" ht="14.25" customHeight="1">
      <c r="CO315" s="62"/>
      <c r="CP315" s="63"/>
      <c r="CQ315" s="64"/>
      <c r="CR315" s="62"/>
      <c r="CS315" s="62"/>
      <c r="CT315" s="62"/>
      <c r="CU315" s="62"/>
      <c r="CX315" s="62"/>
      <c r="CZ315" s="62"/>
    </row>
    <row r="316" spans="93:104" ht="14.25" customHeight="1">
      <c r="CO316" s="62"/>
      <c r="CP316" s="63"/>
      <c r="CQ316" s="64"/>
      <c r="CR316" s="62"/>
      <c r="CS316" s="62"/>
      <c r="CT316" s="62"/>
      <c r="CU316" s="62"/>
      <c r="CX316" s="62"/>
      <c r="CZ316" s="62"/>
    </row>
    <row r="317" spans="93:104" ht="14.25" customHeight="1">
      <c r="CO317" s="62"/>
      <c r="CP317" s="63"/>
      <c r="CQ317" s="64"/>
      <c r="CR317" s="62"/>
      <c r="CS317" s="62"/>
      <c r="CT317" s="62"/>
      <c r="CU317" s="62"/>
      <c r="CX317" s="62"/>
      <c r="CZ317" s="62"/>
    </row>
    <row r="318" spans="93:104" ht="14.25" customHeight="1">
      <c r="CO318" s="62"/>
      <c r="CP318" s="63"/>
      <c r="CQ318" s="64"/>
      <c r="CR318" s="62"/>
      <c r="CS318" s="62"/>
      <c r="CT318" s="62"/>
      <c r="CU318" s="62"/>
      <c r="CX318" s="62"/>
      <c r="CZ318" s="62"/>
    </row>
    <row r="319" spans="93:104" ht="14.25" customHeight="1">
      <c r="CO319" s="62"/>
      <c r="CP319" s="63"/>
      <c r="CQ319" s="64"/>
      <c r="CR319" s="62"/>
      <c r="CS319" s="62"/>
      <c r="CT319" s="62"/>
      <c r="CU319" s="62"/>
      <c r="CX319" s="62"/>
      <c r="CZ319" s="62"/>
    </row>
    <row r="320" spans="93:104" ht="14.25" customHeight="1">
      <c r="CO320" s="62"/>
      <c r="CP320" s="63"/>
      <c r="CQ320" s="64"/>
      <c r="CR320" s="62"/>
      <c r="CS320" s="62"/>
      <c r="CT320" s="62"/>
      <c r="CU320" s="62"/>
      <c r="CX320" s="62"/>
      <c r="CZ320" s="62"/>
    </row>
    <row r="321" spans="93:104" ht="14.25" customHeight="1">
      <c r="CO321" s="62"/>
      <c r="CP321" s="63"/>
      <c r="CQ321" s="64"/>
      <c r="CR321" s="62"/>
      <c r="CS321" s="62"/>
      <c r="CT321" s="62"/>
      <c r="CU321" s="62"/>
      <c r="CX321" s="62"/>
      <c r="CZ321" s="62"/>
    </row>
    <row r="322" spans="93:104" ht="14.25" customHeight="1">
      <c r="CO322" s="62"/>
      <c r="CP322" s="63"/>
      <c r="CQ322" s="64"/>
      <c r="CR322" s="62"/>
      <c r="CS322" s="62"/>
      <c r="CT322" s="62"/>
      <c r="CU322" s="62"/>
      <c r="CX322" s="62"/>
      <c r="CZ322" s="62"/>
    </row>
    <row r="323" spans="93:104" ht="14.25" customHeight="1">
      <c r="CO323" s="62"/>
      <c r="CP323" s="63"/>
      <c r="CQ323" s="64"/>
      <c r="CR323" s="62"/>
      <c r="CS323" s="62"/>
      <c r="CT323" s="62"/>
      <c r="CU323" s="62"/>
      <c r="CX323" s="62"/>
      <c r="CZ323" s="62"/>
    </row>
    <row r="324" spans="93:104" ht="14.25" customHeight="1">
      <c r="CO324" s="62"/>
      <c r="CP324" s="63"/>
      <c r="CQ324" s="64"/>
      <c r="CR324" s="62"/>
      <c r="CS324" s="62"/>
      <c r="CT324" s="62"/>
      <c r="CU324" s="62"/>
      <c r="CX324" s="62"/>
      <c r="CZ324" s="62"/>
    </row>
    <row r="325" spans="93:104" ht="14.25" customHeight="1">
      <c r="CO325" s="62"/>
      <c r="CP325" s="63"/>
      <c r="CQ325" s="64"/>
      <c r="CR325" s="62"/>
      <c r="CS325" s="62"/>
      <c r="CT325" s="62"/>
      <c r="CU325" s="62"/>
      <c r="CX325" s="62"/>
      <c r="CZ325" s="62"/>
    </row>
    <row r="326" spans="93:104" ht="14.25" customHeight="1">
      <c r="CO326" s="62"/>
      <c r="CP326" s="63"/>
      <c r="CQ326" s="64"/>
      <c r="CR326" s="62"/>
      <c r="CS326" s="62"/>
      <c r="CT326" s="62"/>
      <c r="CU326" s="62"/>
      <c r="CX326" s="62"/>
      <c r="CZ326" s="62"/>
    </row>
    <row r="327" spans="93:104" ht="14.25" customHeight="1">
      <c r="CO327" s="62"/>
      <c r="CP327" s="63"/>
      <c r="CQ327" s="64"/>
      <c r="CR327" s="62"/>
      <c r="CS327" s="62"/>
      <c r="CT327" s="62"/>
      <c r="CU327" s="62"/>
      <c r="CX327" s="62"/>
      <c r="CZ327" s="62"/>
    </row>
    <row r="328" spans="93:104" ht="14.25" customHeight="1">
      <c r="CO328" s="62"/>
      <c r="CP328" s="63"/>
      <c r="CQ328" s="64"/>
      <c r="CR328" s="62"/>
      <c r="CS328" s="62"/>
      <c r="CT328" s="62"/>
      <c r="CU328" s="62"/>
      <c r="CX328" s="62"/>
      <c r="CZ328" s="62"/>
    </row>
    <row r="329" spans="93:104" ht="14.25" customHeight="1">
      <c r="CO329" s="62"/>
      <c r="CP329" s="63"/>
      <c r="CQ329" s="64"/>
      <c r="CR329" s="62"/>
      <c r="CS329" s="62"/>
      <c r="CT329" s="62"/>
      <c r="CU329" s="62"/>
      <c r="CX329" s="62"/>
      <c r="CZ329" s="62"/>
    </row>
    <row r="330" spans="93:104" ht="14.25" customHeight="1">
      <c r="CO330" s="62"/>
      <c r="CP330" s="63"/>
      <c r="CQ330" s="64"/>
      <c r="CR330" s="62"/>
      <c r="CS330" s="62"/>
      <c r="CT330" s="62"/>
      <c r="CU330" s="62"/>
      <c r="CX330" s="62"/>
      <c r="CZ330" s="62"/>
    </row>
    <row r="331" spans="93:104" ht="14.25" customHeight="1">
      <c r="CO331" s="62"/>
      <c r="CP331" s="63"/>
      <c r="CQ331" s="64"/>
      <c r="CR331" s="62"/>
      <c r="CS331" s="62"/>
      <c r="CT331" s="62"/>
      <c r="CU331" s="62"/>
      <c r="CX331" s="62"/>
      <c r="CZ331" s="62"/>
    </row>
    <row r="332" spans="93:104" ht="14.25" customHeight="1">
      <c r="CO332" s="62"/>
      <c r="CP332" s="63"/>
      <c r="CQ332" s="64"/>
      <c r="CR332" s="62"/>
      <c r="CS332" s="62"/>
      <c r="CT332" s="62"/>
      <c r="CU332" s="62"/>
      <c r="CX332" s="62"/>
      <c r="CZ332" s="62"/>
    </row>
    <row r="333" spans="93:104" ht="14.25" customHeight="1">
      <c r="CO333" s="62"/>
      <c r="CP333" s="63"/>
      <c r="CQ333" s="64"/>
      <c r="CR333" s="62"/>
      <c r="CS333" s="62"/>
      <c r="CT333" s="62"/>
      <c r="CU333" s="62"/>
      <c r="CX333" s="62"/>
      <c r="CZ333" s="62"/>
    </row>
    <row r="334" spans="93:104" ht="14.25" customHeight="1">
      <c r="CO334" s="62"/>
      <c r="CP334" s="63"/>
      <c r="CQ334" s="64"/>
      <c r="CR334" s="62"/>
      <c r="CS334" s="62"/>
      <c r="CT334" s="62"/>
      <c r="CU334" s="62"/>
      <c r="CX334" s="62"/>
      <c r="CZ334" s="62"/>
    </row>
    <row r="335" spans="93:104" ht="14.25" customHeight="1">
      <c r="CO335" s="62"/>
      <c r="CP335" s="63"/>
      <c r="CQ335" s="64"/>
      <c r="CR335" s="62"/>
      <c r="CS335" s="62"/>
      <c r="CT335" s="62"/>
      <c r="CU335" s="62"/>
      <c r="CX335" s="62"/>
      <c r="CZ335" s="62"/>
    </row>
    <row r="336" spans="93:104" ht="14.25" customHeight="1">
      <c r="CO336" s="62"/>
      <c r="CP336" s="63"/>
      <c r="CQ336" s="64"/>
      <c r="CR336" s="62"/>
      <c r="CS336" s="62"/>
      <c r="CT336" s="62"/>
      <c r="CU336" s="62"/>
      <c r="CX336" s="62"/>
      <c r="CZ336" s="62"/>
    </row>
    <row r="337" spans="93:104" ht="14.25" customHeight="1">
      <c r="CO337" s="62"/>
      <c r="CP337" s="63"/>
      <c r="CQ337" s="64"/>
      <c r="CR337" s="62"/>
      <c r="CS337" s="62"/>
      <c r="CT337" s="62"/>
      <c r="CU337" s="62"/>
      <c r="CX337" s="62"/>
      <c r="CZ337" s="62"/>
    </row>
    <row r="338" spans="93:104" ht="14.25" customHeight="1">
      <c r="CO338" s="62"/>
      <c r="CP338" s="63"/>
      <c r="CQ338" s="64"/>
      <c r="CR338" s="62"/>
      <c r="CS338" s="62"/>
      <c r="CT338" s="62"/>
      <c r="CU338" s="62"/>
      <c r="CX338" s="62"/>
      <c r="CZ338" s="62"/>
    </row>
    <row r="339" spans="93:104" ht="14.25" customHeight="1">
      <c r="CO339" s="62"/>
      <c r="CP339" s="63"/>
      <c r="CQ339" s="64"/>
      <c r="CR339" s="62"/>
      <c r="CS339" s="62"/>
      <c r="CT339" s="62"/>
      <c r="CU339" s="62"/>
      <c r="CX339" s="62"/>
      <c r="CZ339" s="62"/>
    </row>
    <row r="340" spans="93:104" ht="14.25" customHeight="1">
      <c r="CO340" s="62"/>
      <c r="CP340" s="63"/>
      <c r="CQ340" s="64"/>
      <c r="CR340" s="62"/>
      <c r="CS340" s="62"/>
      <c r="CT340" s="62"/>
      <c r="CU340" s="62"/>
      <c r="CX340" s="62"/>
      <c r="CZ340" s="62"/>
    </row>
    <row r="341" spans="93:104" ht="14.25" customHeight="1">
      <c r="CO341" s="62"/>
      <c r="CP341" s="63"/>
      <c r="CQ341" s="64"/>
      <c r="CR341" s="62"/>
      <c r="CS341" s="62"/>
      <c r="CT341" s="62"/>
      <c r="CU341" s="62"/>
      <c r="CX341" s="62"/>
      <c r="CZ341" s="62"/>
    </row>
    <row r="342" spans="93:104" ht="14.25" customHeight="1">
      <c r="CO342" s="62"/>
      <c r="CP342" s="63"/>
      <c r="CQ342" s="64"/>
      <c r="CR342" s="62"/>
      <c r="CS342" s="62"/>
      <c r="CT342" s="62"/>
      <c r="CU342" s="62"/>
      <c r="CX342" s="62"/>
      <c r="CZ342" s="62"/>
    </row>
    <row r="343" spans="93:104" ht="14.25" customHeight="1">
      <c r="CO343" s="62"/>
      <c r="CP343" s="63"/>
      <c r="CQ343" s="64"/>
      <c r="CR343" s="62"/>
      <c r="CS343" s="62"/>
      <c r="CT343" s="62"/>
      <c r="CU343" s="62"/>
      <c r="CX343" s="62"/>
      <c r="CZ343" s="62"/>
    </row>
    <row r="344" spans="93:104" ht="14.25" customHeight="1">
      <c r="CO344" s="62"/>
      <c r="CP344" s="63"/>
      <c r="CQ344" s="64"/>
      <c r="CR344" s="62"/>
      <c r="CS344" s="62"/>
      <c r="CT344" s="62"/>
      <c r="CU344" s="62"/>
      <c r="CX344" s="62"/>
      <c r="CZ344" s="62"/>
    </row>
    <row r="345" spans="93:104" ht="14.25" customHeight="1">
      <c r="CO345" s="62"/>
      <c r="CP345" s="63"/>
      <c r="CQ345" s="64"/>
      <c r="CR345" s="62"/>
      <c r="CS345" s="62"/>
      <c r="CT345" s="62"/>
      <c r="CU345" s="62"/>
      <c r="CX345" s="62"/>
      <c r="CZ345" s="62"/>
    </row>
    <row r="346" spans="93:104" ht="14.25" customHeight="1">
      <c r="CO346" s="62"/>
      <c r="CP346" s="63"/>
      <c r="CQ346" s="64"/>
      <c r="CR346" s="62"/>
      <c r="CS346" s="62"/>
      <c r="CT346" s="62"/>
      <c r="CU346" s="62"/>
      <c r="CX346" s="62"/>
      <c r="CZ346" s="62"/>
    </row>
    <row r="347" spans="93:104" ht="14.25" customHeight="1">
      <c r="CO347" s="62"/>
      <c r="CP347" s="63"/>
      <c r="CQ347" s="64"/>
      <c r="CR347" s="62"/>
      <c r="CS347" s="62"/>
      <c r="CT347" s="62"/>
      <c r="CU347" s="62"/>
      <c r="CX347" s="62"/>
      <c r="CZ347" s="62"/>
    </row>
    <row r="348" spans="93:104" ht="14.25" customHeight="1">
      <c r="CO348" s="62"/>
      <c r="CP348" s="63"/>
      <c r="CQ348" s="64"/>
      <c r="CR348" s="62"/>
      <c r="CS348" s="62"/>
      <c r="CT348" s="62"/>
      <c r="CU348" s="62"/>
      <c r="CX348" s="62"/>
      <c r="CZ348" s="62"/>
    </row>
    <row r="349" spans="93:104" ht="14.25" customHeight="1">
      <c r="CO349" s="62"/>
      <c r="CP349" s="63"/>
      <c r="CQ349" s="64"/>
      <c r="CR349" s="62"/>
      <c r="CS349" s="62"/>
      <c r="CT349" s="62"/>
      <c r="CU349" s="62"/>
      <c r="CX349" s="62"/>
      <c r="CZ349" s="62"/>
    </row>
    <row r="350" spans="93:104" ht="14.25" customHeight="1">
      <c r="CO350" s="62"/>
      <c r="CP350" s="63"/>
      <c r="CQ350" s="64"/>
      <c r="CR350" s="62"/>
      <c r="CS350" s="62"/>
      <c r="CT350" s="62"/>
      <c r="CU350" s="62"/>
      <c r="CX350" s="62"/>
      <c r="CZ350" s="62"/>
    </row>
    <row r="351" spans="93:104" ht="14.25" customHeight="1">
      <c r="CO351" s="62"/>
      <c r="CP351" s="63"/>
      <c r="CQ351" s="64"/>
      <c r="CR351" s="62"/>
      <c r="CS351" s="62"/>
      <c r="CT351" s="62"/>
      <c r="CU351" s="62"/>
      <c r="CX351" s="62"/>
      <c r="CZ351" s="62"/>
    </row>
    <row r="352" spans="93:104" ht="14.25" customHeight="1">
      <c r="CO352" s="62"/>
      <c r="CP352" s="63"/>
      <c r="CQ352" s="64"/>
      <c r="CR352" s="62"/>
      <c r="CS352" s="62"/>
      <c r="CT352" s="62"/>
      <c r="CU352" s="62"/>
      <c r="CX352" s="62"/>
      <c r="CZ352" s="62"/>
    </row>
    <row r="353" spans="93:104" ht="14.25" customHeight="1">
      <c r="CO353" s="62"/>
      <c r="CP353" s="63"/>
      <c r="CQ353" s="64"/>
      <c r="CR353" s="62"/>
      <c r="CS353" s="62"/>
      <c r="CT353" s="62"/>
      <c r="CU353" s="62"/>
      <c r="CX353" s="62"/>
      <c r="CZ353" s="62"/>
    </row>
    <row r="354" spans="93:104" ht="14.25" customHeight="1">
      <c r="CO354" s="62"/>
      <c r="CP354" s="63"/>
      <c r="CQ354" s="64"/>
      <c r="CR354" s="62"/>
      <c r="CS354" s="62"/>
      <c r="CT354" s="62"/>
      <c r="CU354" s="62"/>
      <c r="CX354" s="62"/>
      <c r="CZ354" s="62"/>
    </row>
    <row r="355" spans="93:104" ht="14.25" customHeight="1">
      <c r="CO355" s="62"/>
      <c r="CP355" s="63"/>
      <c r="CQ355" s="64"/>
      <c r="CR355" s="62"/>
      <c r="CS355" s="62"/>
      <c r="CT355" s="62"/>
      <c r="CU355" s="62"/>
      <c r="CX355" s="62"/>
      <c r="CZ355" s="62"/>
    </row>
    <row r="356" spans="93:104" ht="14.25" customHeight="1">
      <c r="CO356" s="62"/>
      <c r="CP356" s="63"/>
      <c r="CQ356" s="64"/>
      <c r="CR356" s="62"/>
      <c r="CS356" s="62"/>
      <c r="CT356" s="62"/>
      <c r="CU356" s="62"/>
      <c r="CX356" s="62"/>
      <c r="CZ356" s="62"/>
    </row>
    <row r="357" spans="93:104" ht="14.25" customHeight="1">
      <c r="CO357" s="62"/>
      <c r="CP357" s="63"/>
      <c r="CQ357" s="64"/>
      <c r="CR357" s="62"/>
      <c r="CS357" s="62"/>
      <c r="CT357" s="62"/>
      <c r="CU357" s="62"/>
      <c r="CX357" s="62"/>
      <c r="CZ357" s="62"/>
    </row>
    <row r="358" spans="93:104" ht="14.25" customHeight="1">
      <c r="CO358" s="62"/>
      <c r="CP358" s="63"/>
      <c r="CQ358" s="64"/>
      <c r="CR358" s="62"/>
      <c r="CS358" s="62"/>
      <c r="CT358" s="62"/>
      <c r="CU358" s="62"/>
      <c r="CX358" s="62"/>
      <c r="CZ358" s="62"/>
    </row>
    <row r="359" spans="93:104" ht="14.25" customHeight="1">
      <c r="CO359" s="62"/>
      <c r="CP359" s="63"/>
      <c r="CQ359" s="64"/>
      <c r="CR359" s="62"/>
      <c r="CS359" s="62"/>
      <c r="CT359" s="62"/>
      <c r="CU359" s="62"/>
      <c r="CX359" s="62"/>
      <c r="CZ359" s="62"/>
    </row>
    <row r="360" spans="93:104" ht="14.25" customHeight="1">
      <c r="CO360" s="62"/>
      <c r="CP360" s="63"/>
      <c r="CQ360" s="64"/>
      <c r="CR360" s="62"/>
      <c r="CS360" s="62"/>
      <c r="CT360" s="62"/>
      <c r="CU360" s="62"/>
      <c r="CX360" s="62"/>
      <c r="CZ360" s="62"/>
    </row>
    <row r="361" spans="93:104" ht="14.25" customHeight="1">
      <c r="CO361" s="62"/>
      <c r="CP361" s="63"/>
      <c r="CQ361" s="64"/>
      <c r="CR361" s="62"/>
      <c r="CS361" s="62"/>
      <c r="CT361" s="62"/>
      <c r="CU361" s="62"/>
      <c r="CX361" s="62"/>
      <c r="CZ361" s="62"/>
    </row>
    <row r="362" spans="93:104" ht="14.25" customHeight="1">
      <c r="CO362" s="62"/>
      <c r="CP362" s="63"/>
      <c r="CQ362" s="64"/>
      <c r="CR362" s="62"/>
      <c r="CS362" s="62"/>
      <c r="CT362" s="62"/>
      <c r="CU362" s="62"/>
      <c r="CX362" s="62"/>
      <c r="CZ362" s="62"/>
    </row>
    <row r="363" spans="93:104" ht="14.25" customHeight="1">
      <c r="CO363" s="62"/>
      <c r="CP363" s="63"/>
      <c r="CQ363" s="64"/>
      <c r="CR363" s="62"/>
      <c r="CS363" s="62"/>
      <c r="CT363" s="62"/>
      <c r="CU363" s="62"/>
      <c r="CX363" s="62"/>
      <c r="CZ363" s="62"/>
    </row>
    <row r="364" spans="93:104" ht="14.25" customHeight="1">
      <c r="CO364" s="62"/>
      <c r="CP364" s="63"/>
      <c r="CQ364" s="64"/>
      <c r="CR364" s="62"/>
      <c r="CS364" s="62"/>
      <c r="CT364" s="62"/>
      <c r="CU364" s="62"/>
      <c r="CX364" s="62"/>
      <c r="CZ364" s="62"/>
    </row>
    <row r="365" spans="93:104" ht="14.25" customHeight="1">
      <c r="CO365" s="62"/>
      <c r="CP365" s="63"/>
      <c r="CQ365" s="64"/>
      <c r="CR365" s="62"/>
      <c r="CS365" s="62"/>
      <c r="CT365" s="62"/>
      <c r="CU365" s="62"/>
      <c r="CX365" s="62"/>
      <c r="CZ365" s="62"/>
    </row>
    <row r="366" spans="93:104" ht="14.25" customHeight="1">
      <c r="CO366" s="62"/>
      <c r="CP366" s="63"/>
      <c r="CQ366" s="64"/>
      <c r="CR366" s="62"/>
      <c r="CS366" s="62"/>
      <c r="CT366" s="62"/>
      <c r="CU366" s="62"/>
      <c r="CX366" s="62"/>
      <c r="CZ366" s="62"/>
    </row>
    <row r="367" spans="93:104" ht="14.25" customHeight="1">
      <c r="CO367" s="62"/>
      <c r="CP367" s="63"/>
      <c r="CQ367" s="64"/>
      <c r="CR367" s="62"/>
      <c r="CS367" s="62"/>
      <c r="CT367" s="62"/>
      <c r="CU367" s="62"/>
      <c r="CX367" s="62"/>
      <c r="CZ367" s="62"/>
    </row>
    <row r="368" spans="93:104" ht="14.25" customHeight="1">
      <c r="CO368" s="62"/>
      <c r="CP368" s="63"/>
      <c r="CQ368" s="64"/>
      <c r="CR368" s="62"/>
      <c r="CS368" s="62"/>
      <c r="CT368" s="62"/>
      <c r="CU368" s="62"/>
      <c r="CX368" s="62"/>
      <c r="CZ368" s="62"/>
    </row>
    <row r="369" spans="93:104" ht="14.25" customHeight="1">
      <c r="CO369" s="62"/>
      <c r="CP369" s="63"/>
      <c r="CQ369" s="64"/>
      <c r="CR369" s="62"/>
      <c r="CS369" s="62"/>
      <c r="CT369" s="62"/>
      <c r="CU369" s="62"/>
      <c r="CX369" s="62"/>
      <c r="CZ369" s="62"/>
    </row>
    <row r="370" spans="93:104" ht="14.25" customHeight="1">
      <c r="CO370" s="62"/>
      <c r="CP370" s="63"/>
      <c r="CQ370" s="64"/>
      <c r="CR370" s="62"/>
      <c r="CS370" s="62"/>
      <c r="CT370" s="62"/>
      <c r="CU370" s="62"/>
      <c r="CX370" s="62"/>
      <c r="CZ370" s="62"/>
    </row>
    <row r="371" spans="93:104" ht="14.25" customHeight="1">
      <c r="CO371" s="62"/>
      <c r="CP371" s="63"/>
      <c r="CQ371" s="64"/>
      <c r="CR371" s="62"/>
      <c r="CS371" s="62"/>
      <c r="CT371" s="62"/>
      <c r="CU371" s="62"/>
      <c r="CX371" s="62"/>
      <c r="CZ371" s="62"/>
    </row>
    <row r="372" spans="93:104" ht="14.25" customHeight="1">
      <c r="CO372" s="62"/>
      <c r="CP372" s="63"/>
      <c r="CQ372" s="64"/>
      <c r="CR372" s="62"/>
      <c r="CS372" s="62"/>
      <c r="CT372" s="62"/>
      <c r="CU372" s="62"/>
      <c r="CX372" s="62"/>
      <c r="CZ372" s="62"/>
    </row>
    <row r="373" spans="93:104" ht="14.25" customHeight="1">
      <c r="CO373" s="62"/>
      <c r="CP373" s="63"/>
      <c r="CQ373" s="64"/>
      <c r="CR373" s="62"/>
      <c r="CS373" s="62"/>
      <c r="CT373" s="62"/>
      <c r="CU373" s="62"/>
      <c r="CX373" s="62"/>
      <c r="CZ373" s="62"/>
    </row>
    <row r="374" spans="93:104" ht="14.25" customHeight="1">
      <c r="CO374" s="62"/>
      <c r="CP374" s="63"/>
      <c r="CQ374" s="64"/>
      <c r="CR374" s="62"/>
      <c r="CS374" s="62"/>
      <c r="CT374" s="62"/>
      <c r="CU374" s="62"/>
      <c r="CX374" s="62"/>
      <c r="CZ374" s="62"/>
    </row>
    <row r="375" spans="93:104" ht="14.25" customHeight="1">
      <c r="CO375" s="62"/>
      <c r="CP375" s="63"/>
      <c r="CQ375" s="64"/>
      <c r="CR375" s="62"/>
      <c r="CS375" s="62"/>
      <c r="CT375" s="62"/>
      <c r="CU375" s="62"/>
      <c r="CX375" s="62"/>
      <c r="CZ375" s="62"/>
    </row>
    <row r="376" spans="93:104" ht="14.25" customHeight="1">
      <c r="CO376" s="62"/>
      <c r="CP376" s="63"/>
      <c r="CQ376" s="64"/>
      <c r="CR376" s="62"/>
      <c r="CS376" s="62"/>
      <c r="CT376" s="62"/>
      <c r="CU376" s="62"/>
      <c r="CX376" s="62"/>
      <c r="CZ376" s="62"/>
    </row>
    <row r="377" spans="93:104" ht="14.25" customHeight="1">
      <c r="CO377" s="62"/>
      <c r="CP377" s="63"/>
      <c r="CQ377" s="64"/>
      <c r="CR377" s="62"/>
      <c r="CS377" s="62"/>
      <c r="CT377" s="62"/>
      <c r="CU377" s="62"/>
      <c r="CX377" s="62"/>
      <c r="CZ377" s="62"/>
    </row>
    <row r="378" spans="93:104" ht="14.25" customHeight="1">
      <c r="CO378" s="62"/>
      <c r="CP378" s="63"/>
      <c r="CQ378" s="64"/>
      <c r="CR378" s="62"/>
      <c r="CS378" s="62"/>
      <c r="CT378" s="62"/>
      <c r="CU378" s="62"/>
      <c r="CX378" s="62"/>
      <c r="CZ378" s="62"/>
    </row>
    <row r="379" spans="93:104" ht="14.25" customHeight="1">
      <c r="CO379" s="62"/>
      <c r="CP379" s="63"/>
      <c r="CQ379" s="64"/>
      <c r="CR379" s="62"/>
      <c r="CS379" s="62"/>
      <c r="CT379" s="62"/>
      <c r="CU379" s="62"/>
      <c r="CX379" s="62"/>
      <c r="CZ379" s="62"/>
    </row>
    <row r="380" spans="93:104" ht="14.25" customHeight="1">
      <c r="CO380" s="62"/>
      <c r="CP380" s="63"/>
      <c r="CQ380" s="64"/>
      <c r="CR380" s="62"/>
      <c r="CS380" s="62"/>
      <c r="CT380" s="62"/>
      <c r="CU380" s="62"/>
      <c r="CX380" s="62"/>
      <c r="CZ380" s="62"/>
    </row>
    <row r="381" spans="93:104" ht="14.25" customHeight="1">
      <c r="CO381" s="62"/>
      <c r="CP381" s="63"/>
      <c r="CQ381" s="64"/>
      <c r="CR381" s="62"/>
      <c r="CS381" s="62"/>
      <c r="CT381" s="62"/>
      <c r="CU381" s="62"/>
      <c r="CX381" s="62"/>
      <c r="CZ381" s="62"/>
    </row>
    <row r="382" spans="93:104" ht="14.25" customHeight="1">
      <c r="CO382" s="62"/>
      <c r="CP382" s="63"/>
      <c r="CQ382" s="64"/>
      <c r="CR382" s="62"/>
      <c r="CS382" s="62"/>
      <c r="CT382" s="62"/>
      <c r="CU382" s="62"/>
      <c r="CX382" s="62"/>
      <c r="CZ382" s="62"/>
    </row>
    <row r="383" spans="93:104" ht="14.25" customHeight="1">
      <c r="CO383" s="62"/>
      <c r="CP383" s="63"/>
      <c r="CQ383" s="64"/>
      <c r="CR383" s="62"/>
      <c r="CS383" s="62"/>
      <c r="CT383" s="62"/>
      <c r="CU383" s="62"/>
      <c r="CX383" s="62"/>
      <c r="CZ383" s="62"/>
    </row>
    <row r="384" spans="93:104" ht="14.25" customHeight="1">
      <c r="CO384" s="62"/>
      <c r="CP384" s="63"/>
      <c r="CQ384" s="64"/>
      <c r="CR384" s="62"/>
      <c r="CS384" s="62"/>
      <c r="CT384" s="62"/>
      <c r="CU384" s="62"/>
      <c r="CX384" s="62"/>
      <c r="CZ384" s="62"/>
    </row>
    <row r="385" spans="93:104" ht="14.25" customHeight="1">
      <c r="CO385" s="62"/>
      <c r="CP385" s="63"/>
      <c r="CQ385" s="64"/>
      <c r="CR385" s="62"/>
      <c r="CS385" s="62"/>
      <c r="CT385" s="62"/>
      <c r="CU385" s="62"/>
      <c r="CX385" s="62"/>
      <c r="CZ385" s="62"/>
    </row>
    <row r="386" spans="93:104" ht="14.25" customHeight="1">
      <c r="CO386" s="62"/>
      <c r="CP386" s="63"/>
      <c r="CQ386" s="64"/>
      <c r="CR386" s="62"/>
      <c r="CS386" s="62"/>
      <c r="CT386" s="62"/>
      <c r="CU386" s="62"/>
      <c r="CX386" s="62"/>
      <c r="CZ386" s="62"/>
    </row>
    <row r="387" spans="93:104" ht="14.25" customHeight="1">
      <c r="CO387" s="62"/>
      <c r="CP387" s="63"/>
      <c r="CQ387" s="64"/>
      <c r="CR387" s="62"/>
      <c r="CS387" s="62"/>
      <c r="CT387" s="62"/>
      <c r="CU387" s="62"/>
      <c r="CX387" s="62"/>
      <c r="CZ387" s="62"/>
    </row>
    <row r="388" spans="93:104" ht="14.25" customHeight="1">
      <c r="CO388" s="62"/>
      <c r="CP388" s="63"/>
      <c r="CQ388" s="64"/>
      <c r="CR388" s="62"/>
      <c r="CS388" s="62"/>
      <c r="CT388" s="62"/>
      <c r="CU388" s="62"/>
      <c r="CX388" s="62"/>
      <c r="CZ388" s="62"/>
    </row>
    <row r="389" spans="93:104" ht="14.25" customHeight="1">
      <c r="CO389" s="62"/>
      <c r="CP389" s="63"/>
      <c r="CQ389" s="64"/>
      <c r="CR389" s="62"/>
      <c r="CS389" s="62"/>
      <c r="CT389" s="62"/>
      <c r="CU389" s="62"/>
      <c r="CX389" s="62"/>
      <c r="CZ389" s="62"/>
    </row>
    <row r="390" spans="93:104" ht="14.25" customHeight="1">
      <c r="CO390" s="62"/>
      <c r="CP390" s="63"/>
      <c r="CQ390" s="64"/>
      <c r="CR390" s="62"/>
      <c r="CS390" s="62"/>
      <c r="CT390" s="62"/>
      <c r="CU390" s="62"/>
      <c r="CX390" s="62"/>
      <c r="CZ390" s="62"/>
    </row>
    <row r="391" spans="93:104" ht="14.25" customHeight="1">
      <c r="CO391" s="62"/>
      <c r="CP391" s="63"/>
      <c r="CQ391" s="64"/>
      <c r="CR391" s="62"/>
      <c r="CS391" s="62"/>
      <c r="CT391" s="62"/>
      <c r="CU391" s="62"/>
      <c r="CX391" s="62"/>
      <c r="CZ391" s="62"/>
    </row>
    <row r="392" spans="93:104" ht="14.25" customHeight="1">
      <c r="CO392" s="62"/>
      <c r="CP392" s="63"/>
      <c r="CQ392" s="64"/>
      <c r="CR392" s="62"/>
      <c r="CS392" s="62"/>
      <c r="CT392" s="62"/>
      <c r="CU392" s="62"/>
      <c r="CX392" s="62"/>
      <c r="CZ392" s="62"/>
    </row>
    <row r="393" spans="93:104" ht="14.25" customHeight="1">
      <c r="CO393" s="62"/>
      <c r="CP393" s="63"/>
      <c r="CQ393" s="64"/>
      <c r="CR393" s="62"/>
      <c r="CS393" s="62"/>
      <c r="CT393" s="62"/>
      <c r="CU393" s="62"/>
      <c r="CX393" s="62"/>
      <c r="CZ393" s="62"/>
    </row>
    <row r="394" spans="93:104" ht="14.25" customHeight="1">
      <c r="CO394" s="62"/>
      <c r="CP394" s="63"/>
      <c r="CQ394" s="64"/>
      <c r="CR394" s="62"/>
      <c r="CS394" s="62"/>
      <c r="CT394" s="62"/>
      <c r="CU394" s="62"/>
      <c r="CX394" s="62"/>
      <c r="CZ394" s="62"/>
    </row>
    <row r="395" spans="93:104" ht="14.25" customHeight="1">
      <c r="CO395" s="62"/>
      <c r="CP395" s="63"/>
      <c r="CQ395" s="64"/>
      <c r="CR395" s="62"/>
      <c r="CS395" s="62"/>
      <c r="CT395" s="62"/>
      <c r="CU395" s="62"/>
      <c r="CX395" s="62"/>
      <c r="CZ395" s="62"/>
    </row>
    <row r="396" spans="93:104" ht="14.25" customHeight="1">
      <c r="CO396" s="62"/>
      <c r="CP396" s="63"/>
      <c r="CQ396" s="64"/>
      <c r="CR396" s="62"/>
      <c r="CS396" s="62"/>
      <c r="CT396" s="62"/>
      <c r="CU396" s="62"/>
      <c r="CX396" s="62"/>
      <c r="CZ396" s="62"/>
    </row>
    <row r="397" spans="93:104" ht="14.25" customHeight="1">
      <c r="CO397" s="62"/>
      <c r="CP397" s="63"/>
      <c r="CQ397" s="64"/>
      <c r="CR397" s="62"/>
      <c r="CS397" s="62"/>
      <c r="CT397" s="62"/>
      <c r="CU397" s="62"/>
      <c r="CX397" s="62"/>
      <c r="CZ397" s="62"/>
    </row>
    <row r="398" spans="93:104" ht="14.25" customHeight="1">
      <c r="CO398" s="62"/>
      <c r="CP398" s="63"/>
      <c r="CQ398" s="64"/>
      <c r="CR398" s="62"/>
      <c r="CS398" s="62"/>
      <c r="CT398" s="62"/>
      <c r="CU398" s="62"/>
      <c r="CX398" s="62"/>
      <c r="CZ398" s="62"/>
    </row>
    <row r="399" spans="93:104" ht="14.25" customHeight="1">
      <c r="CO399" s="62"/>
      <c r="CP399" s="63"/>
      <c r="CQ399" s="64"/>
      <c r="CR399" s="62"/>
      <c r="CS399" s="62"/>
      <c r="CT399" s="62"/>
      <c r="CU399" s="62"/>
      <c r="CX399" s="62"/>
      <c r="CZ399" s="62"/>
    </row>
    <row r="400" spans="93:104" ht="14.25" customHeight="1">
      <c r="CO400" s="62"/>
      <c r="CP400" s="63"/>
      <c r="CQ400" s="64"/>
      <c r="CR400" s="62"/>
      <c r="CS400" s="62"/>
      <c r="CT400" s="62"/>
      <c r="CU400" s="62"/>
      <c r="CX400" s="62"/>
      <c r="CZ400" s="62"/>
    </row>
    <row r="401" spans="93:104" ht="14.25" customHeight="1">
      <c r="CO401" s="62"/>
      <c r="CP401" s="63"/>
      <c r="CQ401" s="64"/>
      <c r="CR401" s="62"/>
      <c r="CS401" s="62"/>
      <c r="CT401" s="62"/>
      <c r="CU401" s="62"/>
      <c r="CX401" s="62"/>
      <c r="CZ401" s="62"/>
    </row>
    <row r="402" spans="93:104" ht="14.25" customHeight="1">
      <c r="CO402" s="62"/>
      <c r="CP402" s="63"/>
      <c r="CQ402" s="64"/>
      <c r="CR402" s="62"/>
      <c r="CS402" s="62"/>
      <c r="CT402" s="62"/>
      <c r="CU402" s="62"/>
      <c r="CX402" s="62"/>
      <c r="CZ402" s="62"/>
    </row>
    <row r="403" spans="93:104" ht="14.25" customHeight="1">
      <c r="CO403" s="62"/>
      <c r="CP403" s="63"/>
      <c r="CQ403" s="64"/>
      <c r="CR403" s="62"/>
      <c r="CS403" s="62"/>
      <c r="CT403" s="62"/>
      <c r="CU403" s="62"/>
      <c r="CX403" s="62"/>
      <c r="CZ403" s="62"/>
    </row>
    <row r="404" spans="93:104" ht="14.25" customHeight="1">
      <c r="CO404" s="62"/>
      <c r="CP404" s="63"/>
      <c r="CQ404" s="64"/>
      <c r="CR404" s="62"/>
      <c r="CS404" s="62"/>
      <c r="CT404" s="62"/>
      <c r="CU404" s="62"/>
      <c r="CX404" s="62"/>
      <c r="CZ404" s="62"/>
    </row>
    <row r="405" spans="93:104" ht="14.25" customHeight="1">
      <c r="CO405" s="62"/>
      <c r="CP405" s="63"/>
      <c r="CQ405" s="64"/>
      <c r="CR405" s="62"/>
      <c r="CS405" s="62"/>
      <c r="CT405" s="62"/>
      <c r="CU405" s="62"/>
      <c r="CX405" s="62"/>
      <c r="CZ405" s="62"/>
    </row>
    <row r="406" spans="93:104" ht="14.25" customHeight="1">
      <c r="CO406" s="62"/>
      <c r="CP406" s="63"/>
      <c r="CQ406" s="64"/>
      <c r="CR406" s="62"/>
      <c r="CS406" s="62"/>
      <c r="CT406" s="62"/>
      <c r="CU406" s="62"/>
      <c r="CX406" s="62"/>
      <c r="CZ406" s="62"/>
    </row>
    <row r="407" spans="93:104" ht="14.25" customHeight="1">
      <c r="CO407" s="62"/>
      <c r="CP407" s="63"/>
      <c r="CQ407" s="64"/>
      <c r="CR407" s="62"/>
      <c r="CS407" s="62"/>
      <c r="CT407" s="62"/>
      <c r="CU407" s="62"/>
      <c r="CX407" s="62"/>
      <c r="CZ407" s="62"/>
    </row>
    <row r="408" spans="93:104" ht="14.25" customHeight="1">
      <c r="CO408" s="62"/>
      <c r="CP408" s="63"/>
      <c r="CQ408" s="64"/>
      <c r="CR408" s="62"/>
      <c r="CS408" s="62"/>
      <c r="CT408" s="62"/>
      <c r="CU408" s="62"/>
      <c r="CX408" s="62"/>
      <c r="CZ408" s="62"/>
    </row>
    <row r="409" spans="93:104" ht="14.25" customHeight="1">
      <c r="CO409" s="62"/>
      <c r="CP409" s="63"/>
      <c r="CQ409" s="64"/>
      <c r="CR409" s="62"/>
      <c r="CS409" s="62"/>
      <c r="CT409" s="62"/>
      <c r="CU409" s="62"/>
      <c r="CX409" s="62"/>
      <c r="CZ409" s="62"/>
    </row>
    <row r="410" spans="93:104" ht="14.25" customHeight="1">
      <c r="CO410" s="62"/>
      <c r="CP410" s="63"/>
      <c r="CQ410" s="64"/>
      <c r="CR410" s="62"/>
      <c r="CS410" s="62"/>
      <c r="CT410" s="62"/>
      <c r="CU410" s="62"/>
      <c r="CX410" s="62"/>
      <c r="CZ410" s="62"/>
    </row>
    <row r="411" spans="93:104" ht="14.25" customHeight="1">
      <c r="CO411" s="62"/>
      <c r="CP411" s="63"/>
      <c r="CQ411" s="64"/>
      <c r="CR411" s="62"/>
      <c r="CS411" s="62"/>
      <c r="CT411" s="62"/>
      <c r="CU411" s="62"/>
      <c r="CX411" s="62"/>
      <c r="CZ411" s="62"/>
    </row>
    <row r="412" spans="93:104" ht="14.25" customHeight="1">
      <c r="CO412" s="62"/>
      <c r="CP412" s="63"/>
      <c r="CQ412" s="64"/>
      <c r="CR412" s="62"/>
      <c r="CS412" s="62"/>
      <c r="CT412" s="62"/>
      <c r="CU412" s="62"/>
      <c r="CX412" s="62"/>
      <c r="CZ412" s="62"/>
    </row>
    <row r="413" spans="93:104" ht="14.25" customHeight="1">
      <c r="CO413" s="62"/>
      <c r="CP413" s="63"/>
      <c r="CQ413" s="64"/>
      <c r="CR413" s="62"/>
      <c r="CS413" s="62"/>
      <c r="CT413" s="62"/>
      <c r="CU413" s="62"/>
      <c r="CX413" s="62"/>
      <c r="CZ413" s="62"/>
    </row>
    <row r="414" spans="93:104" ht="14.25" customHeight="1">
      <c r="CO414" s="62"/>
      <c r="CP414" s="63"/>
      <c r="CQ414" s="64"/>
      <c r="CR414" s="62"/>
      <c r="CS414" s="62"/>
      <c r="CT414" s="62"/>
      <c r="CU414" s="62"/>
      <c r="CX414" s="62"/>
      <c r="CZ414" s="62"/>
    </row>
    <row r="415" spans="93:104" ht="14.25" customHeight="1">
      <c r="CO415" s="62"/>
      <c r="CP415" s="63"/>
      <c r="CQ415" s="64"/>
      <c r="CR415" s="62"/>
      <c r="CS415" s="62"/>
      <c r="CT415" s="62"/>
      <c r="CU415" s="62"/>
      <c r="CX415" s="62"/>
      <c r="CZ415" s="62"/>
    </row>
    <row r="416" spans="93:104" ht="14.25" customHeight="1">
      <c r="CO416" s="62"/>
      <c r="CP416" s="63"/>
      <c r="CQ416" s="64"/>
      <c r="CR416" s="62"/>
      <c r="CS416" s="62"/>
      <c r="CT416" s="62"/>
      <c r="CU416" s="62"/>
      <c r="CX416" s="62"/>
      <c r="CZ416" s="62"/>
    </row>
    <row r="417" spans="93:104" ht="14.25" customHeight="1">
      <c r="CO417" s="62"/>
      <c r="CP417" s="63"/>
      <c r="CQ417" s="64"/>
      <c r="CR417" s="62"/>
      <c r="CS417" s="62"/>
      <c r="CT417" s="62"/>
      <c r="CU417" s="62"/>
      <c r="CX417" s="62"/>
      <c r="CZ417" s="62"/>
    </row>
    <row r="418" spans="93:104" ht="14.25" customHeight="1">
      <c r="CO418" s="62"/>
      <c r="CP418" s="63"/>
      <c r="CQ418" s="64"/>
      <c r="CR418" s="62"/>
      <c r="CS418" s="62"/>
      <c r="CT418" s="62"/>
      <c r="CU418" s="62"/>
      <c r="CX418" s="62"/>
      <c r="CZ418" s="62"/>
    </row>
    <row r="419" spans="93:104" ht="14.25" customHeight="1">
      <c r="CO419" s="62"/>
      <c r="CP419" s="63"/>
      <c r="CQ419" s="64"/>
      <c r="CR419" s="62"/>
      <c r="CS419" s="62"/>
      <c r="CT419" s="62"/>
      <c r="CU419" s="62"/>
      <c r="CX419" s="62"/>
      <c r="CZ419" s="62"/>
    </row>
    <row r="420" spans="93:104" ht="14.25" customHeight="1">
      <c r="CO420" s="62"/>
      <c r="CP420" s="63"/>
      <c r="CQ420" s="64"/>
      <c r="CR420" s="62"/>
      <c r="CS420" s="62"/>
      <c r="CT420" s="62"/>
      <c r="CU420" s="62"/>
      <c r="CX420" s="62"/>
      <c r="CZ420" s="62"/>
    </row>
    <row r="421" spans="93:104" ht="14.25" customHeight="1">
      <c r="CO421" s="62"/>
      <c r="CP421" s="63"/>
      <c r="CQ421" s="64"/>
      <c r="CR421" s="62"/>
      <c r="CS421" s="62"/>
      <c r="CT421" s="62"/>
      <c r="CU421" s="62"/>
      <c r="CX421" s="62"/>
      <c r="CZ421" s="62"/>
    </row>
    <row r="422" spans="93:104" ht="14.25" customHeight="1">
      <c r="CO422" s="62"/>
      <c r="CP422" s="63"/>
      <c r="CQ422" s="64"/>
      <c r="CR422" s="62"/>
      <c r="CS422" s="62"/>
      <c r="CT422" s="62"/>
      <c r="CU422" s="62"/>
      <c r="CX422" s="62"/>
      <c r="CZ422" s="62"/>
    </row>
    <row r="423" spans="93:104" ht="14.25" customHeight="1">
      <c r="CO423" s="62"/>
      <c r="CP423" s="63"/>
      <c r="CQ423" s="64"/>
      <c r="CR423" s="62"/>
      <c r="CS423" s="62"/>
      <c r="CT423" s="62"/>
      <c r="CU423" s="62"/>
      <c r="CX423" s="62"/>
      <c r="CZ423" s="62"/>
    </row>
    <row r="424" spans="93:104" ht="14.25" customHeight="1">
      <c r="CO424" s="62"/>
      <c r="CP424" s="63"/>
      <c r="CQ424" s="64"/>
      <c r="CR424" s="62"/>
      <c r="CS424" s="62"/>
      <c r="CT424" s="62"/>
      <c r="CU424" s="62"/>
      <c r="CX424" s="62"/>
      <c r="CZ424" s="62"/>
    </row>
    <row r="425" spans="93:104" ht="14.25" customHeight="1">
      <c r="CO425" s="62"/>
      <c r="CP425" s="63"/>
      <c r="CQ425" s="64"/>
      <c r="CR425" s="62"/>
      <c r="CS425" s="62"/>
      <c r="CT425" s="62"/>
      <c r="CU425" s="62"/>
      <c r="CX425" s="62"/>
      <c r="CZ425" s="62"/>
    </row>
    <row r="426" spans="93:104" ht="14.25" customHeight="1">
      <c r="CO426" s="62"/>
      <c r="CP426" s="63"/>
      <c r="CQ426" s="64"/>
      <c r="CR426" s="62"/>
      <c r="CS426" s="62"/>
      <c r="CT426" s="62"/>
      <c r="CU426" s="62"/>
      <c r="CX426" s="62"/>
      <c r="CZ426" s="62"/>
    </row>
    <row r="427" spans="93:104" ht="14.25" customHeight="1">
      <c r="CO427" s="62"/>
      <c r="CP427" s="63"/>
      <c r="CQ427" s="64"/>
      <c r="CR427" s="62"/>
      <c r="CS427" s="62"/>
      <c r="CT427" s="62"/>
      <c r="CU427" s="62"/>
      <c r="CX427" s="62"/>
      <c r="CZ427" s="62"/>
    </row>
    <row r="428" spans="93:104" ht="14.25" customHeight="1">
      <c r="CO428" s="62"/>
      <c r="CP428" s="63"/>
      <c r="CQ428" s="64"/>
      <c r="CR428" s="62"/>
      <c r="CS428" s="62"/>
      <c r="CT428" s="62"/>
      <c r="CU428" s="62"/>
      <c r="CX428" s="62"/>
      <c r="CZ428" s="62"/>
    </row>
    <row r="429" spans="93:104" ht="14.25" customHeight="1">
      <c r="CO429" s="62"/>
      <c r="CP429" s="63"/>
      <c r="CQ429" s="64"/>
      <c r="CR429" s="62"/>
      <c r="CS429" s="62"/>
      <c r="CT429" s="62"/>
      <c r="CU429" s="62"/>
      <c r="CX429" s="62"/>
      <c r="CZ429" s="62"/>
    </row>
    <row r="430" spans="93:104" ht="14.25" customHeight="1">
      <c r="CO430" s="62"/>
      <c r="CP430" s="63"/>
      <c r="CQ430" s="64"/>
      <c r="CR430" s="62"/>
      <c r="CS430" s="62"/>
      <c r="CT430" s="62"/>
      <c r="CU430" s="62"/>
      <c r="CX430" s="62"/>
      <c r="CZ430" s="62"/>
    </row>
    <row r="431" spans="93:104" ht="14.25" customHeight="1">
      <c r="CO431" s="62"/>
      <c r="CP431" s="63"/>
      <c r="CQ431" s="64"/>
      <c r="CR431" s="62"/>
      <c r="CS431" s="62"/>
      <c r="CT431" s="62"/>
      <c r="CU431" s="62"/>
      <c r="CX431" s="62"/>
      <c r="CZ431" s="62"/>
    </row>
    <row r="432" spans="93:104" ht="14.25" customHeight="1">
      <c r="CO432" s="62"/>
      <c r="CP432" s="63"/>
      <c r="CQ432" s="64"/>
      <c r="CR432" s="62"/>
      <c r="CS432" s="62"/>
      <c r="CT432" s="62"/>
      <c r="CU432" s="62"/>
      <c r="CX432" s="62"/>
      <c r="CZ432" s="62"/>
    </row>
    <row r="433" spans="93:104" ht="14.25" customHeight="1">
      <c r="CO433" s="62"/>
      <c r="CP433" s="63"/>
      <c r="CQ433" s="64"/>
      <c r="CR433" s="62"/>
      <c r="CS433" s="62"/>
      <c r="CT433" s="62"/>
      <c r="CU433" s="62"/>
      <c r="CX433" s="62"/>
      <c r="CZ433" s="62"/>
    </row>
    <row r="434" spans="93:104" ht="14.25" customHeight="1">
      <c r="CO434" s="62"/>
      <c r="CP434" s="63"/>
      <c r="CQ434" s="64"/>
      <c r="CR434" s="62"/>
      <c r="CS434" s="62"/>
      <c r="CT434" s="62"/>
      <c r="CU434" s="62"/>
      <c r="CX434" s="62"/>
      <c r="CZ434" s="62"/>
    </row>
    <row r="435" spans="93:104" ht="14.25" customHeight="1">
      <c r="CO435" s="62"/>
      <c r="CP435" s="63"/>
      <c r="CQ435" s="64"/>
      <c r="CR435" s="62"/>
      <c r="CS435" s="62"/>
      <c r="CT435" s="62"/>
      <c r="CU435" s="62"/>
      <c r="CX435" s="62"/>
      <c r="CZ435" s="62"/>
    </row>
    <row r="436" spans="93:104" ht="14.25" customHeight="1">
      <c r="CO436" s="62"/>
      <c r="CP436" s="63"/>
      <c r="CQ436" s="64"/>
      <c r="CR436" s="62"/>
      <c r="CS436" s="62"/>
      <c r="CT436" s="62"/>
      <c r="CU436" s="62"/>
      <c r="CX436" s="62"/>
      <c r="CZ436" s="62"/>
    </row>
    <row r="437" spans="93:104" ht="14.25" customHeight="1">
      <c r="CO437" s="62"/>
      <c r="CP437" s="63"/>
      <c r="CQ437" s="64"/>
      <c r="CR437" s="62"/>
      <c r="CS437" s="62"/>
      <c r="CT437" s="62"/>
      <c r="CU437" s="62"/>
      <c r="CX437" s="62"/>
      <c r="CZ437" s="62"/>
    </row>
    <row r="438" spans="93:104" ht="14.25" customHeight="1">
      <c r="CO438" s="62"/>
      <c r="CP438" s="63"/>
      <c r="CQ438" s="64"/>
      <c r="CR438" s="62"/>
      <c r="CS438" s="62"/>
      <c r="CT438" s="62"/>
      <c r="CU438" s="62"/>
      <c r="CX438" s="62"/>
      <c r="CZ438" s="62"/>
    </row>
    <row r="439" spans="93:104" ht="14.25" customHeight="1">
      <c r="CO439" s="62"/>
      <c r="CP439" s="63"/>
      <c r="CQ439" s="64"/>
      <c r="CR439" s="62"/>
      <c r="CS439" s="62"/>
      <c r="CT439" s="62"/>
      <c r="CU439" s="62"/>
      <c r="CX439" s="62"/>
      <c r="CZ439" s="62"/>
    </row>
    <row r="440" spans="93:104" ht="14.25" customHeight="1">
      <c r="CO440" s="62"/>
      <c r="CP440" s="63"/>
      <c r="CQ440" s="64"/>
      <c r="CR440" s="62"/>
      <c r="CS440" s="62"/>
      <c r="CT440" s="62"/>
      <c r="CU440" s="62"/>
      <c r="CX440" s="62"/>
      <c r="CZ440" s="62"/>
    </row>
    <row r="441" spans="93:104" ht="14.25" customHeight="1">
      <c r="CO441" s="62"/>
      <c r="CP441" s="63"/>
      <c r="CQ441" s="64"/>
      <c r="CR441" s="62"/>
      <c r="CS441" s="62"/>
      <c r="CT441" s="62"/>
      <c r="CU441" s="62"/>
      <c r="CX441" s="62"/>
      <c r="CZ441" s="62"/>
    </row>
    <row r="442" spans="93:104" ht="14.25" customHeight="1">
      <c r="CO442" s="62"/>
      <c r="CP442" s="63"/>
      <c r="CQ442" s="64"/>
      <c r="CR442" s="62"/>
      <c r="CS442" s="62"/>
      <c r="CT442" s="62"/>
      <c r="CU442" s="62"/>
      <c r="CX442" s="62"/>
      <c r="CZ442" s="62"/>
    </row>
    <row r="443" spans="93:104" ht="14.25" customHeight="1">
      <c r="CO443" s="62"/>
      <c r="CP443" s="63"/>
      <c r="CQ443" s="64"/>
      <c r="CR443" s="62"/>
      <c r="CS443" s="62"/>
      <c r="CT443" s="62"/>
      <c r="CU443" s="62"/>
      <c r="CX443" s="62"/>
      <c r="CZ443" s="62"/>
    </row>
    <row r="444" spans="93:104" ht="14.25" customHeight="1">
      <c r="CO444" s="62"/>
      <c r="CP444" s="63"/>
      <c r="CQ444" s="64"/>
      <c r="CR444" s="62"/>
      <c r="CS444" s="62"/>
      <c r="CT444" s="62"/>
      <c r="CU444" s="62"/>
      <c r="CX444" s="62"/>
      <c r="CZ444" s="62"/>
    </row>
    <row r="445" spans="93:104" ht="14.25" customHeight="1">
      <c r="CO445" s="62"/>
      <c r="CP445" s="63"/>
      <c r="CQ445" s="64"/>
      <c r="CR445" s="62"/>
      <c r="CS445" s="62"/>
      <c r="CT445" s="62"/>
      <c r="CU445" s="62"/>
      <c r="CX445" s="62"/>
      <c r="CZ445" s="62"/>
    </row>
    <row r="446" spans="93:104" ht="14.25" customHeight="1">
      <c r="CO446" s="62"/>
      <c r="CP446" s="63"/>
      <c r="CQ446" s="64"/>
      <c r="CR446" s="62"/>
      <c r="CS446" s="62"/>
      <c r="CT446" s="62"/>
      <c r="CU446" s="62"/>
      <c r="CX446" s="62"/>
      <c r="CZ446" s="62"/>
    </row>
    <row r="447" spans="93:104" ht="14.25" customHeight="1">
      <c r="CO447" s="62"/>
      <c r="CP447" s="63"/>
      <c r="CQ447" s="64"/>
      <c r="CR447" s="62"/>
      <c r="CS447" s="62"/>
      <c r="CT447" s="62"/>
      <c r="CU447" s="62"/>
      <c r="CX447" s="62"/>
      <c r="CZ447" s="62"/>
    </row>
    <row r="448" spans="93:104" ht="14.25" customHeight="1">
      <c r="CO448" s="62"/>
      <c r="CP448" s="63"/>
      <c r="CQ448" s="64"/>
      <c r="CR448" s="62"/>
      <c r="CS448" s="62"/>
      <c r="CT448" s="62"/>
      <c r="CU448" s="62"/>
      <c r="CX448" s="62"/>
      <c r="CZ448" s="62"/>
    </row>
    <row r="449" spans="93:104" ht="14.25" customHeight="1">
      <c r="CO449" s="62"/>
      <c r="CP449" s="63"/>
      <c r="CQ449" s="64"/>
      <c r="CR449" s="62"/>
      <c r="CS449" s="62"/>
      <c r="CT449" s="62"/>
      <c r="CU449" s="62"/>
      <c r="CX449" s="62"/>
      <c r="CZ449" s="62"/>
    </row>
    <row r="450" spans="93:104" ht="14.25" customHeight="1">
      <c r="CO450" s="62"/>
      <c r="CP450" s="63"/>
      <c r="CQ450" s="64"/>
      <c r="CR450" s="62"/>
      <c r="CS450" s="62"/>
      <c r="CT450" s="62"/>
      <c r="CU450" s="62"/>
      <c r="CX450" s="62"/>
      <c r="CZ450" s="62"/>
    </row>
    <row r="451" spans="93:104" ht="14.25" customHeight="1">
      <c r="CO451" s="62"/>
      <c r="CP451" s="63"/>
      <c r="CQ451" s="64"/>
      <c r="CR451" s="62"/>
      <c r="CS451" s="62"/>
      <c r="CT451" s="62"/>
      <c r="CU451" s="62"/>
      <c r="CX451" s="62"/>
      <c r="CZ451" s="62"/>
    </row>
    <row r="452" spans="93:104" ht="14.25" customHeight="1">
      <c r="CO452" s="62"/>
      <c r="CP452" s="63"/>
      <c r="CQ452" s="64"/>
      <c r="CR452" s="62"/>
      <c r="CS452" s="62"/>
      <c r="CT452" s="62"/>
      <c r="CU452" s="62"/>
      <c r="CX452" s="62"/>
      <c r="CZ452" s="62"/>
    </row>
    <row r="453" spans="93:104" ht="14.25" customHeight="1">
      <c r="CO453" s="62"/>
      <c r="CP453" s="63"/>
      <c r="CQ453" s="64"/>
      <c r="CR453" s="62"/>
      <c r="CS453" s="62"/>
      <c r="CT453" s="62"/>
      <c r="CU453" s="62"/>
      <c r="CX453" s="62"/>
      <c r="CZ453" s="62"/>
    </row>
    <row r="454" spans="93:104" ht="14.25" customHeight="1">
      <c r="CO454" s="62"/>
      <c r="CP454" s="63"/>
      <c r="CQ454" s="64"/>
      <c r="CR454" s="62"/>
      <c r="CS454" s="62"/>
      <c r="CT454" s="62"/>
      <c r="CU454" s="62"/>
      <c r="CX454" s="62"/>
      <c r="CZ454" s="62"/>
    </row>
    <row r="455" spans="93:104" ht="14.25" customHeight="1">
      <c r="CO455" s="62"/>
      <c r="CP455" s="63"/>
      <c r="CQ455" s="64"/>
      <c r="CR455" s="62"/>
      <c r="CS455" s="62"/>
      <c r="CT455" s="62"/>
      <c r="CU455" s="62"/>
      <c r="CX455" s="62"/>
      <c r="CZ455" s="62"/>
    </row>
    <row r="456" spans="93:104" ht="14.25" customHeight="1">
      <c r="CO456" s="62"/>
      <c r="CP456" s="63"/>
      <c r="CQ456" s="64"/>
      <c r="CR456" s="62"/>
      <c r="CS456" s="62"/>
      <c r="CT456" s="62"/>
      <c r="CU456" s="62"/>
      <c r="CX456" s="62"/>
      <c r="CZ456" s="62"/>
    </row>
    <row r="457" spans="93:104" ht="14.25" customHeight="1">
      <c r="CO457" s="62"/>
      <c r="CP457" s="63"/>
      <c r="CQ457" s="64"/>
      <c r="CR457" s="62"/>
      <c r="CS457" s="62"/>
      <c r="CT457" s="62"/>
      <c r="CU457" s="62"/>
      <c r="CX457" s="62"/>
      <c r="CZ457" s="62"/>
    </row>
    <row r="458" spans="93:104" ht="14.25" customHeight="1">
      <c r="CO458" s="62"/>
      <c r="CP458" s="63"/>
      <c r="CQ458" s="64"/>
      <c r="CR458" s="62"/>
      <c r="CS458" s="62"/>
      <c r="CT458" s="62"/>
      <c r="CU458" s="62"/>
      <c r="CX458" s="62"/>
      <c r="CZ458" s="62"/>
    </row>
    <row r="459" spans="93:104" ht="14.25" customHeight="1">
      <c r="CO459" s="62"/>
      <c r="CP459" s="63"/>
      <c r="CQ459" s="64"/>
      <c r="CR459" s="62"/>
      <c r="CS459" s="62"/>
      <c r="CT459" s="62"/>
      <c r="CU459" s="62"/>
      <c r="CX459" s="62"/>
      <c r="CZ459" s="62"/>
    </row>
    <row r="460" spans="93:104" ht="14.25" customHeight="1">
      <c r="CO460" s="62"/>
      <c r="CP460" s="63"/>
      <c r="CQ460" s="64"/>
      <c r="CR460" s="62"/>
      <c r="CS460" s="62"/>
      <c r="CT460" s="62"/>
      <c r="CU460" s="62"/>
      <c r="CX460" s="62"/>
      <c r="CZ460" s="62"/>
    </row>
    <row r="461" spans="93:104" ht="14.25" customHeight="1">
      <c r="CO461" s="62"/>
      <c r="CP461" s="63"/>
      <c r="CQ461" s="64"/>
      <c r="CR461" s="62"/>
      <c r="CS461" s="62"/>
      <c r="CT461" s="62"/>
      <c r="CU461" s="62"/>
      <c r="CX461" s="62"/>
      <c r="CZ461" s="62"/>
    </row>
    <row r="462" spans="93:104" ht="14.25" customHeight="1">
      <c r="CO462" s="62"/>
      <c r="CP462" s="63"/>
      <c r="CQ462" s="64"/>
      <c r="CR462" s="62"/>
      <c r="CS462" s="62"/>
      <c r="CT462" s="62"/>
      <c r="CU462" s="62"/>
      <c r="CX462" s="62"/>
      <c r="CZ462" s="62"/>
    </row>
    <row r="463" spans="93:104" ht="14.25" customHeight="1">
      <c r="CO463" s="62"/>
      <c r="CP463" s="63"/>
      <c r="CQ463" s="64"/>
      <c r="CR463" s="62"/>
      <c r="CS463" s="62"/>
      <c r="CT463" s="62"/>
      <c r="CU463" s="62"/>
      <c r="CX463" s="62"/>
      <c r="CZ463" s="62"/>
    </row>
    <row r="464" spans="93:104" ht="14.25" customHeight="1">
      <c r="CO464" s="62"/>
      <c r="CP464" s="63"/>
      <c r="CQ464" s="64"/>
      <c r="CR464" s="62"/>
      <c r="CS464" s="62"/>
      <c r="CT464" s="62"/>
      <c r="CU464" s="62"/>
      <c r="CX464" s="62"/>
      <c r="CZ464" s="62"/>
    </row>
    <row r="465" spans="93:104" ht="14.25" customHeight="1">
      <c r="CO465" s="62"/>
      <c r="CP465" s="63"/>
      <c r="CQ465" s="64"/>
      <c r="CR465" s="62"/>
      <c r="CS465" s="62"/>
      <c r="CT465" s="62"/>
      <c r="CU465" s="62"/>
      <c r="CX465" s="62"/>
      <c r="CZ465" s="62"/>
    </row>
    <row r="466" spans="93:104" ht="14.25" customHeight="1">
      <c r="CO466" s="62"/>
      <c r="CP466" s="63"/>
      <c r="CQ466" s="64"/>
      <c r="CR466" s="62"/>
      <c r="CS466" s="62"/>
      <c r="CT466" s="62"/>
      <c r="CU466" s="62"/>
      <c r="CX466" s="62"/>
      <c r="CZ466" s="62"/>
    </row>
    <row r="467" spans="93:104" ht="14.25" customHeight="1">
      <c r="CO467" s="62"/>
      <c r="CP467" s="63"/>
      <c r="CQ467" s="64"/>
      <c r="CR467" s="62"/>
      <c r="CS467" s="62"/>
      <c r="CT467" s="62"/>
      <c r="CU467" s="62"/>
      <c r="CX467" s="62"/>
      <c r="CZ467" s="62"/>
    </row>
    <row r="468" spans="93:104" ht="14.25" customHeight="1">
      <c r="CO468" s="62"/>
      <c r="CP468" s="63"/>
      <c r="CQ468" s="64"/>
      <c r="CR468" s="62"/>
      <c r="CS468" s="62"/>
      <c r="CT468" s="62"/>
      <c r="CU468" s="62"/>
      <c r="CX468" s="62"/>
      <c r="CZ468" s="62"/>
    </row>
    <row r="469" spans="93:104" ht="14.25" customHeight="1">
      <c r="CO469" s="62"/>
      <c r="CP469" s="63"/>
      <c r="CQ469" s="64"/>
      <c r="CR469" s="62"/>
      <c r="CS469" s="62"/>
      <c r="CT469" s="62"/>
      <c r="CU469" s="62"/>
      <c r="CX469" s="62"/>
      <c r="CZ469" s="62"/>
    </row>
    <row r="470" spans="93:104" ht="14.25" customHeight="1">
      <c r="CO470" s="62"/>
      <c r="CP470" s="63"/>
      <c r="CQ470" s="64"/>
      <c r="CR470" s="62"/>
      <c r="CS470" s="62"/>
      <c r="CT470" s="62"/>
      <c r="CU470" s="62"/>
      <c r="CX470" s="62"/>
      <c r="CZ470" s="62"/>
    </row>
    <row r="471" spans="93:104" ht="14.25" customHeight="1">
      <c r="CO471" s="62"/>
      <c r="CP471" s="63"/>
      <c r="CQ471" s="64"/>
      <c r="CR471" s="62"/>
      <c r="CS471" s="62"/>
      <c r="CT471" s="62"/>
      <c r="CU471" s="62"/>
      <c r="CX471" s="62"/>
      <c r="CZ471" s="62"/>
    </row>
    <row r="472" spans="93:104" ht="14.25" customHeight="1">
      <c r="CO472" s="62"/>
      <c r="CP472" s="63"/>
      <c r="CQ472" s="64"/>
      <c r="CR472" s="62"/>
      <c r="CS472" s="62"/>
      <c r="CT472" s="62"/>
      <c r="CU472" s="62"/>
      <c r="CX472" s="62"/>
      <c r="CZ472" s="62"/>
    </row>
    <row r="473" spans="93:104" ht="14.25" customHeight="1">
      <c r="CO473" s="62"/>
      <c r="CP473" s="63"/>
      <c r="CQ473" s="64"/>
      <c r="CR473" s="62"/>
      <c r="CS473" s="62"/>
      <c r="CT473" s="62"/>
      <c r="CU473" s="62"/>
      <c r="CX473" s="62"/>
      <c r="CZ473" s="62"/>
    </row>
    <row r="474" spans="93:104" ht="14.25" customHeight="1">
      <c r="CO474" s="62"/>
      <c r="CP474" s="63"/>
      <c r="CQ474" s="64"/>
      <c r="CR474" s="62"/>
      <c r="CS474" s="62"/>
      <c r="CT474" s="62"/>
      <c r="CU474" s="62"/>
      <c r="CX474" s="62"/>
      <c r="CZ474" s="62"/>
    </row>
    <row r="475" spans="93:104" ht="14.25" customHeight="1">
      <c r="CO475" s="62"/>
      <c r="CP475" s="63"/>
      <c r="CQ475" s="64"/>
      <c r="CR475" s="62"/>
      <c r="CS475" s="62"/>
      <c r="CT475" s="62"/>
      <c r="CU475" s="62"/>
      <c r="CX475" s="62"/>
      <c r="CZ475" s="62"/>
    </row>
    <row r="476" spans="93:104" ht="14.25" customHeight="1">
      <c r="CO476" s="62"/>
      <c r="CP476" s="63"/>
      <c r="CQ476" s="64"/>
      <c r="CR476" s="62"/>
      <c r="CS476" s="62"/>
      <c r="CT476" s="62"/>
      <c r="CU476" s="62"/>
      <c r="CX476" s="62"/>
      <c r="CZ476" s="62"/>
    </row>
    <row r="477" spans="93:104" ht="14.25" customHeight="1">
      <c r="CO477" s="62"/>
      <c r="CP477" s="63"/>
      <c r="CQ477" s="64"/>
      <c r="CR477" s="62"/>
      <c r="CS477" s="62"/>
      <c r="CT477" s="62"/>
      <c r="CU477" s="62"/>
      <c r="CX477" s="62"/>
      <c r="CZ477" s="62"/>
    </row>
    <row r="478" spans="93:104" ht="14.25" customHeight="1">
      <c r="CO478" s="62"/>
      <c r="CP478" s="63"/>
      <c r="CQ478" s="64"/>
      <c r="CR478" s="62"/>
      <c r="CS478" s="62"/>
      <c r="CT478" s="62"/>
      <c r="CU478" s="62"/>
      <c r="CX478" s="62"/>
      <c r="CZ478" s="62"/>
    </row>
    <row r="479" spans="93:104" ht="14.25" customHeight="1">
      <c r="CO479" s="62"/>
      <c r="CP479" s="63"/>
      <c r="CQ479" s="64"/>
      <c r="CR479" s="62"/>
      <c r="CS479" s="62"/>
      <c r="CT479" s="62"/>
      <c r="CU479" s="62"/>
      <c r="CX479" s="62"/>
      <c r="CZ479" s="62"/>
    </row>
    <row r="480" spans="93:104" ht="14.25" customHeight="1">
      <c r="CO480" s="62"/>
      <c r="CP480" s="63"/>
      <c r="CQ480" s="64"/>
      <c r="CR480" s="62"/>
      <c r="CS480" s="62"/>
      <c r="CT480" s="62"/>
      <c r="CU480" s="62"/>
      <c r="CX480" s="62"/>
      <c r="CZ480" s="62"/>
    </row>
    <row r="481" spans="93:104" ht="14.25" customHeight="1">
      <c r="CO481" s="62"/>
      <c r="CP481" s="63"/>
      <c r="CQ481" s="64"/>
      <c r="CR481" s="62"/>
      <c r="CS481" s="62"/>
      <c r="CT481" s="62"/>
      <c r="CU481" s="62"/>
      <c r="CX481" s="62"/>
      <c r="CZ481" s="62"/>
    </row>
    <row r="482" spans="93:104" ht="14.25" customHeight="1">
      <c r="CO482" s="62"/>
      <c r="CP482" s="63"/>
      <c r="CQ482" s="64"/>
      <c r="CR482" s="62"/>
      <c r="CS482" s="62"/>
      <c r="CT482" s="62"/>
      <c r="CU482" s="62"/>
      <c r="CX482" s="62"/>
      <c r="CZ482" s="62"/>
    </row>
    <row r="483" spans="93:104" ht="14.25" customHeight="1">
      <c r="CO483" s="62"/>
      <c r="CP483" s="63"/>
      <c r="CQ483" s="64"/>
      <c r="CR483" s="62"/>
      <c r="CS483" s="62"/>
      <c r="CT483" s="62"/>
      <c r="CU483" s="62"/>
      <c r="CX483" s="62"/>
      <c r="CZ483" s="62"/>
    </row>
    <row r="484" spans="93:104" ht="14.25" customHeight="1">
      <c r="CO484" s="62"/>
      <c r="CP484" s="63"/>
      <c r="CQ484" s="64"/>
      <c r="CR484" s="62"/>
      <c r="CS484" s="62"/>
      <c r="CT484" s="62"/>
      <c r="CU484" s="62"/>
      <c r="CX484" s="62"/>
      <c r="CZ484" s="62"/>
    </row>
    <row r="485" spans="93:104" ht="14.25" customHeight="1">
      <c r="CO485" s="62"/>
      <c r="CP485" s="63"/>
      <c r="CQ485" s="64"/>
      <c r="CR485" s="62"/>
      <c r="CS485" s="62"/>
      <c r="CT485" s="62"/>
      <c r="CU485" s="62"/>
      <c r="CX485" s="62"/>
      <c r="CZ485" s="62"/>
    </row>
    <row r="486" spans="93:104" ht="14.25" customHeight="1">
      <c r="CO486" s="62"/>
      <c r="CP486" s="63"/>
      <c r="CQ486" s="64"/>
      <c r="CR486" s="62"/>
      <c r="CS486" s="62"/>
      <c r="CT486" s="62"/>
      <c r="CU486" s="62"/>
      <c r="CX486" s="62"/>
      <c r="CZ486" s="62"/>
    </row>
    <row r="487" spans="93:104" ht="14.25" customHeight="1">
      <c r="CO487" s="62"/>
      <c r="CP487" s="63"/>
      <c r="CQ487" s="64"/>
      <c r="CR487" s="62"/>
      <c r="CS487" s="62"/>
      <c r="CT487" s="62"/>
      <c r="CU487" s="62"/>
      <c r="CX487" s="62"/>
      <c r="CZ487" s="62"/>
    </row>
    <row r="488" spans="93:104" ht="14.25" customHeight="1">
      <c r="CO488" s="62"/>
      <c r="CP488" s="63"/>
      <c r="CQ488" s="64"/>
      <c r="CR488" s="62"/>
      <c r="CS488" s="62"/>
      <c r="CT488" s="62"/>
      <c r="CU488" s="62"/>
      <c r="CX488" s="62"/>
      <c r="CZ488" s="62"/>
    </row>
    <row r="489" spans="93:104" ht="14.25" customHeight="1">
      <c r="CO489" s="62"/>
      <c r="CP489" s="63"/>
      <c r="CQ489" s="64"/>
      <c r="CR489" s="62"/>
      <c r="CS489" s="62"/>
      <c r="CT489" s="62"/>
      <c r="CU489" s="62"/>
      <c r="CX489" s="62"/>
      <c r="CZ489" s="62"/>
    </row>
    <row r="490" spans="93:104" ht="14.25" customHeight="1">
      <c r="CO490" s="62"/>
      <c r="CP490" s="63"/>
      <c r="CQ490" s="64"/>
      <c r="CR490" s="62"/>
      <c r="CS490" s="62"/>
      <c r="CT490" s="62"/>
      <c r="CU490" s="62"/>
      <c r="CX490" s="62"/>
      <c r="CZ490" s="62"/>
    </row>
    <row r="491" spans="93:104" ht="14.25" customHeight="1">
      <c r="CO491" s="62"/>
      <c r="CP491" s="63"/>
      <c r="CQ491" s="64"/>
      <c r="CR491" s="62"/>
      <c r="CS491" s="62"/>
      <c r="CT491" s="62"/>
      <c r="CU491" s="62"/>
      <c r="CX491" s="62"/>
      <c r="CZ491" s="62"/>
    </row>
    <row r="492" spans="93:104" ht="14.25" customHeight="1">
      <c r="CO492" s="62"/>
      <c r="CP492" s="63"/>
      <c r="CQ492" s="64"/>
      <c r="CR492" s="62"/>
      <c r="CS492" s="62"/>
      <c r="CT492" s="62"/>
      <c r="CU492" s="62"/>
      <c r="CX492" s="62"/>
      <c r="CZ492" s="62"/>
    </row>
    <row r="493" spans="93:104" ht="14.25" customHeight="1">
      <c r="CO493" s="62"/>
      <c r="CP493" s="63"/>
      <c r="CQ493" s="64"/>
      <c r="CR493" s="62"/>
      <c r="CS493" s="62"/>
      <c r="CT493" s="62"/>
      <c r="CU493" s="62"/>
      <c r="CX493" s="62"/>
      <c r="CZ493" s="62"/>
    </row>
    <row r="494" spans="93:104" ht="14.25" customHeight="1">
      <c r="CO494" s="62"/>
      <c r="CP494" s="63"/>
      <c r="CQ494" s="64"/>
      <c r="CR494" s="62"/>
      <c r="CS494" s="62"/>
      <c r="CT494" s="62"/>
      <c r="CU494" s="62"/>
      <c r="CX494" s="62"/>
      <c r="CZ494" s="62"/>
    </row>
    <row r="495" spans="93:104" ht="14.25" customHeight="1">
      <c r="CO495" s="62"/>
      <c r="CP495" s="63"/>
      <c r="CQ495" s="64"/>
      <c r="CR495" s="62"/>
      <c r="CS495" s="62"/>
      <c r="CT495" s="62"/>
      <c r="CU495" s="62"/>
      <c r="CX495" s="62"/>
      <c r="CZ495" s="62"/>
    </row>
    <row r="496" spans="93:104" ht="14.25" customHeight="1">
      <c r="CO496" s="62"/>
      <c r="CP496" s="63"/>
      <c r="CQ496" s="64"/>
      <c r="CR496" s="62"/>
      <c r="CS496" s="62"/>
      <c r="CT496" s="62"/>
      <c r="CU496" s="62"/>
      <c r="CX496" s="62"/>
      <c r="CZ496" s="62"/>
    </row>
    <row r="497" spans="93:104" ht="14.25" customHeight="1">
      <c r="CO497" s="62"/>
      <c r="CP497" s="63"/>
      <c r="CQ497" s="64"/>
      <c r="CR497" s="62"/>
      <c r="CS497" s="62"/>
      <c r="CT497" s="62"/>
      <c r="CU497" s="62"/>
      <c r="CX497" s="62"/>
      <c r="CZ497" s="62"/>
    </row>
    <row r="498" spans="93:104" ht="14.25" customHeight="1">
      <c r="CO498" s="62"/>
      <c r="CP498" s="63"/>
      <c r="CQ498" s="64"/>
      <c r="CR498" s="62"/>
      <c r="CS498" s="62"/>
      <c r="CT498" s="62"/>
      <c r="CU498" s="62"/>
      <c r="CX498" s="62"/>
      <c r="CZ498" s="62"/>
    </row>
    <row r="499" spans="93:104" ht="14.25" customHeight="1">
      <c r="CO499" s="62"/>
      <c r="CP499" s="63"/>
      <c r="CQ499" s="64"/>
      <c r="CR499" s="62"/>
      <c r="CS499" s="62"/>
      <c r="CT499" s="62"/>
      <c r="CU499" s="62"/>
      <c r="CX499" s="62"/>
      <c r="CZ499" s="62"/>
    </row>
    <row r="500" spans="93:104" ht="14.25" customHeight="1">
      <c r="CO500" s="62"/>
      <c r="CP500" s="63"/>
      <c r="CQ500" s="64"/>
      <c r="CR500" s="62"/>
      <c r="CS500" s="62"/>
      <c r="CT500" s="62"/>
      <c r="CU500" s="62"/>
      <c r="CX500" s="62"/>
      <c r="CZ500" s="62"/>
    </row>
    <row r="501" spans="93:104" ht="14.25" customHeight="1">
      <c r="CO501" s="62"/>
      <c r="CP501" s="63"/>
      <c r="CQ501" s="64"/>
      <c r="CR501" s="62"/>
      <c r="CS501" s="62"/>
      <c r="CT501" s="62"/>
      <c r="CU501" s="62"/>
      <c r="CX501" s="62"/>
      <c r="CZ501" s="62"/>
    </row>
    <row r="502" spans="93:104" ht="14.25" customHeight="1">
      <c r="CO502" s="62"/>
      <c r="CP502" s="63"/>
      <c r="CQ502" s="64"/>
      <c r="CR502" s="62"/>
      <c r="CS502" s="62"/>
      <c r="CT502" s="62"/>
      <c r="CU502" s="62"/>
      <c r="CX502" s="62"/>
      <c r="CZ502" s="62"/>
    </row>
    <row r="503" spans="93:104" ht="14.25" customHeight="1">
      <c r="CO503" s="62"/>
      <c r="CP503" s="63"/>
      <c r="CQ503" s="64"/>
      <c r="CR503" s="62"/>
      <c r="CS503" s="62"/>
      <c r="CT503" s="62"/>
      <c r="CU503" s="62"/>
      <c r="CX503" s="62"/>
      <c r="CZ503" s="62"/>
    </row>
    <row r="504" spans="93:104" ht="14.25" customHeight="1">
      <c r="CO504" s="62"/>
      <c r="CP504" s="63"/>
      <c r="CQ504" s="64"/>
      <c r="CR504" s="62"/>
      <c r="CS504" s="62"/>
      <c r="CT504" s="62"/>
      <c r="CU504" s="62"/>
      <c r="CX504" s="62"/>
      <c r="CZ504" s="62"/>
    </row>
    <row r="505" spans="93:104" ht="14.25" customHeight="1">
      <c r="CO505" s="62"/>
      <c r="CP505" s="63"/>
      <c r="CQ505" s="64"/>
      <c r="CR505" s="62"/>
      <c r="CS505" s="62"/>
      <c r="CT505" s="62"/>
      <c r="CU505" s="62"/>
      <c r="CX505" s="62"/>
      <c r="CZ505" s="62"/>
    </row>
    <row r="506" spans="93:104" ht="14.25" customHeight="1">
      <c r="CO506" s="62"/>
      <c r="CP506" s="63"/>
      <c r="CQ506" s="64"/>
      <c r="CR506" s="62"/>
      <c r="CS506" s="62"/>
      <c r="CT506" s="62"/>
      <c r="CU506" s="62"/>
      <c r="CX506" s="62"/>
      <c r="CZ506" s="62"/>
    </row>
    <row r="507" spans="93:104" ht="14.25" customHeight="1">
      <c r="CO507" s="62"/>
      <c r="CP507" s="63"/>
      <c r="CQ507" s="64"/>
      <c r="CR507" s="62"/>
      <c r="CS507" s="62"/>
      <c r="CT507" s="62"/>
      <c r="CU507" s="62"/>
      <c r="CX507" s="62"/>
      <c r="CZ507" s="62"/>
    </row>
    <row r="508" spans="93:104" ht="14.25" customHeight="1">
      <c r="CO508" s="62"/>
      <c r="CP508" s="63"/>
      <c r="CQ508" s="64"/>
      <c r="CR508" s="62"/>
      <c r="CS508" s="62"/>
      <c r="CT508" s="62"/>
      <c r="CU508" s="62"/>
      <c r="CX508" s="62"/>
      <c r="CZ508" s="62"/>
    </row>
    <row r="509" spans="93:104" ht="14.25" customHeight="1">
      <c r="CO509" s="62"/>
      <c r="CP509" s="63"/>
      <c r="CQ509" s="64"/>
      <c r="CR509" s="62"/>
      <c r="CS509" s="62"/>
      <c r="CT509" s="62"/>
      <c r="CU509" s="62"/>
      <c r="CX509" s="62"/>
      <c r="CZ509" s="62"/>
    </row>
    <row r="510" spans="93:104" ht="14.25" customHeight="1">
      <c r="CO510" s="62"/>
      <c r="CP510" s="63"/>
      <c r="CQ510" s="64"/>
      <c r="CR510" s="62"/>
      <c r="CS510" s="62"/>
      <c r="CT510" s="62"/>
      <c r="CU510" s="62"/>
      <c r="CX510" s="62"/>
      <c r="CZ510" s="62"/>
    </row>
    <row r="511" spans="93:104" ht="14.25" customHeight="1">
      <c r="CO511" s="62"/>
      <c r="CP511" s="63"/>
      <c r="CQ511" s="64"/>
      <c r="CR511" s="62"/>
      <c r="CS511" s="62"/>
      <c r="CT511" s="62"/>
      <c r="CU511" s="62"/>
      <c r="CX511" s="62"/>
      <c r="CZ511" s="62"/>
    </row>
    <row r="512" spans="93:104" ht="14.25" customHeight="1">
      <c r="CO512" s="62"/>
      <c r="CP512" s="63"/>
      <c r="CQ512" s="64"/>
      <c r="CR512" s="62"/>
      <c r="CS512" s="62"/>
      <c r="CT512" s="62"/>
      <c r="CU512" s="62"/>
      <c r="CX512" s="62"/>
      <c r="CZ512" s="62"/>
    </row>
    <row r="513" spans="93:104" ht="14.25" customHeight="1">
      <c r="CO513" s="62"/>
      <c r="CP513" s="63"/>
      <c r="CQ513" s="64"/>
      <c r="CR513" s="62"/>
      <c r="CS513" s="62"/>
      <c r="CT513" s="62"/>
      <c r="CU513" s="62"/>
      <c r="CX513" s="62"/>
      <c r="CZ513" s="62"/>
    </row>
    <row r="514" spans="93:104" ht="14.25" customHeight="1">
      <c r="CO514" s="62"/>
      <c r="CP514" s="63"/>
      <c r="CQ514" s="64"/>
      <c r="CR514" s="62"/>
      <c r="CS514" s="62"/>
      <c r="CT514" s="62"/>
      <c r="CU514" s="62"/>
      <c r="CX514" s="62"/>
      <c r="CZ514" s="62"/>
    </row>
    <row r="515" spans="93:104" ht="14.25" customHeight="1">
      <c r="CO515" s="62"/>
      <c r="CP515" s="63"/>
      <c r="CQ515" s="64"/>
      <c r="CR515" s="62"/>
      <c r="CS515" s="62"/>
      <c r="CT515" s="62"/>
      <c r="CU515" s="62"/>
      <c r="CX515" s="62"/>
      <c r="CZ515" s="62"/>
    </row>
    <row r="516" spans="93:104" ht="14.25" customHeight="1">
      <c r="CO516" s="62"/>
      <c r="CP516" s="63"/>
      <c r="CQ516" s="64"/>
      <c r="CR516" s="62"/>
      <c r="CS516" s="62"/>
      <c r="CT516" s="62"/>
      <c r="CU516" s="62"/>
      <c r="CX516" s="62"/>
      <c r="CZ516" s="62"/>
    </row>
    <row r="517" spans="93:104" ht="14.25" customHeight="1">
      <c r="CO517" s="62"/>
      <c r="CP517" s="63"/>
      <c r="CQ517" s="64"/>
      <c r="CR517" s="62"/>
      <c r="CS517" s="62"/>
      <c r="CT517" s="62"/>
      <c r="CU517" s="62"/>
      <c r="CX517" s="62"/>
      <c r="CZ517" s="62"/>
    </row>
    <row r="518" spans="93:104" ht="14.25" customHeight="1">
      <c r="CO518" s="62"/>
      <c r="CP518" s="63"/>
      <c r="CQ518" s="64"/>
      <c r="CR518" s="62"/>
      <c r="CS518" s="62"/>
      <c r="CT518" s="62"/>
      <c r="CU518" s="62"/>
      <c r="CX518" s="62"/>
      <c r="CZ518" s="62"/>
    </row>
    <row r="519" spans="93:104" ht="14.25" customHeight="1">
      <c r="CO519" s="62"/>
      <c r="CP519" s="63"/>
      <c r="CQ519" s="64"/>
      <c r="CR519" s="62"/>
      <c r="CS519" s="62"/>
      <c r="CT519" s="62"/>
      <c r="CU519" s="62"/>
      <c r="CX519" s="62"/>
      <c r="CZ519" s="62"/>
    </row>
    <row r="520" spans="93:104" ht="14.25" customHeight="1">
      <c r="CO520" s="62"/>
      <c r="CP520" s="63"/>
      <c r="CQ520" s="64"/>
      <c r="CR520" s="62"/>
      <c r="CS520" s="62"/>
      <c r="CT520" s="62"/>
      <c r="CU520" s="62"/>
      <c r="CX520" s="62"/>
      <c r="CZ520" s="62"/>
    </row>
    <row r="521" spans="93:104" ht="14.25" customHeight="1">
      <c r="CO521" s="62"/>
      <c r="CP521" s="63"/>
      <c r="CQ521" s="64"/>
      <c r="CR521" s="62"/>
      <c r="CS521" s="62"/>
      <c r="CT521" s="62"/>
      <c r="CU521" s="62"/>
      <c r="CX521" s="62"/>
      <c r="CZ521" s="62"/>
    </row>
    <row r="522" spans="93:104" ht="14.25" customHeight="1">
      <c r="CO522" s="62"/>
      <c r="CP522" s="63"/>
      <c r="CQ522" s="64"/>
      <c r="CR522" s="62"/>
      <c r="CS522" s="62"/>
      <c r="CT522" s="62"/>
      <c r="CU522" s="62"/>
      <c r="CX522" s="62"/>
      <c r="CZ522" s="62"/>
    </row>
    <row r="523" spans="93:104" ht="14.25" customHeight="1">
      <c r="CO523" s="62"/>
      <c r="CP523" s="63"/>
      <c r="CQ523" s="64"/>
      <c r="CR523" s="62"/>
      <c r="CS523" s="62"/>
      <c r="CT523" s="62"/>
      <c r="CU523" s="62"/>
      <c r="CX523" s="62"/>
      <c r="CZ523" s="62"/>
    </row>
    <row r="524" spans="93:104" ht="14.25" customHeight="1">
      <c r="CO524" s="62"/>
      <c r="CP524" s="63"/>
      <c r="CQ524" s="64"/>
      <c r="CR524" s="62"/>
      <c r="CS524" s="62"/>
      <c r="CT524" s="62"/>
      <c r="CU524" s="62"/>
      <c r="CX524" s="62"/>
      <c r="CZ524" s="62"/>
    </row>
    <row r="525" spans="93:104" ht="14.25" customHeight="1">
      <c r="CO525" s="62"/>
      <c r="CP525" s="63"/>
      <c r="CQ525" s="64"/>
      <c r="CR525" s="62"/>
      <c r="CS525" s="62"/>
      <c r="CT525" s="62"/>
      <c r="CU525" s="62"/>
      <c r="CX525" s="62"/>
      <c r="CZ525" s="62"/>
    </row>
    <row r="526" spans="93:104" ht="14.25" customHeight="1">
      <c r="CO526" s="62"/>
      <c r="CP526" s="63"/>
      <c r="CQ526" s="64"/>
      <c r="CR526" s="62"/>
      <c r="CS526" s="62"/>
      <c r="CT526" s="62"/>
      <c r="CU526" s="62"/>
      <c r="CX526" s="62"/>
      <c r="CZ526" s="62"/>
    </row>
    <row r="527" spans="93:104" ht="14.25" customHeight="1">
      <c r="CO527" s="62"/>
      <c r="CP527" s="63"/>
      <c r="CQ527" s="64"/>
      <c r="CR527" s="62"/>
      <c r="CS527" s="62"/>
      <c r="CT527" s="62"/>
      <c r="CU527" s="62"/>
      <c r="CX527" s="62"/>
      <c r="CZ527" s="62"/>
    </row>
    <row r="528" spans="93:104" ht="14.25" customHeight="1">
      <c r="CO528" s="62"/>
      <c r="CP528" s="63"/>
      <c r="CQ528" s="64"/>
      <c r="CR528" s="62"/>
      <c r="CS528" s="62"/>
      <c r="CT528" s="62"/>
      <c r="CU528" s="62"/>
      <c r="CX528" s="62"/>
      <c r="CZ528" s="62"/>
    </row>
    <row r="529" spans="93:104" ht="14.25" customHeight="1">
      <c r="CO529" s="62"/>
      <c r="CP529" s="63"/>
      <c r="CQ529" s="64"/>
      <c r="CR529" s="62"/>
      <c r="CS529" s="62"/>
      <c r="CT529" s="62"/>
      <c r="CU529" s="62"/>
      <c r="CX529" s="62"/>
      <c r="CZ529" s="62"/>
    </row>
    <row r="530" spans="93:104" ht="14.25" customHeight="1">
      <c r="CO530" s="62"/>
      <c r="CP530" s="63"/>
      <c r="CQ530" s="64"/>
      <c r="CR530" s="62"/>
      <c r="CS530" s="62"/>
      <c r="CT530" s="62"/>
      <c r="CU530" s="62"/>
      <c r="CX530" s="62"/>
      <c r="CZ530" s="62"/>
    </row>
    <row r="531" spans="93:104" ht="14.25" customHeight="1">
      <c r="CO531" s="62"/>
      <c r="CP531" s="63"/>
      <c r="CQ531" s="64"/>
      <c r="CR531" s="62"/>
      <c r="CS531" s="62"/>
      <c r="CT531" s="62"/>
      <c r="CU531" s="62"/>
      <c r="CX531" s="62"/>
      <c r="CZ531" s="62"/>
    </row>
    <row r="532" spans="93:104" ht="14.25" customHeight="1">
      <c r="CO532" s="62"/>
      <c r="CP532" s="63"/>
      <c r="CQ532" s="64"/>
      <c r="CR532" s="62"/>
      <c r="CS532" s="62"/>
      <c r="CT532" s="62"/>
      <c r="CU532" s="62"/>
      <c r="CX532" s="62"/>
      <c r="CZ532" s="62"/>
    </row>
    <row r="533" spans="93:104" ht="14.25" customHeight="1">
      <c r="CO533" s="62"/>
      <c r="CP533" s="63"/>
      <c r="CQ533" s="64"/>
      <c r="CR533" s="62"/>
      <c r="CS533" s="62"/>
      <c r="CT533" s="62"/>
      <c r="CU533" s="62"/>
      <c r="CX533" s="62"/>
      <c r="CZ533" s="62"/>
    </row>
    <row r="534" spans="93:104" ht="14.25" customHeight="1">
      <c r="CO534" s="62"/>
      <c r="CP534" s="63"/>
      <c r="CQ534" s="64"/>
      <c r="CR534" s="62"/>
      <c r="CS534" s="62"/>
      <c r="CT534" s="62"/>
      <c r="CU534" s="62"/>
      <c r="CX534" s="62"/>
      <c r="CZ534" s="62"/>
    </row>
    <row r="535" spans="93:104" ht="14.25" customHeight="1">
      <c r="CO535" s="62"/>
      <c r="CP535" s="63"/>
      <c r="CQ535" s="64"/>
      <c r="CR535" s="62"/>
      <c r="CS535" s="62"/>
      <c r="CT535" s="62"/>
      <c r="CU535" s="62"/>
      <c r="CX535" s="62"/>
      <c r="CZ535" s="62"/>
    </row>
    <row r="536" spans="93:104" ht="14.25" customHeight="1">
      <c r="CO536" s="62"/>
      <c r="CP536" s="63"/>
      <c r="CQ536" s="64"/>
      <c r="CR536" s="62"/>
      <c r="CS536" s="62"/>
      <c r="CT536" s="62"/>
      <c r="CU536" s="62"/>
      <c r="CX536" s="62"/>
      <c r="CZ536" s="62"/>
    </row>
    <row r="537" spans="93:104" ht="14.25" customHeight="1">
      <c r="CO537" s="62"/>
      <c r="CP537" s="63"/>
      <c r="CQ537" s="64"/>
      <c r="CR537" s="62"/>
      <c r="CS537" s="62"/>
      <c r="CT537" s="62"/>
      <c r="CU537" s="62"/>
      <c r="CX537" s="62"/>
      <c r="CZ537" s="62"/>
    </row>
    <row r="538" spans="93:104" ht="14.25" customHeight="1">
      <c r="CO538" s="62"/>
      <c r="CP538" s="63"/>
      <c r="CQ538" s="64"/>
      <c r="CR538" s="62"/>
      <c r="CS538" s="62"/>
      <c r="CT538" s="62"/>
      <c r="CU538" s="62"/>
      <c r="CX538" s="62"/>
      <c r="CZ538" s="62"/>
    </row>
    <row r="539" spans="93:104" ht="14.25" customHeight="1">
      <c r="CO539" s="62"/>
      <c r="CP539" s="63"/>
      <c r="CQ539" s="64"/>
      <c r="CR539" s="62"/>
      <c r="CS539" s="62"/>
      <c r="CT539" s="62"/>
      <c r="CU539" s="62"/>
      <c r="CX539" s="62"/>
      <c r="CZ539" s="62"/>
    </row>
    <row r="540" spans="93:104" ht="14.25" customHeight="1">
      <c r="CO540" s="62"/>
      <c r="CP540" s="63"/>
      <c r="CQ540" s="64"/>
      <c r="CR540" s="62"/>
      <c r="CS540" s="62"/>
      <c r="CT540" s="62"/>
      <c r="CU540" s="62"/>
      <c r="CX540" s="62"/>
      <c r="CZ540" s="62"/>
    </row>
    <row r="541" spans="93:104" ht="14.25" customHeight="1">
      <c r="CO541" s="62"/>
      <c r="CP541" s="63"/>
      <c r="CQ541" s="64"/>
      <c r="CR541" s="62"/>
      <c r="CS541" s="62"/>
      <c r="CT541" s="62"/>
      <c r="CU541" s="62"/>
      <c r="CX541" s="62"/>
      <c r="CZ541" s="62"/>
    </row>
    <row r="542" spans="93:104" ht="14.25" customHeight="1">
      <c r="CO542" s="62"/>
      <c r="CP542" s="63"/>
      <c r="CQ542" s="64"/>
      <c r="CR542" s="62"/>
      <c r="CS542" s="62"/>
      <c r="CT542" s="62"/>
      <c r="CU542" s="62"/>
      <c r="CX542" s="62"/>
      <c r="CZ542" s="62"/>
    </row>
    <row r="543" spans="93:104" ht="14.25" customHeight="1">
      <c r="CO543" s="62"/>
      <c r="CP543" s="63"/>
      <c r="CQ543" s="64"/>
      <c r="CR543" s="62"/>
      <c r="CS543" s="62"/>
      <c r="CT543" s="62"/>
      <c r="CU543" s="62"/>
      <c r="CX543" s="62"/>
      <c r="CZ543" s="62"/>
    </row>
    <row r="544" spans="93:104" ht="14.25" customHeight="1">
      <c r="CO544" s="62"/>
      <c r="CP544" s="63"/>
      <c r="CQ544" s="64"/>
      <c r="CR544" s="62"/>
      <c r="CS544" s="62"/>
      <c r="CT544" s="62"/>
      <c r="CU544" s="62"/>
      <c r="CX544" s="62"/>
      <c r="CZ544" s="62"/>
    </row>
    <row r="545" spans="93:104" ht="14.25" customHeight="1">
      <c r="CO545" s="62"/>
      <c r="CP545" s="63"/>
      <c r="CQ545" s="64"/>
      <c r="CR545" s="62"/>
      <c r="CS545" s="62"/>
      <c r="CT545" s="62"/>
      <c r="CU545" s="62"/>
      <c r="CX545" s="62"/>
      <c r="CZ545" s="62"/>
    </row>
    <row r="546" spans="93:104" ht="14.25" customHeight="1">
      <c r="CO546" s="62"/>
      <c r="CP546" s="63"/>
      <c r="CQ546" s="64"/>
      <c r="CR546" s="62"/>
      <c r="CS546" s="62"/>
      <c r="CT546" s="62"/>
      <c r="CU546" s="62"/>
      <c r="CX546" s="62"/>
      <c r="CZ546" s="62"/>
    </row>
    <row r="547" spans="93:104" ht="14.25" customHeight="1">
      <c r="CO547" s="62"/>
      <c r="CP547" s="63"/>
      <c r="CQ547" s="64"/>
      <c r="CR547" s="62"/>
      <c r="CS547" s="62"/>
      <c r="CT547" s="62"/>
      <c r="CU547" s="62"/>
      <c r="CX547" s="62"/>
      <c r="CZ547" s="62"/>
    </row>
    <row r="548" spans="93:104" ht="14.25" customHeight="1">
      <c r="CO548" s="62"/>
      <c r="CP548" s="63"/>
      <c r="CQ548" s="64"/>
      <c r="CR548" s="62"/>
      <c r="CS548" s="62"/>
      <c r="CT548" s="62"/>
      <c r="CU548" s="62"/>
      <c r="CX548" s="62"/>
      <c r="CZ548" s="62"/>
    </row>
    <row r="549" spans="93:104" ht="14.25" customHeight="1">
      <c r="CO549" s="62"/>
      <c r="CP549" s="63"/>
      <c r="CQ549" s="64"/>
      <c r="CR549" s="62"/>
      <c r="CS549" s="62"/>
      <c r="CT549" s="62"/>
      <c r="CU549" s="62"/>
      <c r="CX549" s="62"/>
      <c r="CZ549" s="62"/>
    </row>
    <row r="550" spans="93:104" ht="14.25" customHeight="1">
      <c r="CO550" s="62"/>
      <c r="CP550" s="63"/>
      <c r="CQ550" s="64"/>
      <c r="CR550" s="62"/>
      <c r="CS550" s="62"/>
      <c r="CT550" s="62"/>
      <c r="CU550" s="62"/>
      <c r="CX550" s="62"/>
      <c r="CZ550" s="62"/>
    </row>
    <row r="551" spans="93:104" ht="14.25" customHeight="1">
      <c r="CO551" s="62"/>
      <c r="CP551" s="63"/>
      <c r="CQ551" s="64"/>
      <c r="CR551" s="62"/>
      <c r="CS551" s="62"/>
      <c r="CT551" s="62"/>
      <c r="CU551" s="62"/>
      <c r="CX551" s="62"/>
      <c r="CZ551" s="62"/>
    </row>
    <row r="552" spans="93:104" ht="14.25" customHeight="1">
      <c r="CO552" s="62"/>
      <c r="CP552" s="63"/>
      <c r="CQ552" s="64"/>
      <c r="CR552" s="62"/>
      <c r="CS552" s="62"/>
      <c r="CT552" s="62"/>
      <c r="CU552" s="62"/>
      <c r="CX552" s="62"/>
      <c r="CZ552" s="62"/>
    </row>
    <row r="553" spans="93:104" ht="14.25" customHeight="1">
      <c r="CO553" s="62"/>
      <c r="CP553" s="63"/>
      <c r="CQ553" s="64"/>
      <c r="CR553" s="62"/>
      <c r="CS553" s="62"/>
      <c r="CT553" s="62"/>
      <c r="CU553" s="62"/>
      <c r="CX553" s="62"/>
      <c r="CZ553" s="62"/>
    </row>
    <row r="554" spans="93:104" ht="14.25" customHeight="1">
      <c r="CO554" s="62"/>
      <c r="CP554" s="63"/>
      <c r="CQ554" s="64"/>
      <c r="CR554" s="62"/>
      <c r="CS554" s="62"/>
      <c r="CT554" s="62"/>
      <c r="CU554" s="62"/>
      <c r="CX554" s="62"/>
      <c r="CZ554" s="62"/>
    </row>
    <row r="555" spans="93:104" ht="14.25" customHeight="1">
      <c r="CO555" s="62"/>
      <c r="CP555" s="63"/>
      <c r="CQ555" s="64"/>
      <c r="CR555" s="62"/>
      <c r="CS555" s="62"/>
      <c r="CT555" s="62"/>
      <c r="CU555" s="62"/>
      <c r="CX555" s="62"/>
      <c r="CZ555" s="62"/>
    </row>
    <row r="556" spans="93:104" ht="14.25" customHeight="1">
      <c r="CO556" s="62"/>
      <c r="CP556" s="63"/>
      <c r="CQ556" s="64"/>
      <c r="CR556" s="62"/>
      <c r="CS556" s="62"/>
      <c r="CT556" s="62"/>
      <c r="CU556" s="62"/>
      <c r="CX556" s="62"/>
      <c r="CZ556" s="62"/>
    </row>
    <row r="557" spans="93:104" ht="14.25" customHeight="1">
      <c r="CO557" s="62"/>
      <c r="CP557" s="63"/>
      <c r="CQ557" s="64"/>
      <c r="CR557" s="62"/>
      <c r="CS557" s="62"/>
      <c r="CT557" s="62"/>
      <c r="CU557" s="62"/>
      <c r="CX557" s="62"/>
      <c r="CZ557" s="62"/>
    </row>
    <row r="558" spans="93:104" ht="14.25" customHeight="1">
      <c r="CO558" s="62"/>
      <c r="CP558" s="63"/>
      <c r="CQ558" s="64"/>
      <c r="CR558" s="62"/>
      <c r="CS558" s="62"/>
      <c r="CT558" s="62"/>
      <c r="CU558" s="62"/>
      <c r="CX558" s="62"/>
      <c r="CZ558" s="62"/>
    </row>
    <row r="559" spans="93:104" ht="14.25" customHeight="1">
      <c r="CO559" s="62"/>
      <c r="CP559" s="63"/>
      <c r="CQ559" s="64"/>
      <c r="CR559" s="62"/>
      <c r="CS559" s="62"/>
      <c r="CT559" s="62"/>
      <c r="CU559" s="62"/>
      <c r="CX559" s="62"/>
      <c r="CZ559" s="62"/>
    </row>
    <row r="560" spans="93:104" ht="14.25" customHeight="1">
      <c r="CO560" s="62"/>
      <c r="CP560" s="63"/>
      <c r="CQ560" s="64"/>
      <c r="CR560" s="62"/>
      <c r="CS560" s="62"/>
      <c r="CT560" s="62"/>
      <c r="CU560" s="62"/>
      <c r="CX560" s="62"/>
      <c r="CZ560" s="62"/>
    </row>
    <row r="561" spans="93:104" ht="14.25" customHeight="1">
      <c r="CO561" s="62"/>
      <c r="CP561" s="63"/>
      <c r="CQ561" s="64"/>
      <c r="CR561" s="62"/>
      <c r="CS561" s="62"/>
      <c r="CT561" s="62"/>
      <c r="CU561" s="62"/>
      <c r="CX561" s="62"/>
      <c r="CZ561" s="62"/>
    </row>
    <row r="562" spans="93:104" ht="14.25" customHeight="1">
      <c r="CO562" s="62"/>
      <c r="CP562" s="63"/>
      <c r="CQ562" s="64"/>
      <c r="CR562" s="62"/>
      <c r="CS562" s="62"/>
      <c r="CT562" s="62"/>
      <c r="CU562" s="62"/>
      <c r="CX562" s="62"/>
      <c r="CZ562" s="62"/>
    </row>
    <row r="563" spans="93:104" ht="14.25" customHeight="1">
      <c r="CO563" s="62"/>
      <c r="CP563" s="63"/>
      <c r="CQ563" s="64"/>
      <c r="CR563" s="62"/>
      <c r="CS563" s="62"/>
      <c r="CT563" s="62"/>
      <c r="CU563" s="62"/>
      <c r="CX563" s="62"/>
      <c r="CZ563" s="62"/>
    </row>
    <row r="564" spans="93:104" ht="14.25" customHeight="1">
      <c r="CO564" s="62"/>
      <c r="CP564" s="63"/>
      <c r="CQ564" s="64"/>
      <c r="CR564" s="62"/>
      <c r="CS564" s="62"/>
      <c r="CT564" s="62"/>
      <c r="CU564" s="62"/>
      <c r="CX564" s="62"/>
      <c r="CZ564" s="62"/>
    </row>
    <row r="565" spans="93:104" ht="14.25" customHeight="1">
      <c r="CO565" s="62"/>
      <c r="CP565" s="63"/>
      <c r="CQ565" s="64"/>
      <c r="CR565" s="62"/>
      <c r="CS565" s="62"/>
      <c r="CT565" s="62"/>
      <c r="CU565" s="62"/>
      <c r="CX565" s="62"/>
      <c r="CZ565" s="62"/>
    </row>
    <row r="566" spans="93:104" ht="14.25" customHeight="1">
      <c r="CO566" s="62"/>
      <c r="CP566" s="63"/>
      <c r="CQ566" s="64"/>
      <c r="CR566" s="62"/>
      <c r="CS566" s="62"/>
      <c r="CT566" s="62"/>
      <c r="CU566" s="62"/>
      <c r="CX566" s="62"/>
      <c r="CZ566" s="62"/>
    </row>
    <row r="567" spans="93:104" ht="14.25" customHeight="1">
      <c r="CO567" s="62"/>
      <c r="CP567" s="63"/>
      <c r="CQ567" s="64"/>
      <c r="CR567" s="62"/>
      <c r="CS567" s="62"/>
      <c r="CT567" s="62"/>
      <c r="CU567" s="62"/>
      <c r="CX567" s="62"/>
      <c r="CZ567" s="62"/>
    </row>
    <row r="568" spans="93:104" ht="14.25" customHeight="1">
      <c r="CO568" s="62"/>
      <c r="CP568" s="63"/>
      <c r="CQ568" s="64"/>
      <c r="CR568" s="62"/>
      <c r="CS568" s="62"/>
      <c r="CT568" s="62"/>
      <c r="CU568" s="62"/>
      <c r="CX568" s="62"/>
      <c r="CZ568" s="62"/>
    </row>
    <row r="569" spans="93:104" ht="14.25" customHeight="1">
      <c r="CO569" s="62"/>
      <c r="CP569" s="63"/>
      <c r="CQ569" s="64"/>
      <c r="CR569" s="62"/>
      <c r="CS569" s="62"/>
      <c r="CT569" s="62"/>
      <c r="CU569" s="62"/>
      <c r="CX569" s="62"/>
      <c r="CZ569" s="62"/>
    </row>
    <row r="570" spans="93:104" ht="14.25" customHeight="1">
      <c r="CO570" s="62"/>
      <c r="CP570" s="63"/>
      <c r="CQ570" s="64"/>
      <c r="CR570" s="62"/>
      <c r="CS570" s="62"/>
      <c r="CT570" s="62"/>
      <c r="CU570" s="62"/>
      <c r="CX570" s="62"/>
      <c r="CZ570" s="62"/>
    </row>
    <row r="571" spans="93:104" ht="14.25" customHeight="1">
      <c r="CO571" s="62"/>
      <c r="CP571" s="63"/>
      <c r="CQ571" s="64"/>
      <c r="CR571" s="62"/>
      <c r="CS571" s="62"/>
      <c r="CT571" s="62"/>
      <c r="CU571" s="62"/>
      <c r="CX571" s="62"/>
      <c r="CZ571" s="62"/>
    </row>
    <row r="572" spans="93:104" ht="14.25" customHeight="1">
      <c r="CO572" s="62"/>
      <c r="CP572" s="63"/>
      <c r="CQ572" s="64"/>
      <c r="CR572" s="62"/>
      <c r="CS572" s="62"/>
      <c r="CT572" s="62"/>
      <c r="CU572" s="62"/>
      <c r="CX572" s="62"/>
      <c r="CZ572" s="62"/>
    </row>
    <row r="573" spans="93:104" ht="14.25" customHeight="1">
      <c r="CO573" s="62"/>
      <c r="CP573" s="63"/>
      <c r="CQ573" s="64"/>
      <c r="CR573" s="62"/>
      <c r="CS573" s="62"/>
      <c r="CT573" s="62"/>
      <c r="CU573" s="62"/>
      <c r="CX573" s="62"/>
      <c r="CZ573" s="62"/>
    </row>
    <row r="574" spans="93:104" ht="14.25" customHeight="1">
      <c r="CO574" s="62"/>
      <c r="CP574" s="63"/>
      <c r="CQ574" s="64"/>
      <c r="CR574" s="62"/>
      <c r="CS574" s="62"/>
      <c r="CT574" s="62"/>
      <c r="CU574" s="62"/>
      <c r="CX574" s="62"/>
      <c r="CZ574" s="62"/>
    </row>
    <row r="575" spans="93:104" ht="14.25" customHeight="1">
      <c r="CO575" s="62"/>
      <c r="CP575" s="63"/>
      <c r="CQ575" s="64"/>
      <c r="CR575" s="62"/>
      <c r="CS575" s="62"/>
      <c r="CT575" s="62"/>
      <c r="CU575" s="62"/>
      <c r="CX575" s="62"/>
      <c r="CZ575" s="62"/>
    </row>
    <row r="576" spans="93:104" ht="14.25" customHeight="1">
      <c r="CO576" s="62"/>
      <c r="CP576" s="63"/>
      <c r="CQ576" s="64"/>
      <c r="CR576" s="62"/>
      <c r="CS576" s="62"/>
      <c r="CT576" s="62"/>
      <c r="CU576" s="62"/>
      <c r="CX576" s="62"/>
      <c r="CZ576" s="62"/>
    </row>
    <row r="577" spans="93:104" ht="14.25" customHeight="1">
      <c r="CO577" s="62"/>
      <c r="CP577" s="63"/>
      <c r="CQ577" s="64"/>
      <c r="CR577" s="62"/>
      <c r="CS577" s="62"/>
      <c r="CT577" s="62"/>
      <c r="CU577" s="62"/>
      <c r="CX577" s="62"/>
      <c r="CZ577" s="62"/>
    </row>
    <row r="578" spans="93:104" ht="14.25" customHeight="1">
      <c r="CO578" s="62"/>
      <c r="CP578" s="63"/>
      <c r="CQ578" s="64"/>
      <c r="CR578" s="62"/>
      <c r="CS578" s="62"/>
      <c r="CT578" s="62"/>
      <c r="CU578" s="62"/>
      <c r="CX578" s="62"/>
      <c r="CZ578" s="62"/>
    </row>
    <row r="579" spans="93:104" ht="14.25" customHeight="1">
      <c r="CO579" s="62"/>
      <c r="CP579" s="63"/>
      <c r="CQ579" s="64"/>
      <c r="CR579" s="62"/>
      <c r="CS579" s="62"/>
      <c r="CT579" s="62"/>
      <c r="CU579" s="62"/>
      <c r="CX579" s="62"/>
      <c r="CZ579" s="62"/>
    </row>
    <row r="580" spans="93:104" ht="14.25" customHeight="1">
      <c r="CO580" s="62"/>
      <c r="CP580" s="63"/>
      <c r="CQ580" s="64"/>
      <c r="CR580" s="62"/>
      <c r="CS580" s="62"/>
      <c r="CT580" s="62"/>
      <c r="CU580" s="62"/>
      <c r="CX580" s="62"/>
      <c r="CZ580" s="62"/>
    </row>
    <row r="581" spans="93:104" ht="14.25" customHeight="1">
      <c r="CO581" s="62"/>
      <c r="CP581" s="63"/>
      <c r="CQ581" s="64"/>
      <c r="CR581" s="62"/>
      <c r="CS581" s="62"/>
      <c r="CT581" s="62"/>
      <c r="CU581" s="62"/>
      <c r="CX581" s="62"/>
      <c r="CZ581" s="62"/>
    </row>
    <row r="582" spans="93:104" ht="14.25" customHeight="1">
      <c r="CO582" s="62"/>
      <c r="CP582" s="63"/>
      <c r="CQ582" s="64"/>
      <c r="CR582" s="62"/>
      <c r="CS582" s="62"/>
      <c r="CT582" s="62"/>
      <c r="CU582" s="62"/>
      <c r="CX582" s="62"/>
      <c r="CZ582" s="62"/>
    </row>
    <row r="583" spans="93:104" ht="14.25" customHeight="1">
      <c r="CO583" s="62"/>
      <c r="CP583" s="63"/>
      <c r="CQ583" s="64"/>
      <c r="CR583" s="62"/>
      <c r="CS583" s="62"/>
      <c r="CT583" s="62"/>
      <c r="CU583" s="62"/>
      <c r="CX583" s="62"/>
      <c r="CZ583" s="62"/>
    </row>
    <row r="584" spans="93:104" ht="14.25" customHeight="1">
      <c r="CO584" s="62"/>
      <c r="CP584" s="63"/>
      <c r="CQ584" s="64"/>
      <c r="CR584" s="62"/>
      <c r="CS584" s="62"/>
      <c r="CT584" s="62"/>
      <c r="CU584" s="62"/>
      <c r="CX584" s="62"/>
      <c r="CZ584" s="62"/>
    </row>
    <row r="585" spans="93:104" ht="14.25" customHeight="1">
      <c r="CO585" s="62"/>
      <c r="CP585" s="63"/>
      <c r="CQ585" s="64"/>
      <c r="CR585" s="62"/>
      <c r="CS585" s="62"/>
      <c r="CT585" s="62"/>
      <c r="CU585" s="62"/>
      <c r="CX585" s="62"/>
      <c r="CZ585" s="62"/>
    </row>
    <row r="586" spans="93:104" ht="14.25" customHeight="1">
      <c r="CO586" s="62"/>
      <c r="CP586" s="63"/>
      <c r="CQ586" s="64"/>
      <c r="CR586" s="62"/>
      <c r="CS586" s="62"/>
      <c r="CT586" s="62"/>
      <c r="CU586" s="62"/>
      <c r="CX586" s="62"/>
      <c r="CZ586" s="62"/>
    </row>
    <row r="587" spans="93:104" ht="14.25" customHeight="1">
      <c r="CO587" s="62"/>
      <c r="CP587" s="63"/>
      <c r="CQ587" s="64"/>
      <c r="CR587" s="62"/>
      <c r="CS587" s="62"/>
      <c r="CT587" s="62"/>
      <c r="CU587" s="62"/>
      <c r="CX587" s="62"/>
      <c r="CZ587" s="62"/>
    </row>
    <row r="588" spans="93:104" ht="14.25" customHeight="1">
      <c r="CO588" s="62"/>
      <c r="CP588" s="63"/>
      <c r="CQ588" s="64"/>
      <c r="CR588" s="62"/>
      <c r="CS588" s="62"/>
      <c r="CT588" s="62"/>
      <c r="CU588" s="62"/>
      <c r="CX588" s="62"/>
      <c r="CZ588" s="62"/>
    </row>
    <row r="589" spans="93:104" ht="14.25" customHeight="1">
      <c r="CO589" s="62"/>
      <c r="CP589" s="63"/>
      <c r="CQ589" s="64"/>
      <c r="CR589" s="62"/>
      <c r="CS589" s="62"/>
      <c r="CT589" s="62"/>
      <c r="CU589" s="62"/>
      <c r="CX589" s="62"/>
      <c r="CZ589" s="62"/>
    </row>
    <row r="590" spans="93:104" ht="14.25" customHeight="1">
      <c r="CO590" s="62"/>
      <c r="CP590" s="63"/>
      <c r="CQ590" s="64"/>
      <c r="CR590" s="62"/>
      <c r="CS590" s="62"/>
      <c r="CT590" s="62"/>
      <c r="CU590" s="62"/>
      <c r="CX590" s="62"/>
      <c r="CZ590" s="62"/>
    </row>
    <row r="591" spans="93:104" ht="14.25" customHeight="1">
      <c r="CO591" s="62"/>
      <c r="CP591" s="63"/>
      <c r="CQ591" s="64"/>
      <c r="CR591" s="62"/>
      <c r="CS591" s="62"/>
      <c r="CT591" s="62"/>
      <c r="CU591" s="62"/>
      <c r="CX591" s="62"/>
      <c r="CZ591" s="62"/>
    </row>
    <row r="592" spans="93:104" ht="14.25" customHeight="1">
      <c r="CO592" s="62"/>
      <c r="CP592" s="63"/>
      <c r="CQ592" s="64"/>
      <c r="CR592" s="62"/>
      <c r="CS592" s="62"/>
      <c r="CT592" s="62"/>
      <c r="CU592" s="62"/>
      <c r="CX592" s="62"/>
      <c r="CZ592" s="62"/>
    </row>
    <row r="593" spans="93:104" ht="14.25" customHeight="1">
      <c r="CO593" s="62"/>
      <c r="CP593" s="63"/>
      <c r="CQ593" s="64"/>
      <c r="CR593" s="62"/>
      <c r="CS593" s="62"/>
      <c r="CT593" s="62"/>
      <c r="CU593" s="62"/>
      <c r="CX593" s="62"/>
      <c r="CZ593" s="62"/>
    </row>
    <row r="594" spans="93:104" ht="14.25" customHeight="1">
      <c r="CO594" s="62"/>
      <c r="CP594" s="63"/>
      <c r="CQ594" s="64"/>
      <c r="CR594" s="62"/>
      <c r="CS594" s="62"/>
      <c r="CT594" s="62"/>
      <c r="CU594" s="62"/>
      <c r="CX594" s="62"/>
      <c r="CZ594" s="62"/>
    </row>
    <row r="595" spans="93:104" ht="14.25" customHeight="1">
      <c r="CO595" s="62"/>
      <c r="CP595" s="63"/>
      <c r="CQ595" s="64"/>
      <c r="CR595" s="62"/>
      <c r="CS595" s="62"/>
      <c r="CT595" s="62"/>
      <c r="CU595" s="62"/>
      <c r="CX595" s="62"/>
      <c r="CZ595" s="62"/>
    </row>
    <row r="596" spans="93:104" ht="14.25" customHeight="1">
      <c r="CO596" s="62"/>
      <c r="CP596" s="63"/>
      <c r="CQ596" s="64"/>
      <c r="CR596" s="62"/>
      <c r="CS596" s="62"/>
      <c r="CT596" s="62"/>
      <c r="CU596" s="62"/>
      <c r="CX596" s="62"/>
      <c r="CZ596" s="62"/>
    </row>
    <row r="597" spans="93:104" ht="14.25" customHeight="1">
      <c r="CO597" s="62"/>
      <c r="CP597" s="63"/>
      <c r="CQ597" s="64"/>
      <c r="CR597" s="62"/>
      <c r="CS597" s="62"/>
      <c r="CT597" s="62"/>
      <c r="CU597" s="62"/>
      <c r="CX597" s="62"/>
      <c r="CZ597" s="62"/>
    </row>
    <row r="598" spans="93:104" ht="14.25" customHeight="1">
      <c r="CO598" s="62"/>
      <c r="CP598" s="63"/>
      <c r="CQ598" s="64"/>
      <c r="CR598" s="62"/>
      <c r="CS598" s="62"/>
      <c r="CT598" s="62"/>
      <c r="CU598" s="62"/>
      <c r="CX598" s="62"/>
      <c r="CZ598" s="62"/>
    </row>
    <row r="599" spans="93:104" ht="14.25" customHeight="1">
      <c r="CO599" s="62"/>
      <c r="CP599" s="63"/>
      <c r="CQ599" s="64"/>
      <c r="CR599" s="62"/>
      <c r="CS599" s="62"/>
      <c r="CT599" s="62"/>
      <c r="CU599" s="62"/>
      <c r="CX599" s="62"/>
      <c r="CZ599" s="62"/>
    </row>
    <row r="600" spans="93:104" ht="14.25" customHeight="1">
      <c r="CO600" s="62"/>
      <c r="CP600" s="63"/>
      <c r="CQ600" s="64"/>
      <c r="CR600" s="62"/>
      <c r="CS600" s="62"/>
      <c r="CT600" s="62"/>
      <c r="CU600" s="62"/>
      <c r="CX600" s="62"/>
      <c r="CZ600" s="62"/>
    </row>
    <row r="601" spans="93:104" ht="14.25" customHeight="1">
      <c r="CO601" s="62"/>
      <c r="CP601" s="63"/>
      <c r="CQ601" s="64"/>
      <c r="CR601" s="62"/>
      <c r="CS601" s="62"/>
      <c r="CT601" s="62"/>
      <c r="CU601" s="62"/>
      <c r="CX601" s="62"/>
      <c r="CZ601" s="62"/>
    </row>
    <row r="602" spans="93:104" ht="14.25" customHeight="1">
      <c r="CO602" s="62"/>
      <c r="CP602" s="63"/>
      <c r="CQ602" s="64"/>
      <c r="CR602" s="62"/>
      <c r="CS602" s="62"/>
      <c r="CT602" s="62"/>
      <c r="CU602" s="62"/>
      <c r="CX602" s="62"/>
      <c r="CZ602" s="62"/>
    </row>
    <row r="603" spans="93:104" ht="14.25" customHeight="1">
      <c r="CO603" s="62"/>
      <c r="CP603" s="63"/>
      <c r="CQ603" s="64"/>
      <c r="CR603" s="62"/>
      <c r="CS603" s="62"/>
      <c r="CT603" s="62"/>
      <c r="CU603" s="62"/>
      <c r="CX603" s="62"/>
      <c r="CZ603" s="62"/>
    </row>
    <row r="604" spans="93:104" ht="14.25" customHeight="1">
      <c r="CO604" s="62"/>
      <c r="CP604" s="63"/>
      <c r="CQ604" s="64"/>
      <c r="CR604" s="62"/>
      <c r="CS604" s="62"/>
      <c r="CT604" s="62"/>
      <c r="CU604" s="62"/>
      <c r="CX604" s="62"/>
      <c r="CZ604" s="62"/>
    </row>
    <row r="605" spans="93:104" ht="14.25" customHeight="1">
      <c r="CO605" s="62"/>
      <c r="CP605" s="63"/>
      <c r="CQ605" s="64"/>
      <c r="CR605" s="62"/>
      <c r="CS605" s="62"/>
      <c r="CT605" s="62"/>
      <c r="CU605" s="62"/>
      <c r="CX605" s="62"/>
      <c r="CZ605" s="62"/>
    </row>
    <row r="606" spans="93:104" ht="14.25" customHeight="1">
      <c r="CO606" s="62"/>
      <c r="CP606" s="63"/>
      <c r="CQ606" s="64"/>
      <c r="CR606" s="62"/>
      <c r="CS606" s="62"/>
      <c r="CT606" s="62"/>
      <c r="CU606" s="62"/>
      <c r="CX606" s="62"/>
      <c r="CZ606" s="62"/>
    </row>
    <row r="607" spans="93:104" ht="14.25" customHeight="1">
      <c r="CO607" s="62"/>
      <c r="CP607" s="63"/>
      <c r="CQ607" s="64"/>
      <c r="CR607" s="62"/>
      <c r="CS607" s="62"/>
      <c r="CT607" s="62"/>
      <c r="CU607" s="62"/>
      <c r="CX607" s="62"/>
      <c r="CZ607" s="62"/>
    </row>
    <row r="608" spans="93:104" ht="14.25" customHeight="1">
      <c r="CO608" s="62"/>
      <c r="CP608" s="63"/>
      <c r="CQ608" s="64"/>
      <c r="CR608" s="62"/>
      <c r="CS608" s="62"/>
      <c r="CT608" s="62"/>
      <c r="CU608" s="62"/>
      <c r="CX608" s="62"/>
      <c r="CZ608" s="62"/>
    </row>
    <row r="609" spans="93:104" ht="14.25" customHeight="1">
      <c r="CO609" s="62"/>
      <c r="CP609" s="63"/>
      <c r="CQ609" s="64"/>
      <c r="CR609" s="62"/>
      <c r="CS609" s="62"/>
      <c r="CT609" s="62"/>
      <c r="CU609" s="62"/>
      <c r="CX609" s="62"/>
      <c r="CZ609" s="62"/>
    </row>
    <row r="610" spans="93:104" ht="14.25" customHeight="1">
      <c r="CO610" s="62"/>
      <c r="CP610" s="63"/>
      <c r="CQ610" s="64"/>
      <c r="CR610" s="62"/>
      <c r="CS610" s="62"/>
      <c r="CT610" s="62"/>
      <c r="CU610" s="62"/>
      <c r="CX610" s="62"/>
      <c r="CZ610" s="62"/>
    </row>
    <row r="611" spans="93:104" ht="14.25" customHeight="1">
      <c r="CO611" s="62"/>
      <c r="CP611" s="63"/>
      <c r="CQ611" s="64"/>
      <c r="CR611" s="62"/>
      <c r="CS611" s="62"/>
      <c r="CT611" s="62"/>
      <c r="CU611" s="62"/>
      <c r="CX611" s="62"/>
      <c r="CZ611" s="62"/>
    </row>
    <row r="612" spans="93:104" ht="14.25" customHeight="1">
      <c r="CO612" s="62"/>
      <c r="CP612" s="63"/>
      <c r="CQ612" s="64"/>
      <c r="CR612" s="62"/>
      <c r="CS612" s="62"/>
      <c r="CT612" s="62"/>
      <c r="CU612" s="62"/>
      <c r="CX612" s="62"/>
      <c r="CZ612" s="62"/>
    </row>
    <row r="613" spans="93:104" ht="14.25" customHeight="1">
      <c r="CO613" s="62"/>
      <c r="CP613" s="63"/>
      <c r="CQ613" s="64"/>
      <c r="CR613" s="62"/>
      <c r="CS613" s="62"/>
      <c r="CT613" s="62"/>
      <c r="CU613" s="62"/>
      <c r="CX613" s="62"/>
      <c r="CZ613" s="62"/>
    </row>
    <row r="614" spans="93:104" ht="14.25" customHeight="1">
      <c r="CO614" s="62"/>
      <c r="CP614" s="63"/>
      <c r="CQ614" s="64"/>
      <c r="CR614" s="62"/>
      <c r="CS614" s="62"/>
      <c r="CT614" s="62"/>
      <c r="CU614" s="62"/>
      <c r="CX614" s="62"/>
      <c r="CZ614" s="62"/>
    </row>
    <row r="615" spans="93:104" ht="14.25" customHeight="1">
      <c r="CO615" s="62"/>
      <c r="CP615" s="63"/>
      <c r="CQ615" s="64"/>
      <c r="CR615" s="62"/>
      <c r="CS615" s="62"/>
      <c r="CT615" s="62"/>
      <c r="CU615" s="62"/>
      <c r="CX615" s="62"/>
      <c r="CZ615" s="62"/>
    </row>
    <row r="616" spans="93:104" ht="14.25" customHeight="1">
      <c r="CO616" s="62"/>
      <c r="CP616" s="63"/>
      <c r="CQ616" s="64"/>
      <c r="CR616" s="62"/>
      <c r="CS616" s="62"/>
      <c r="CT616" s="62"/>
      <c r="CU616" s="62"/>
      <c r="CX616" s="62"/>
      <c r="CZ616" s="62"/>
    </row>
    <row r="617" spans="93:104" ht="14.25" customHeight="1">
      <c r="CO617" s="62"/>
      <c r="CP617" s="63"/>
      <c r="CQ617" s="64"/>
      <c r="CR617" s="62"/>
      <c r="CS617" s="62"/>
      <c r="CT617" s="62"/>
      <c r="CU617" s="62"/>
      <c r="CX617" s="62"/>
      <c r="CZ617" s="62"/>
    </row>
    <row r="618" spans="93:104" ht="14.25" customHeight="1">
      <c r="CO618" s="62"/>
      <c r="CP618" s="63"/>
      <c r="CQ618" s="64"/>
      <c r="CR618" s="62"/>
      <c r="CS618" s="62"/>
      <c r="CT618" s="62"/>
      <c r="CU618" s="62"/>
      <c r="CX618" s="62"/>
      <c r="CZ618" s="62"/>
    </row>
    <row r="619" spans="93:104" ht="14.25" customHeight="1">
      <c r="CO619" s="62"/>
      <c r="CP619" s="63"/>
      <c r="CQ619" s="64"/>
      <c r="CR619" s="62"/>
      <c r="CS619" s="62"/>
      <c r="CT619" s="62"/>
      <c r="CU619" s="62"/>
      <c r="CX619" s="62"/>
      <c r="CZ619" s="62"/>
    </row>
    <row r="620" spans="93:104" ht="14.25" customHeight="1">
      <c r="CO620" s="62"/>
      <c r="CP620" s="63"/>
      <c r="CQ620" s="64"/>
      <c r="CR620" s="62"/>
      <c r="CS620" s="62"/>
      <c r="CT620" s="62"/>
      <c r="CU620" s="62"/>
      <c r="CX620" s="62"/>
      <c r="CZ620" s="62"/>
    </row>
    <row r="621" spans="93:104" ht="14.25" customHeight="1">
      <c r="CO621" s="62"/>
      <c r="CP621" s="63"/>
      <c r="CQ621" s="64"/>
      <c r="CR621" s="62"/>
      <c r="CS621" s="62"/>
      <c r="CT621" s="62"/>
      <c r="CU621" s="62"/>
      <c r="CX621" s="62"/>
      <c r="CZ621" s="62"/>
    </row>
    <row r="622" spans="93:104" ht="14.25" customHeight="1">
      <c r="CO622" s="62"/>
      <c r="CP622" s="63"/>
      <c r="CQ622" s="64"/>
      <c r="CR622" s="62"/>
      <c r="CS622" s="62"/>
      <c r="CT622" s="62"/>
      <c r="CU622" s="62"/>
      <c r="CX622" s="62"/>
      <c r="CZ622" s="62"/>
    </row>
    <row r="623" spans="93:104" ht="14.25" customHeight="1">
      <c r="CO623" s="62"/>
      <c r="CP623" s="63"/>
      <c r="CQ623" s="64"/>
      <c r="CR623" s="62"/>
      <c r="CS623" s="62"/>
      <c r="CT623" s="62"/>
      <c r="CU623" s="62"/>
      <c r="CX623" s="62"/>
      <c r="CZ623" s="62"/>
    </row>
    <row r="624" spans="93:104" ht="14.25" customHeight="1">
      <c r="CO624" s="62"/>
      <c r="CP624" s="63"/>
      <c r="CQ624" s="64"/>
      <c r="CR624" s="62"/>
      <c r="CS624" s="62"/>
      <c r="CT624" s="62"/>
      <c r="CU624" s="62"/>
      <c r="CX624" s="62"/>
      <c r="CZ624" s="62"/>
    </row>
    <row r="625" spans="93:104" ht="14.25" customHeight="1">
      <c r="CO625" s="62"/>
      <c r="CP625" s="63"/>
      <c r="CQ625" s="64"/>
      <c r="CR625" s="62"/>
      <c r="CS625" s="62"/>
      <c r="CT625" s="62"/>
      <c r="CU625" s="62"/>
      <c r="CX625" s="62"/>
      <c r="CZ625" s="62"/>
    </row>
    <row r="626" spans="93:104" ht="14.25" customHeight="1">
      <c r="CO626" s="62"/>
      <c r="CP626" s="63"/>
      <c r="CQ626" s="64"/>
      <c r="CR626" s="62"/>
      <c r="CS626" s="62"/>
      <c r="CT626" s="62"/>
      <c r="CU626" s="62"/>
      <c r="CX626" s="62"/>
      <c r="CZ626" s="62"/>
    </row>
    <row r="627" spans="93:104" ht="14.25" customHeight="1">
      <c r="CO627" s="62"/>
      <c r="CP627" s="63"/>
      <c r="CQ627" s="64"/>
      <c r="CR627" s="62"/>
      <c r="CS627" s="62"/>
      <c r="CT627" s="62"/>
      <c r="CU627" s="62"/>
      <c r="CX627" s="62"/>
      <c r="CZ627" s="62"/>
    </row>
    <row r="628" spans="93:104" ht="14.25" customHeight="1">
      <c r="CO628" s="62"/>
      <c r="CP628" s="63"/>
      <c r="CQ628" s="64"/>
      <c r="CR628" s="62"/>
      <c r="CS628" s="62"/>
      <c r="CT628" s="62"/>
      <c r="CU628" s="62"/>
      <c r="CX628" s="62"/>
      <c r="CZ628" s="62"/>
    </row>
    <row r="629" spans="93:104" ht="14.25" customHeight="1">
      <c r="CO629" s="62"/>
      <c r="CP629" s="63"/>
      <c r="CQ629" s="64"/>
      <c r="CR629" s="62"/>
      <c r="CS629" s="62"/>
      <c r="CT629" s="62"/>
      <c r="CU629" s="62"/>
      <c r="CX629" s="62"/>
      <c r="CZ629" s="62"/>
    </row>
    <row r="630" spans="93:104" ht="14.25" customHeight="1">
      <c r="CO630" s="62"/>
      <c r="CP630" s="63"/>
      <c r="CQ630" s="64"/>
      <c r="CR630" s="62"/>
      <c r="CS630" s="62"/>
      <c r="CT630" s="62"/>
      <c r="CU630" s="62"/>
      <c r="CX630" s="62"/>
      <c r="CZ630" s="62"/>
    </row>
    <row r="631" spans="93:104" ht="14.25" customHeight="1">
      <c r="CO631" s="62"/>
      <c r="CP631" s="63"/>
      <c r="CQ631" s="64"/>
      <c r="CR631" s="62"/>
      <c r="CS631" s="62"/>
      <c r="CT631" s="62"/>
      <c r="CU631" s="62"/>
      <c r="CX631" s="62"/>
      <c r="CZ631" s="62"/>
    </row>
    <row r="632" spans="93:104" ht="14.25" customHeight="1">
      <c r="CO632" s="62"/>
      <c r="CP632" s="63"/>
      <c r="CQ632" s="64"/>
      <c r="CR632" s="62"/>
      <c r="CS632" s="62"/>
      <c r="CT632" s="62"/>
      <c r="CU632" s="62"/>
      <c r="CX632" s="62"/>
      <c r="CZ632" s="62"/>
    </row>
    <row r="633" spans="93:104" ht="14.25" customHeight="1">
      <c r="CO633" s="62"/>
      <c r="CP633" s="63"/>
      <c r="CQ633" s="64"/>
      <c r="CR633" s="62"/>
      <c r="CS633" s="62"/>
      <c r="CT633" s="62"/>
      <c r="CU633" s="62"/>
      <c r="CX633" s="62"/>
      <c r="CZ633" s="62"/>
    </row>
    <row r="634" spans="93:104" ht="14.25" customHeight="1">
      <c r="CO634" s="62"/>
      <c r="CP634" s="63"/>
      <c r="CQ634" s="64"/>
      <c r="CR634" s="62"/>
      <c r="CS634" s="62"/>
      <c r="CT634" s="62"/>
      <c r="CU634" s="62"/>
      <c r="CX634" s="62"/>
      <c r="CZ634" s="62"/>
    </row>
    <row r="635" spans="93:104" ht="14.25" customHeight="1">
      <c r="CO635" s="62"/>
      <c r="CP635" s="63"/>
      <c r="CQ635" s="64"/>
      <c r="CR635" s="62"/>
      <c r="CS635" s="62"/>
      <c r="CT635" s="62"/>
      <c r="CU635" s="62"/>
      <c r="CX635" s="62"/>
      <c r="CZ635" s="62"/>
    </row>
    <row r="636" spans="93:104" ht="14.25" customHeight="1">
      <c r="CO636" s="62"/>
      <c r="CP636" s="63"/>
      <c r="CQ636" s="64"/>
      <c r="CR636" s="62"/>
      <c r="CS636" s="62"/>
      <c r="CT636" s="62"/>
      <c r="CU636" s="62"/>
      <c r="CX636" s="62"/>
      <c r="CZ636" s="62"/>
    </row>
    <row r="637" spans="93:104" ht="14.25" customHeight="1">
      <c r="CO637" s="62"/>
      <c r="CP637" s="63"/>
      <c r="CQ637" s="64"/>
      <c r="CR637" s="62"/>
      <c r="CS637" s="62"/>
      <c r="CT637" s="62"/>
      <c r="CU637" s="62"/>
      <c r="CX637" s="62"/>
      <c r="CZ637" s="62"/>
    </row>
    <row r="638" spans="93:104" ht="14.25" customHeight="1">
      <c r="CO638" s="62"/>
      <c r="CP638" s="63"/>
      <c r="CQ638" s="64"/>
      <c r="CR638" s="62"/>
      <c r="CS638" s="62"/>
      <c r="CT638" s="62"/>
      <c r="CU638" s="62"/>
      <c r="CX638" s="62"/>
      <c r="CZ638" s="62"/>
    </row>
    <row r="639" spans="93:104" ht="14.25" customHeight="1">
      <c r="CO639" s="62"/>
      <c r="CP639" s="63"/>
      <c r="CQ639" s="64"/>
      <c r="CR639" s="62"/>
      <c r="CS639" s="62"/>
      <c r="CT639" s="62"/>
      <c r="CU639" s="62"/>
      <c r="CX639" s="62"/>
      <c r="CZ639" s="62"/>
    </row>
    <row r="640" spans="93:104" ht="14.25" customHeight="1">
      <c r="CO640" s="62"/>
      <c r="CP640" s="63"/>
      <c r="CQ640" s="64"/>
      <c r="CR640" s="62"/>
      <c r="CS640" s="62"/>
      <c r="CT640" s="62"/>
      <c r="CU640" s="62"/>
      <c r="CX640" s="62"/>
      <c r="CZ640" s="62"/>
    </row>
    <row r="641" spans="93:104" ht="14.25" customHeight="1">
      <c r="CO641" s="62"/>
      <c r="CP641" s="63"/>
      <c r="CQ641" s="64"/>
      <c r="CR641" s="62"/>
      <c r="CS641" s="62"/>
      <c r="CT641" s="62"/>
      <c r="CU641" s="62"/>
      <c r="CX641" s="62"/>
      <c r="CZ641" s="62"/>
    </row>
    <row r="642" spans="93:104" ht="14.25" customHeight="1">
      <c r="CO642" s="62"/>
      <c r="CP642" s="63"/>
      <c r="CQ642" s="64"/>
      <c r="CR642" s="62"/>
      <c r="CS642" s="62"/>
      <c r="CT642" s="62"/>
      <c r="CU642" s="62"/>
      <c r="CX642" s="62"/>
      <c r="CZ642" s="62"/>
    </row>
    <row r="643" spans="93:104" ht="14.25" customHeight="1">
      <c r="CO643" s="62"/>
      <c r="CP643" s="63"/>
      <c r="CQ643" s="64"/>
      <c r="CR643" s="62"/>
      <c r="CS643" s="62"/>
      <c r="CT643" s="62"/>
      <c r="CU643" s="62"/>
      <c r="CX643" s="62"/>
      <c r="CZ643" s="62"/>
    </row>
    <row r="644" spans="93:104" ht="14.25" customHeight="1">
      <c r="CO644" s="62"/>
      <c r="CP644" s="63"/>
      <c r="CQ644" s="64"/>
      <c r="CR644" s="62"/>
      <c r="CS644" s="62"/>
      <c r="CT644" s="62"/>
      <c r="CU644" s="62"/>
      <c r="CX644" s="62"/>
      <c r="CZ644" s="62"/>
    </row>
    <row r="645" spans="93:104" ht="14.25" customHeight="1">
      <c r="CO645" s="62"/>
      <c r="CP645" s="63"/>
      <c r="CQ645" s="64"/>
      <c r="CR645" s="62"/>
      <c r="CS645" s="62"/>
      <c r="CT645" s="62"/>
      <c r="CU645" s="62"/>
      <c r="CX645" s="62"/>
      <c r="CZ645" s="62"/>
    </row>
    <row r="646" spans="93:104" ht="14.25" customHeight="1">
      <c r="CO646" s="62"/>
      <c r="CP646" s="63"/>
      <c r="CQ646" s="64"/>
      <c r="CR646" s="62"/>
      <c r="CS646" s="62"/>
      <c r="CT646" s="62"/>
      <c r="CU646" s="62"/>
      <c r="CX646" s="62"/>
      <c r="CZ646" s="62"/>
    </row>
    <row r="647" spans="93:104" ht="14.25" customHeight="1">
      <c r="CO647" s="62"/>
      <c r="CP647" s="63"/>
      <c r="CQ647" s="64"/>
      <c r="CR647" s="62"/>
      <c r="CS647" s="62"/>
      <c r="CT647" s="62"/>
      <c r="CU647" s="62"/>
      <c r="CX647" s="62"/>
      <c r="CZ647" s="62"/>
    </row>
    <row r="648" spans="93:104" ht="14.25" customHeight="1">
      <c r="CO648" s="62"/>
      <c r="CP648" s="63"/>
      <c r="CQ648" s="64"/>
      <c r="CR648" s="62"/>
      <c r="CS648" s="62"/>
      <c r="CT648" s="62"/>
      <c r="CU648" s="62"/>
      <c r="CX648" s="62"/>
      <c r="CZ648" s="62"/>
    </row>
    <row r="649" spans="93:104" ht="14.25" customHeight="1">
      <c r="CO649" s="62"/>
      <c r="CP649" s="63"/>
      <c r="CQ649" s="64"/>
      <c r="CR649" s="62"/>
      <c r="CS649" s="62"/>
      <c r="CT649" s="62"/>
      <c r="CU649" s="62"/>
      <c r="CX649" s="62"/>
      <c r="CZ649" s="62"/>
    </row>
    <row r="650" spans="93:104" ht="14.25" customHeight="1">
      <c r="CO650" s="62"/>
      <c r="CP650" s="63"/>
      <c r="CQ650" s="64"/>
      <c r="CR650" s="62"/>
      <c r="CS650" s="62"/>
      <c r="CT650" s="62"/>
      <c r="CU650" s="62"/>
      <c r="CX650" s="62"/>
      <c r="CZ650" s="62"/>
    </row>
    <row r="651" spans="93:104" ht="14.25" customHeight="1">
      <c r="CO651" s="62"/>
      <c r="CP651" s="63"/>
      <c r="CQ651" s="64"/>
      <c r="CR651" s="62"/>
      <c r="CS651" s="62"/>
      <c r="CT651" s="62"/>
      <c r="CU651" s="62"/>
      <c r="CX651" s="62"/>
      <c r="CZ651" s="62"/>
    </row>
    <row r="652" spans="93:104" ht="14.25" customHeight="1">
      <c r="CO652" s="62"/>
      <c r="CP652" s="63"/>
      <c r="CQ652" s="64"/>
      <c r="CR652" s="62"/>
      <c r="CS652" s="62"/>
      <c r="CT652" s="62"/>
      <c r="CU652" s="62"/>
      <c r="CX652" s="62"/>
      <c r="CZ652" s="62"/>
    </row>
    <row r="653" spans="93:104" ht="14.25" customHeight="1">
      <c r="CO653" s="62"/>
      <c r="CP653" s="63"/>
      <c r="CQ653" s="64"/>
      <c r="CR653" s="62"/>
      <c r="CS653" s="62"/>
      <c r="CT653" s="62"/>
      <c r="CU653" s="62"/>
      <c r="CX653" s="62"/>
      <c r="CZ653" s="62"/>
    </row>
    <row r="654" spans="93:104" ht="14.25" customHeight="1">
      <c r="CO654" s="62"/>
      <c r="CP654" s="63"/>
      <c r="CQ654" s="64"/>
      <c r="CR654" s="62"/>
      <c r="CS654" s="62"/>
      <c r="CT654" s="62"/>
      <c r="CU654" s="62"/>
      <c r="CX654" s="62"/>
      <c r="CZ654" s="62"/>
    </row>
    <row r="655" spans="93:104" ht="14.25" customHeight="1">
      <c r="CO655" s="62"/>
      <c r="CP655" s="63"/>
      <c r="CQ655" s="64"/>
      <c r="CR655" s="62"/>
      <c r="CS655" s="62"/>
      <c r="CT655" s="62"/>
      <c r="CU655" s="62"/>
      <c r="CX655" s="62"/>
      <c r="CZ655" s="62"/>
    </row>
    <row r="656" spans="93:104" ht="14.25" customHeight="1">
      <c r="CO656" s="62"/>
      <c r="CP656" s="63"/>
      <c r="CQ656" s="64"/>
      <c r="CR656" s="62"/>
      <c r="CS656" s="62"/>
      <c r="CT656" s="62"/>
      <c r="CU656" s="62"/>
      <c r="CX656" s="62"/>
      <c r="CZ656" s="62"/>
    </row>
    <row r="657" spans="93:104" ht="14.25" customHeight="1">
      <c r="CO657" s="62"/>
      <c r="CP657" s="63"/>
      <c r="CQ657" s="64"/>
      <c r="CR657" s="62"/>
      <c r="CS657" s="62"/>
      <c r="CT657" s="62"/>
      <c r="CU657" s="62"/>
      <c r="CX657" s="62"/>
      <c r="CZ657" s="62"/>
    </row>
    <row r="658" spans="93:104" ht="14.25" customHeight="1">
      <c r="CO658" s="62"/>
      <c r="CP658" s="63"/>
      <c r="CQ658" s="64"/>
      <c r="CR658" s="62"/>
      <c r="CS658" s="62"/>
      <c r="CT658" s="62"/>
      <c r="CU658" s="62"/>
      <c r="CX658" s="62"/>
      <c r="CZ658" s="62"/>
    </row>
    <row r="659" spans="93:104" ht="14.25" customHeight="1">
      <c r="CO659" s="62"/>
      <c r="CP659" s="63"/>
      <c r="CQ659" s="64"/>
      <c r="CR659" s="62"/>
      <c r="CS659" s="62"/>
      <c r="CT659" s="62"/>
      <c r="CU659" s="62"/>
      <c r="CX659" s="62"/>
      <c r="CZ659" s="62"/>
    </row>
    <row r="660" spans="93:104" ht="14.25" customHeight="1">
      <c r="CO660" s="62"/>
      <c r="CP660" s="63"/>
      <c r="CQ660" s="64"/>
      <c r="CR660" s="62"/>
      <c r="CS660" s="62"/>
      <c r="CT660" s="62"/>
      <c r="CU660" s="62"/>
      <c r="CX660" s="62"/>
      <c r="CZ660" s="62"/>
    </row>
    <row r="661" spans="93:104" ht="14.25" customHeight="1">
      <c r="CO661" s="62"/>
      <c r="CP661" s="63"/>
      <c r="CQ661" s="64"/>
      <c r="CR661" s="62"/>
      <c r="CS661" s="62"/>
      <c r="CT661" s="62"/>
      <c r="CU661" s="62"/>
      <c r="CX661" s="62"/>
      <c r="CZ661" s="62"/>
    </row>
    <row r="662" spans="93:104" ht="14.25" customHeight="1">
      <c r="CO662" s="62"/>
      <c r="CP662" s="63"/>
      <c r="CQ662" s="64"/>
      <c r="CR662" s="62"/>
      <c r="CS662" s="62"/>
      <c r="CT662" s="62"/>
      <c r="CU662" s="62"/>
      <c r="CX662" s="62"/>
      <c r="CZ662" s="62"/>
    </row>
    <row r="663" spans="93:104" ht="14.25" customHeight="1">
      <c r="CO663" s="62"/>
      <c r="CP663" s="63"/>
      <c r="CQ663" s="64"/>
      <c r="CR663" s="62"/>
      <c r="CS663" s="62"/>
      <c r="CT663" s="62"/>
      <c r="CU663" s="62"/>
      <c r="CX663" s="62"/>
      <c r="CZ663" s="62"/>
    </row>
    <row r="664" spans="93:104" ht="14.25" customHeight="1">
      <c r="CO664" s="62"/>
      <c r="CP664" s="63"/>
      <c r="CQ664" s="64"/>
      <c r="CR664" s="62"/>
      <c r="CS664" s="62"/>
      <c r="CT664" s="62"/>
      <c r="CU664" s="62"/>
      <c r="CX664" s="62"/>
      <c r="CZ664" s="62"/>
    </row>
    <row r="665" spans="93:104" ht="14.25" customHeight="1">
      <c r="CO665" s="62"/>
      <c r="CP665" s="63"/>
      <c r="CQ665" s="64"/>
      <c r="CR665" s="62"/>
      <c r="CS665" s="62"/>
      <c r="CT665" s="62"/>
      <c r="CU665" s="62"/>
      <c r="CX665" s="62"/>
      <c r="CZ665" s="62"/>
    </row>
    <row r="666" spans="93:104" ht="14.25" customHeight="1">
      <c r="CO666" s="62"/>
      <c r="CP666" s="63"/>
      <c r="CQ666" s="64"/>
      <c r="CR666" s="62"/>
      <c r="CS666" s="62"/>
      <c r="CT666" s="62"/>
      <c r="CU666" s="62"/>
      <c r="CX666" s="62"/>
      <c r="CZ666" s="62"/>
    </row>
    <row r="667" spans="93:104" ht="14.25" customHeight="1">
      <c r="CO667" s="62"/>
      <c r="CP667" s="63"/>
      <c r="CQ667" s="64"/>
      <c r="CR667" s="62"/>
      <c r="CS667" s="62"/>
      <c r="CT667" s="62"/>
      <c r="CU667" s="62"/>
      <c r="CX667" s="62"/>
      <c r="CZ667" s="62"/>
    </row>
    <row r="668" spans="93:104" ht="14.25" customHeight="1">
      <c r="CO668" s="62"/>
      <c r="CP668" s="63"/>
      <c r="CQ668" s="64"/>
      <c r="CR668" s="62"/>
      <c r="CS668" s="62"/>
      <c r="CT668" s="62"/>
      <c r="CU668" s="62"/>
      <c r="CX668" s="62"/>
      <c r="CZ668" s="62"/>
    </row>
    <row r="669" spans="93:104" ht="14.25" customHeight="1">
      <c r="CO669" s="62"/>
      <c r="CP669" s="63"/>
      <c r="CQ669" s="64"/>
      <c r="CR669" s="62"/>
      <c r="CS669" s="62"/>
      <c r="CT669" s="62"/>
      <c r="CU669" s="62"/>
      <c r="CX669" s="62"/>
      <c r="CZ669" s="62"/>
    </row>
    <row r="670" spans="93:104" ht="14.25" customHeight="1">
      <c r="CO670" s="62"/>
      <c r="CP670" s="63"/>
      <c r="CQ670" s="64"/>
      <c r="CR670" s="62"/>
      <c r="CS670" s="62"/>
      <c r="CT670" s="62"/>
      <c r="CU670" s="62"/>
      <c r="CX670" s="62"/>
      <c r="CZ670" s="62"/>
    </row>
    <row r="671" spans="93:104" ht="14.25" customHeight="1">
      <c r="CO671" s="62"/>
      <c r="CP671" s="63"/>
      <c r="CQ671" s="64"/>
      <c r="CR671" s="62"/>
      <c r="CS671" s="62"/>
      <c r="CT671" s="62"/>
      <c r="CU671" s="62"/>
      <c r="CX671" s="62"/>
      <c r="CZ671" s="62"/>
    </row>
    <row r="672" spans="93:104" ht="14.25" customHeight="1">
      <c r="CO672" s="62"/>
      <c r="CP672" s="63"/>
      <c r="CQ672" s="64"/>
      <c r="CR672" s="62"/>
      <c r="CS672" s="62"/>
      <c r="CT672" s="62"/>
      <c r="CU672" s="62"/>
      <c r="CX672" s="62"/>
      <c r="CZ672" s="62"/>
    </row>
    <row r="673" spans="93:104" ht="14.25" customHeight="1">
      <c r="CO673" s="62"/>
      <c r="CP673" s="63"/>
      <c r="CQ673" s="64"/>
      <c r="CR673" s="62"/>
      <c r="CS673" s="62"/>
      <c r="CT673" s="62"/>
      <c r="CU673" s="62"/>
      <c r="CX673" s="62"/>
      <c r="CZ673" s="62"/>
    </row>
    <row r="674" spans="93:104" ht="14.25" customHeight="1">
      <c r="CO674" s="62"/>
      <c r="CP674" s="63"/>
      <c r="CQ674" s="64"/>
      <c r="CR674" s="62"/>
      <c r="CS674" s="62"/>
      <c r="CT674" s="62"/>
      <c r="CU674" s="62"/>
      <c r="CX674" s="62"/>
      <c r="CZ674" s="62"/>
    </row>
    <row r="675" spans="93:104" ht="14.25" customHeight="1">
      <c r="CO675" s="62"/>
      <c r="CP675" s="63"/>
      <c r="CQ675" s="64"/>
      <c r="CR675" s="62"/>
      <c r="CS675" s="62"/>
      <c r="CT675" s="62"/>
      <c r="CU675" s="62"/>
      <c r="CX675" s="62"/>
      <c r="CZ675" s="62"/>
    </row>
    <row r="676" spans="93:104" ht="14.25" customHeight="1">
      <c r="CO676" s="62"/>
      <c r="CP676" s="63"/>
      <c r="CQ676" s="64"/>
      <c r="CR676" s="62"/>
      <c r="CS676" s="62"/>
      <c r="CT676" s="62"/>
      <c r="CU676" s="62"/>
      <c r="CX676" s="62"/>
      <c r="CZ676" s="62"/>
    </row>
    <row r="677" spans="93:104" ht="14.25" customHeight="1">
      <c r="CO677" s="62"/>
      <c r="CP677" s="63"/>
      <c r="CQ677" s="64"/>
      <c r="CR677" s="62"/>
      <c r="CS677" s="62"/>
      <c r="CT677" s="62"/>
      <c r="CU677" s="62"/>
      <c r="CX677" s="62"/>
      <c r="CZ677" s="62"/>
    </row>
    <row r="678" spans="93:104" ht="14.25" customHeight="1">
      <c r="CO678" s="62"/>
      <c r="CP678" s="63"/>
      <c r="CQ678" s="64"/>
      <c r="CR678" s="62"/>
      <c r="CS678" s="62"/>
      <c r="CT678" s="62"/>
      <c r="CU678" s="62"/>
      <c r="CX678" s="62"/>
      <c r="CZ678" s="62"/>
    </row>
    <row r="679" spans="93:104" ht="14.25" customHeight="1">
      <c r="CO679" s="62"/>
      <c r="CP679" s="63"/>
      <c r="CQ679" s="64"/>
      <c r="CR679" s="62"/>
      <c r="CS679" s="62"/>
      <c r="CT679" s="62"/>
      <c r="CU679" s="62"/>
      <c r="CX679" s="62"/>
      <c r="CZ679" s="62"/>
    </row>
    <row r="680" spans="93:104" ht="14.25" customHeight="1">
      <c r="CO680" s="62"/>
      <c r="CP680" s="63"/>
      <c r="CQ680" s="64"/>
      <c r="CR680" s="62"/>
      <c r="CS680" s="62"/>
      <c r="CT680" s="62"/>
      <c r="CU680" s="62"/>
      <c r="CX680" s="62"/>
      <c r="CZ680" s="62"/>
    </row>
    <row r="681" spans="93:104" ht="14.25" customHeight="1">
      <c r="CO681" s="62"/>
      <c r="CP681" s="63"/>
      <c r="CQ681" s="64"/>
      <c r="CR681" s="62"/>
      <c r="CS681" s="62"/>
      <c r="CT681" s="62"/>
      <c r="CU681" s="62"/>
      <c r="CX681" s="62"/>
      <c r="CZ681" s="62"/>
    </row>
    <row r="682" spans="93:104" ht="14.25" customHeight="1">
      <c r="CO682" s="62"/>
      <c r="CP682" s="63"/>
      <c r="CQ682" s="64"/>
      <c r="CR682" s="62"/>
      <c r="CS682" s="62"/>
      <c r="CT682" s="62"/>
      <c r="CU682" s="62"/>
      <c r="CX682" s="62"/>
      <c r="CZ682" s="62"/>
    </row>
    <row r="683" spans="93:104" ht="14.25" customHeight="1">
      <c r="CO683" s="62"/>
      <c r="CP683" s="63"/>
      <c r="CQ683" s="64"/>
      <c r="CR683" s="62"/>
      <c r="CS683" s="62"/>
      <c r="CT683" s="62"/>
      <c r="CU683" s="62"/>
      <c r="CX683" s="62"/>
      <c r="CZ683" s="62"/>
    </row>
    <row r="684" spans="93:104" ht="14.25" customHeight="1">
      <c r="CO684" s="62"/>
      <c r="CP684" s="63"/>
      <c r="CQ684" s="64"/>
      <c r="CR684" s="62"/>
      <c r="CS684" s="62"/>
      <c r="CT684" s="62"/>
      <c r="CU684" s="62"/>
      <c r="CX684" s="62"/>
      <c r="CZ684" s="62"/>
    </row>
    <row r="685" spans="93:104" ht="14.25" customHeight="1">
      <c r="CO685" s="62"/>
      <c r="CP685" s="63"/>
      <c r="CQ685" s="64"/>
      <c r="CR685" s="62"/>
      <c r="CS685" s="62"/>
      <c r="CT685" s="62"/>
      <c r="CU685" s="62"/>
      <c r="CX685" s="62"/>
      <c r="CZ685" s="62"/>
    </row>
    <row r="686" spans="93:104" ht="14.25" customHeight="1">
      <c r="CO686" s="62"/>
      <c r="CP686" s="63"/>
      <c r="CQ686" s="64"/>
      <c r="CR686" s="62"/>
      <c r="CS686" s="62"/>
      <c r="CT686" s="62"/>
      <c r="CU686" s="62"/>
      <c r="CX686" s="62"/>
      <c r="CZ686" s="62"/>
    </row>
    <row r="687" spans="93:104" ht="14.25" customHeight="1">
      <c r="CO687" s="62"/>
      <c r="CP687" s="63"/>
      <c r="CQ687" s="64"/>
      <c r="CR687" s="62"/>
      <c r="CS687" s="62"/>
      <c r="CT687" s="62"/>
      <c r="CU687" s="62"/>
      <c r="CX687" s="62"/>
      <c r="CZ687" s="62"/>
    </row>
    <row r="688" spans="93:104" ht="14.25" customHeight="1">
      <c r="CO688" s="62"/>
      <c r="CP688" s="63"/>
      <c r="CQ688" s="64"/>
      <c r="CR688" s="62"/>
      <c r="CS688" s="62"/>
      <c r="CT688" s="62"/>
      <c r="CU688" s="62"/>
      <c r="CX688" s="62"/>
      <c r="CZ688" s="62"/>
    </row>
    <row r="689" spans="93:104" ht="14.25" customHeight="1">
      <c r="CO689" s="62"/>
      <c r="CP689" s="63"/>
      <c r="CQ689" s="64"/>
      <c r="CR689" s="62"/>
      <c r="CS689" s="62"/>
      <c r="CT689" s="62"/>
      <c r="CU689" s="62"/>
      <c r="CX689" s="62"/>
      <c r="CZ689" s="62"/>
    </row>
    <row r="690" spans="93:104" ht="14.25" customHeight="1">
      <c r="CO690" s="62"/>
      <c r="CP690" s="63"/>
      <c r="CQ690" s="64"/>
      <c r="CR690" s="62"/>
      <c r="CS690" s="62"/>
      <c r="CT690" s="62"/>
      <c r="CU690" s="62"/>
      <c r="CX690" s="62"/>
      <c r="CZ690" s="62"/>
    </row>
    <row r="691" spans="93:104" ht="14.25" customHeight="1">
      <c r="CO691" s="62"/>
      <c r="CP691" s="63"/>
      <c r="CQ691" s="64"/>
      <c r="CR691" s="62"/>
      <c r="CS691" s="62"/>
      <c r="CT691" s="62"/>
      <c r="CU691" s="62"/>
      <c r="CX691" s="62"/>
      <c r="CZ691" s="62"/>
    </row>
    <row r="692" spans="93:104" ht="14.25" customHeight="1">
      <c r="CO692" s="62"/>
      <c r="CP692" s="63"/>
      <c r="CQ692" s="64"/>
      <c r="CR692" s="62"/>
      <c r="CS692" s="62"/>
      <c r="CT692" s="62"/>
      <c r="CU692" s="62"/>
      <c r="CX692" s="62"/>
      <c r="CZ692" s="62"/>
    </row>
    <row r="693" spans="93:104" ht="14.25" customHeight="1">
      <c r="CO693" s="62"/>
      <c r="CP693" s="63"/>
      <c r="CQ693" s="64"/>
      <c r="CR693" s="62"/>
      <c r="CS693" s="62"/>
      <c r="CT693" s="62"/>
      <c r="CU693" s="62"/>
      <c r="CX693" s="62"/>
      <c r="CZ693" s="62"/>
    </row>
    <row r="694" spans="93:104" ht="14.25" customHeight="1">
      <c r="CO694" s="62"/>
      <c r="CP694" s="63"/>
      <c r="CQ694" s="64"/>
      <c r="CR694" s="62"/>
      <c r="CS694" s="62"/>
      <c r="CT694" s="62"/>
      <c r="CU694" s="62"/>
      <c r="CX694" s="62"/>
      <c r="CZ694" s="62"/>
    </row>
    <row r="695" spans="93:104" ht="14.25" customHeight="1">
      <c r="CO695" s="62"/>
      <c r="CP695" s="63"/>
      <c r="CQ695" s="64"/>
      <c r="CR695" s="62"/>
      <c r="CS695" s="62"/>
      <c r="CT695" s="62"/>
      <c r="CU695" s="62"/>
      <c r="CX695" s="62"/>
      <c r="CZ695" s="62"/>
    </row>
    <row r="696" spans="93:104" ht="14.25" customHeight="1">
      <c r="CO696" s="62"/>
      <c r="CP696" s="63"/>
      <c r="CQ696" s="64"/>
      <c r="CR696" s="62"/>
      <c r="CS696" s="62"/>
      <c r="CT696" s="62"/>
      <c r="CU696" s="62"/>
      <c r="CX696" s="62"/>
      <c r="CZ696" s="62"/>
    </row>
    <row r="697" spans="93:104" ht="14.25" customHeight="1">
      <c r="CO697" s="62"/>
      <c r="CP697" s="63"/>
      <c r="CQ697" s="64"/>
      <c r="CR697" s="62"/>
      <c r="CS697" s="62"/>
      <c r="CT697" s="62"/>
      <c r="CU697" s="62"/>
      <c r="CX697" s="62"/>
      <c r="CZ697" s="62"/>
    </row>
    <row r="698" spans="93:104" ht="14.25" customHeight="1">
      <c r="CO698" s="62"/>
      <c r="CP698" s="63"/>
      <c r="CQ698" s="64"/>
      <c r="CR698" s="62"/>
      <c r="CS698" s="62"/>
      <c r="CT698" s="62"/>
      <c r="CU698" s="62"/>
      <c r="CX698" s="62"/>
      <c r="CZ698" s="62"/>
    </row>
    <row r="699" spans="93:104" ht="14.25" customHeight="1">
      <c r="CO699" s="62"/>
      <c r="CP699" s="63"/>
      <c r="CQ699" s="64"/>
      <c r="CR699" s="62"/>
      <c r="CS699" s="62"/>
      <c r="CT699" s="62"/>
      <c r="CU699" s="62"/>
      <c r="CX699" s="62"/>
      <c r="CZ699" s="62"/>
    </row>
    <row r="700" spans="93:104" ht="14.25" customHeight="1">
      <c r="CO700" s="62"/>
      <c r="CP700" s="63"/>
      <c r="CQ700" s="64"/>
      <c r="CR700" s="62"/>
      <c r="CS700" s="62"/>
      <c r="CT700" s="62"/>
      <c r="CU700" s="62"/>
      <c r="CX700" s="62"/>
      <c r="CZ700" s="62"/>
    </row>
    <row r="701" spans="93:104" ht="14.25" customHeight="1">
      <c r="CO701" s="62"/>
      <c r="CP701" s="63"/>
      <c r="CQ701" s="64"/>
      <c r="CR701" s="62"/>
      <c r="CS701" s="62"/>
      <c r="CT701" s="62"/>
      <c r="CU701" s="62"/>
      <c r="CX701" s="62"/>
      <c r="CZ701" s="62"/>
    </row>
    <row r="702" spans="93:104" ht="14.25" customHeight="1">
      <c r="CO702" s="62"/>
      <c r="CP702" s="63"/>
      <c r="CQ702" s="64"/>
      <c r="CR702" s="62"/>
      <c r="CS702" s="62"/>
      <c r="CT702" s="62"/>
      <c r="CU702" s="62"/>
      <c r="CX702" s="62"/>
      <c r="CZ702" s="62"/>
    </row>
    <row r="703" spans="93:104" ht="14.25" customHeight="1">
      <c r="CO703" s="62"/>
      <c r="CP703" s="63"/>
      <c r="CQ703" s="64"/>
      <c r="CR703" s="62"/>
      <c r="CS703" s="62"/>
      <c r="CT703" s="62"/>
      <c r="CU703" s="62"/>
      <c r="CX703" s="62"/>
      <c r="CZ703" s="62"/>
    </row>
    <row r="704" spans="93:104" ht="14.25" customHeight="1">
      <c r="CO704" s="62"/>
      <c r="CP704" s="63"/>
      <c r="CQ704" s="64"/>
      <c r="CR704" s="62"/>
      <c r="CS704" s="62"/>
      <c r="CT704" s="62"/>
      <c r="CU704" s="62"/>
      <c r="CX704" s="62"/>
      <c r="CZ704" s="62"/>
    </row>
    <row r="705" spans="93:104" ht="14.25" customHeight="1">
      <c r="CO705" s="62"/>
      <c r="CP705" s="63"/>
      <c r="CQ705" s="64"/>
      <c r="CR705" s="62"/>
      <c r="CS705" s="62"/>
      <c r="CT705" s="62"/>
      <c r="CU705" s="62"/>
      <c r="CX705" s="62"/>
      <c r="CZ705" s="62"/>
    </row>
    <row r="706" spans="93:104" ht="14.25" customHeight="1">
      <c r="CO706" s="62"/>
      <c r="CP706" s="63"/>
      <c r="CQ706" s="64"/>
      <c r="CR706" s="62"/>
      <c r="CS706" s="62"/>
      <c r="CT706" s="62"/>
      <c r="CU706" s="62"/>
      <c r="CX706" s="62"/>
      <c r="CZ706" s="62"/>
    </row>
    <row r="707" spans="93:104" ht="14.25" customHeight="1">
      <c r="CO707" s="62"/>
      <c r="CP707" s="63"/>
      <c r="CQ707" s="64"/>
      <c r="CR707" s="62"/>
      <c r="CS707" s="62"/>
      <c r="CT707" s="62"/>
      <c r="CU707" s="62"/>
      <c r="CX707" s="62"/>
      <c r="CZ707" s="62"/>
    </row>
    <row r="708" spans="93:104" ht="14.25" customHeight="1">
      <c r="CO708" s="62"/>
      <c r="CP708" s="63"/>
      <c r="CQ708" s="64"/>
      <c r="CR708" s="62"/>
      <c r="CS708" s="62"/>
      <c r="CT708" s="62"/>
      <c r="CU708" s="62"/>
      <c r="CX708" s="62"/>
      <c r="CZ708" s="62"/>
    </row>
    <row r="709" spans="93:104" ht="14.25" customHeight="1">
      <c r="CO709" s="62"/>
      <c r="CP709" s="63"/>
      <c r="CQ709" s="64"/>
      <c r="CR709" s="62"/>
      <c r="CS709" s="62"/>
      <c r="CT709" s="62"/>
      <c r="CU709" s="62"/>
      <c r="CX709" s="62"/>
      <c r="CZ709" s="62"/>
    </row>
    <row r="710" spans="93:104" ht="14.25" customHeight="1">
      <c r="CO710" s="62"/>
      <c r="CP710" s="63"/>
      <c r="CQ710" s="64"/>
      <c r="CR710" s="62"/>
      <c r="CS710" s="62"/>
      <c r="CT710" s="62"/>
      <c r="CU710" s="62"/>
      <c r="CX710" s="62"/>
      <c r="CZ710" s="62"/>
    </row>
    <row r="711" spans="93:104" ht="14.25" customHeight="1">
      <c r="CO711" s="62"/>
      <c r="CP711" s="63"/>
      <c r="CQ711" s="64"/>
      <c r="CR711" s="62"/>
      <c r="CS711" s="62"/>
      <c r="CT711" s="62"/>
      <c r="CU711" s="62"/>
      <c r="CX711" s="62"/>
      <c r="CZ711" s="62"/>
    </row>
    <row r="712" spans="93:104" ht="14.25" customHeight="1">
      <c r="CO712" s="62"/>
      <c r="CP712" s="63"/>
      <c r="CQ712" s="64"/>
      <c r="CR712" s="62"/>
      <c r="CS712" s="62"/>
      <c r="CT712" s="62"/>
      <c r="CU712" s="62"/>
      <c r="CX712" s="62"/>
      <c r="CZ712" s="62"/>
    </row>
    <row r="713" spans="93:104" ht="14.25" customHeight="1">
      <c r="CO713" s="62"/>
      <c r="CP713" s="63"/>
      <c r="CQ713" s="64"/>
      <c r="CR713" s="62"/>
      <c r="CS713" s="62"/>
      <c r="CT713" s="62"/>
      <c r="CU713" s="62"/>
      <c r="CX713" s="62"/>
      <c r="CZ713" s="62"/>
    </row>
    <row r="714" spans="93:104" ht="14.25" customHeight="1">
      <c r="CO714" s="62"/>
      <c r="CP714" s="63"/>
      <c r="CQ714" s="64"/>
      <c r="CR714" s="62"/>
      <c r="CS714" s="62"/>
      <c r="CT714" s="62"/>
      <c r="CU714" s="62"/>
      <c r="CX714" s="62"/>
      <c r="CZ714" s="62"/>
    </row>
    <row r="715" spans="93:104" ht="14.25" customHeight="1">
      <c r="CO715" s="62"/>
      <c r="CP715" s="63"/>
      <c r="CQ715" s="64"/>
      <c r="CR715" s="62"/>
      <c r="CS715" s="62"/>
      <c r="CT715" s="62"/>
      <c r="CU715" s="62"/>
      <c r="CX715" s="62"/>
      <c r="CZ715" s="62"/>
    </row>
    <row r="716" spans="93:104" ht="14.25" customHeight="1">
      <c r="CO716" s="62"/>
      <c r="CP716" s="63"/>
      <c r="CQ716" s="64"/>
      <c r="CR716" s="62"/>
      <c r="CS716" s="62"/>
      <c r="CT716" s="62"/>
      <c r="CU716" s="62"/>
      <c r="CX716" s="62"/>
      <c r="CZ716" s="62"/>
    </row>
    <row r="717" spans="93:104" ht="14.25" customHeight="1">
      <c r="CO717" s="62"/>
      <c r="CP717" s="63"/>
      <c r="CQ717" s="64"/>
      <c r="CR717" s="62"/>
      <c r="CS717" s="62"/>
      <c r="CT717" s="62"/>
      <c r="CU717" s="62"/>
      <c r="CX717" s="62"/>
      <c r="CZ717" s="62"/>
    </row>
    <row r="718" spans="93:104" ht="14.25" customHeight="1">
      <c r="CO718" s="62"/>
      <c r="CP718" s="63"/>
      <c r="CQ718" s="64"/>
      <c r="CR718" s="62"/>
      <c r="CS718" s="62"/>
      <c r="CT718" s="62"/>
      <c r="CU718" s="62"/>
      <c r="CX718" s="62"/>
      <c r="CZ718" s="62"/>
    </row>
    <row r="719" spans="93:104" ht="14.25" customHeight="1">
      <c r="CO719" s="62"/>
      <c r="CP719" s="63"/>
      <c r="CQ719" s="64"/>
      <c r="CR719" s="62"/>
      <c r="CS719" s="62"/>
      <c r="CT719" s="62"/>
      <c r="CU719" s="62"/>
      <c r="CX719" s="62"/>
      <c r="CZ719" s="62"/>
    </row>
    <row r="720" spans="93:104" ht="14.25" customHeight="1">
      <c r="CO720" s="62"/>
      <c r="CP720" s="63"/>
      <c r="CQ720" s="64"/>
      <c r="CR720" s="62"/>
      <c r="CS720" s="62"/>
      <c r="CT720" s="62"/>
      <c r="CU720" s="62"/>
      <c r="CX720" s="62"/>
      <c r="CZ720" s="62"/>
    </row>
    <row r="721" spans="93:104" ht="14.25" customHeight="1">
      <c r="CO721" s="62"/>
      <c r="CP721" s="63"/>
      <c r="CQ721" s="64"/>
      <c r="CR721" s="62"/>
      <c r="CS721" s="62"/>
      <c r="CT721" s="62"/>
      <c r="CU721" s="62"/>
      <c r="CX721" s="62"/>
      <c r="CZ721" s="62"/>
    </row>
    <row r="722" spans="93:104" ht="14.25" customHeight="1">
      <c r="CO722" s="62"/>
      <c r="CP722" s="63"/>
      <c r="CQ722" s="64"/>
      <c r="CR722" s="62"/>
      <c r="CS722" s="62"/>
      <c r="CT722" s="62"/>
      <c r="CU722" s="62"/>
      <c r="CX722" s="62"/>
      <c r="CZ722" s="62"/>
    </row>
    <row r="723" spans="93:104" ht="14.25" customHeight="1">
      <c r="CO723" s="62"/>
      <c r="CP723" s="63"/>
      <c r="CQ723" s="64"/>
      <c r="CR723" s="62"/>
      <c r="CS723" s="62"/>
      <c r="CT723" s="62"/>
      <c r="CU723" s="62"/>
      <c r="CX723" s="62"/>
      <c r="CZ723" s="62"/>
    </row>
    <row r="724" spans="93:104" ht="14.25" customHeight="1">
      <c r="CO724" s="62"/>
      <c r="CP724" s="63"/>
      <c r="CQ724" s="64"/>
      <c r="CR724" s="62"/>
      <c r="CS724" s="62"/>
      <c r="CT724" s="62"/>
      <c r="CU724" s="62"/>
      <c r="CX724" s="62"/>
      <c r="CZ724" s="62"/>
    </row>
    <row r="725" spans="93:104" ht="14.25" customHeight="1">
      <c r="CO725" s="62"/>
      <c r="CP725" s="63"/>
      <c r="CQ725" s="64"/>
      <c r="CR725" s="62"/>
      <c r="CS725" s="62"/>
      <c r="CT725" s="62"/>
      <c r="CU725" s="62"/>
      <c r="CX725" s="62"/>
      <c r="CZ725" s="62"/>
    </row>
    <row r="726" spans="93:104" ht="14.25" customHeight="1">
      <c r="CO726" s="62"/>
      <c r="CP726" s="63"/>
      <c r="CQ726" s="64"/>
      <c r="CR726" s="62"/>
      <c r="CS726" s="62"/>
      <c r="CT726" s="62"/>
      <c r="CU726" s="62"/>
      <c r="CX726" s="62"/>
      <c r="CZ726" s="62"/>
    </row>
    <row r="727" spans="93:104" ht="14.25" customHeight="1">
      <c r="CO727" s="62"/>
      <c r="CP727" s="63"/>
      <c r="CQ727" s="64"/>
      <c r="CR727" s="62"/>
      <c r="CS727" s="62"/>
      <c r="CT727" s="62"/>
      <c r="CU727" s="62"/>
      <c r="CX727" s="62"/>
      <c r="CZ727" s="62"/>
    </row>
    <row r="728" spans="93:104" ht="14.25" customHeight="1">
      <c r="CO728" s="62"/>
      <c r="CP728" s="63"/>
      <c r="CQ728" s="64"/>
      <c r="CR728" s="62"/>
      <c r="CS728" s="62"/>
      <c r="CT728" s="62"/>
      <c r="CU728" s="62"/>
      <c r="CX728" s="62"/>
      <c r="CZ728" s="62"/>
    </row>
    <row r="729" spans="93:104" ht="14.25" customHeight="1">
      <c r="CO729" s="62"/>
      <c r="CP729" s="63"/>
      <c r="CQ729" s="64"/>
      <c r="CR729" s="62"/>
      <c r="CS729" s="62"/>
      <c r="CT729" s="62"/>
      <c r="CU729" s="62"/>
      <c r="CX729" s="62"/>
      <c r="CZ729" s="62"/>
    </row>
    <row r="730" spans="93:104" ht="14.25" customHeight="1">
      <c r="CO730" s="62"/>
      <c r="CP730" s="63"/>
      <c r="CQ730" s="64"/>
      <c r="CR730" s="62"/>
      <c r="CS730" s="62"/>
      <c r="CT730" s="62"/>
      <c r="CU730" s="62"/>
      <c r="CX730" s="62"/>
      <c r="CZ730" s="62"/>
    </row>
    <row r="731" spans="93:104" ht="14.25" customHeight="1">
      <c r="CO731" s="62"/>
      <c r="CP731" s="63"/>
      <c r="CQ731" s="64"/>
      <c r="CR731" s="62"/>
      <c r="CS731" s="62"/>
      <c r="CT731" s="62"/>
      <c r="CU731" s="62"/>
      <c r="CX731" s="62"/>
      <c r="CZ731" s="62"/>
    </row>
    <row r="732" spans="93:104" ht="14.25" customHeight="1">
      <c r="CO732" s="62"/>
      <c r="CP732" s="63"/>
      <c r="CQ732" s="64"/>
      <c r="CR732" s="62"/>
      <c r="CS732" s="62"/>
      <c r="CT732" s="62"/>
      <c r="CU732" s="62"/>
      <c r="CX732" s="62"/>
      <c r="CZ732" s="62"/>
    </row>
    <row r="733" spans="93:104" ht="14.25" customHeight="1">
      <c r="CO733" s="62"/>
      <c r="CP733" s="63"/>
      <c r="CQ733" s="64"/>
      <c r="CR733" s="62"/>
      <c r="CS733" s="62"/>
      <c r="CT733" s="62"/>
      <c r="CU733" s="62"/>
      <c r="CX733" s="62"/>
      <c r="CZ733" s="62"/>
    </row>
    <row r="734" spans="93:104" ht="14.25" customHeight="1">
      <c r="CO734" s="62"/>
      <c r="CP734" s="63"/>
      <c r="CQ734" s="64"/>
      <c r="CR734" s="62"/>
      <c r="CS734" s="62"/>
      <c r="CT734" s="62"/>
      <c r="CU734" s="62"/>
      <c r="CX734" s="62"/>
      <c r="CZ734" s="62"/>
    </row>
    <row r="735" spans="93:104" ht="14.25" customHeight="1">
      <c r="CO735" s="62"/>
      <c r="CP735" s="63"/>
      <c r="CQ735" s="64"/>
      <c r="CR735" s="62"/>
      <c r="CS735" s="62"/>
      <c r="CT735" s="62"/>
      <c r="CU735" s="62"/>
      <c r="CX735" s="62"/>
      <c r="CZ735" s="62"/>
    </row>
    <row r="736" spans="93:104" ht="14.25" customHeight="1">
      <c r="CO736" s="62"/>
      <c r="CP736" s="63"/>
      <c r="CQ736" s="64"/>
      <c r="CR736" s="62"/>
      <c r="CS736" s="62"/>
      <c r="CT736" s="62"/>
      <c r="CU736" s="62"/>
      <c r="CX736" s="62"/>
      <c r="CZ736" s="62"/>
    </row>
    <row r="737" spans="93:104" ht="14.25" customHeight="1">
      <c r="CO737" s="62"/>
      <c r="CP737" s="63"/>
      <c r="CQ737" s="64"/>
      <c r="CR737" s="62"/>
      <c r="CS737" s="62"/>
      <c r="CT737" s="62"/>
      <c r="CU737" s="62"/>
      <c r="CX737" s="62"/>
      <c r="CZ737" s="62"/>
    </row>
    <row r="738" spans="93:104" ht="14.25" customHeight="1">
      <c r="CO738" s="62"/>
      <c r="CP738" s="63"/>
      <c r="CQ738" s="64"/>
      <c r="CR738" s="62"/>
      <c r="CS738" s="62"/>
      <c r="CT738" s="62"/>
      <c r="CU738" s="62"/>
      <c r="CX738" s="62"/>
      <c r="CZ738" s="62"/>
    </row>
    <row r="739" spans="93:104" ht="14.25" customHeight="1">
      <c r="CO739" s="62"/>
      <c r="CP739" s="63"/>
      <c r="CQ739" s="64"/>
      <c r="CR739" s="62"/>
      <c r="CS739" s="62"/>
      <c r="CT739" s="62"/>
      <c r="CU739" s="62"/>
      <c r="CX739" s="62"/>
      <c r="CZ739" s="62"/>
    </row>
    <row r="740" spans="93:104" ht="14.25" customHeight="1">
      <c r="CO740" s="62"/>
      <c r="CP740" s="63"/>
      <c r="CQ740" s="64"/>
      <c r="CR740" s="62"/>
      <c r="CS740" s="62"/>
      <c r="CT740" s="62"/>
      <c r="CU740" s="62"/>
      <c r="CX740" s="62"/>
      <c r="CZ740" s="62"/>
    </row>
    <row r="741" spans="93:104" ht="14.25" customHeight="1">
      <c r="CO741" s="62"/>
      <c r="CP741" s="63"/>
      <c r="CQ741" s="64"/>
      <c r="CR741" s="62"/>
      <c r="CS741" s="62"/>
      <c r="CT741" s="62"/>
      <c r="CU741" s="62"/>
      <c r="CX741" s="62"/>
      <c r="CZ741" s="62"/>
    </row>
    <row r="742" spans="93:104" ht="14.25" customHeight="1">
      <c r="CO742" s="62"/>
      <c r="CP742" s="63"/>
      <c r="CQ742" s="64"/>
      <c r="CR742" s="62"/>
      <c r="CS742" s="62"/>
      <c r="CT742" s="62"/>
      <c r="CU742" s="62"/>
      <c r="CX742" s="62"/>
      <c r="CZ742" s="62"/>
    </row>
    <row r="743" spans="93:104" ht="14.25" customHeight="1">
      <c r="CO743" s="62"/>
      <c r="CP743" s="63"/>
      <c r="CQ743" s="64"/>
      <c r="CR743" s="62"/>
      <c r="CS743" s="62"/>
      <c r="CT743" s="62"/>
      <c r="CU743" s="62"/>
      <c r="CX743" s="62"/>
      <c r="CZ743" s="62"/>
    </row>
    <row r="744" spans="93:104" ht="14.25" customHeight="1">
      <c r="CO744" s="62"/>
      <c r="CP744" s="63"/>
      <c r="CQ744" s="64"/>
      <c r="CR744" s="62"/>
      <c r="CS744" s="62"/>
      <c r="CT744" s="62"/>
      <c r="CU744" s="62"/>
      <c r="CX744" s="62"/>
      <c r="CZ744" s="62"/>
    </row>
    <row r="745" spans="93:104" ht="14.25" customHeight="1">
      <c r="CO745" s="62"/>
      <c r="CP745" s="63"/>
      <c r="CQ745" s="64"/>
      <c r="CR745" s="62"/>
      <c r="CS745" s="62"/>
      <c r="CT745" s="62"/>
      <c r="CU745" s="62"/>
      <c r="CX745" s="62"/>
      <c r="CZ745" s="62"/>
    </row>
    <row r="746" spans="93:104" ht="14.25" customHeight="1">
      <c r="CO746" s="62"/>
      <c r="CP746" s="63"/>
      <c r="CQ746" s="64"/>
      <c r="CR746" s="62"/>
      <c r="CS746" s="62"/>
      <c r="CT746" s="62"/>
      <c r="CU746" s="62"/>
      <c r="CX746" s="62"/>
      <c r="CZ746" s="62"/>
    </row>
    <row r="747" spans="93:104" ht="14.25" customHeight="1">
      <c r="CO747" s="62"/>
      <c r="CP747" s="63"/>
      <c r="CQ747" s="64"/>
      <c r="CR747" s="62"/>
      <c r="CS747" s="62"/>
      <c r="CT747" s="62"/>
      <c r="CU747" s="62"/>
      <c r="CX747" s="62"/>
      <c r="CZ747" s="62"/>
    </row>
    <row r="748" spans="93:104" ht="14.25" customHeight="1">
      <c r="CO748" s="62"/>
      <c r="CP748" s="63"/>
      <c r="CQ748" s="64"/>
      <c r="CR748" s="62"/>
      <c r="CS748" s="62"/>
      <c r="CT748" s="62"/>
      <c r="CU748" s="62"/>
      <c r="CX748" s="62"/>
      <c r="CZ748" s="62"/>
    </row>
    <row r="749" spans="93:104" ht="14.25" customHeight="1">
      <c r="CO749" s="62"/>
      <c r="CP749" s="63"/>
      <c r="CQ749" s="64"/>
      <c r="CR749" s="62"/>
      <c r="CS749" s="62"/>
      <c r="CT749" s="62"/>
      <c r="CU749" s="62"/>
      <c r="CX749" s="62"/>
      <c r="CZ749" s="62"/>
    </row>
    <row r="750" spans="93:104" ht="14.25" customHeight="1">
      <c r="CO750" s="62"/>
      <c r="CP750" s="63"/>
      <c r="CQ750" s="64"/>
      <c r="CR750" s="62"/>
      <c r="CS750" s="62"/>
      <c r="CT750" s="62"/>
      <c r="CU750" s="62"/>
      <c r="CX750" s="62"/>
      <c r="CZ750" s="62"/>
    </row>
    <row r="751" spans="93:104" ht="14.25" customHeight="1">
      <c r="CO751" s="62"/>
      <c r="CP751" s="63"/>
      <c r="CQ751" s="64"/>
      <c r="CR751" s="62"/>
      <c r="CS751" s="62"/>
      <c r="CT751" s="62"/>
      <c r="CU751" s="62"/>
      <c r="CX751" s="62"/>
      <c r="CZ751" s="62"/>
    </row>
    <row r="752" spans="93:104" ht="14.25" customHeight="1">
      <c r="CO752" s="62"/>
      <c r="CP752" s="63"/>
      <c r="CQ752" s="64"/>
      <c r="CR752" s="62"/>
      <c r="CS752" s="62"/>
      <c r="CT752" s="62"/>
      <c r="CU752" s="62"/>
      <c r="CX752" s="62"/>
      <c r="CZ752" s="62"/>
    </row>
    <row r="753" spans="93:104" ht="14.25" customHeight="1">
      <c r="CO753" s="62"/>
      <c r="CP753" s="63"/>
      <c r="CQ753" s="64"/>
      <c r="CR753" s="62"/>
      <c r="CS753" s="62"/>
      <c r="CT753" s="62"/>
      <c r="CU753" s="62"/>
      <c r="CX753" s="62"/>
      <c r="CZ753" s="62"/>
    </row>
    <row r="754" spans="93:104" ht="14.25" customHeight="1">
      <c r="CO754" s="62"/>
      <c r="CP754" s="63"/>
      <c r="CQ754" s="64"/>
      <c r="CR754" s="62"/>
      <c r="CS754" s="62"/>
      <c r="CT754" s="62"/>
      <c r="CU754" s="62"/>
      <c r="CX754" s="62"/>
      <c r="CZ754" s="62"/>
    </row>
    <row r="755" spans="93:104" ht="14.25" customHeight="1">
      <c r="CO755" s="62"/>
      <c r="CP755" s="63"/>
      <c r="CQ755" s="64"/>
      <c r="CR755" s="62"/>
      <c r="CS755" s="62"/>
      <c r="CT755" s="62"/>
      <c r="CU755" s="62"/>
      <c r="CX755" s="62"/>
      <c r="CZ755" s="62"/>
    </row>
    <row r="756" spans="93:104" ht="14.25" customHeight="1">
      <c r="CO756" s="62"/>
      <c r="CP756" s="63"/>
      <c r="CQ756" s="64"/>
      <c r="CR756" s="62"/>
      <c r="CS756" s="62"/>
      <c r="CT756" s="62"/>
      <c r="CU756" s="62"/>
      <c r="CX756" s="62"/>
      <c r="CZ756" s="62"/>
    </row>
    <row r="757" spans="93:104" ht="14.25" customHeight="1">
      <c r="CO757" s="62"/>
      <c r="CP757" s="63"/>
      <c r="CQ757" s="64"/>
      <c r="CR757" s="62"/>
      <c r="CS757" s="62"/>
      <c r="CT757" s="62"/>
      <c r="CU757" s="62"/>
      <c r="CX757" s="62"/>
      <c r="CZ757" s="62"/>
    </row>
    <row r="758" spans="93:104" ht="14.25" customHeight="1">
      <c r="CO758" s="62"/>
      <c r="CP758" s="63"/>
      <c r="CQ758" s="64"/>
      <c r="CR758" s="62"/>
      <c r="CS758" s="62"/>
      <c r="CT758" s="62"/>
      <c r="CU758" s="62"/>
      <c r="CX758" s="62"/>
      <c r="CZ758" s="62"/>
    </row>
    <row r="759" spans="93:104" ht="14.25" customHeight="1">
      <c r="CO759" s="62"/>
      <c r="CP759" s="63"/>
      <c r="CQ759" s="64"/>
      <c r="CR759" s="62"/>
      <c r="CS759" s="62"/>
      <c r="CT759" s="62"/>
      <c r="CU759" s="62"/>
      <c r="CX759" s="62"/>
      <c r="CZ759" s="62"/>
    </row>
    <row r="760" spans="93:104" ht="14.25" customHeight="1">
      <c r="CO760" s="62"/>
      <c r="CP760" s="63"/>
      <c r="CQ760" s="64"/>
      <c r="CR760" s="62"/>
      <c r="CS760" s="62"/>
      <c r="CT760" s="62"/>
      <c r="CU760" s="62"/>
      <c r="CX760" s="62"/>
      <c r="CZ760" s="62"/>
    </row>
    <row r="761" spans="93:104" ht="14.25" customHeight="1">
      <c r="CO761" s="62"/>
      <c r="CP761" s="63"/>
      <c r="CQ761" s="64"/>
      <c r="CR761" s="62"/>
      <c r="CS761" s="62"/>
      <c r="CT761" s="62"/>
      <c r="CU761" s="62"/>
      <c r="CX761" s="62"/>
      <c r="CZ761" s="62"/>
    </row>
    <row r="762" spans="93:104" ht="14.25" customHeight="1">
      <c r="CO762" s="62"/>
      <c r="CP762" s="63"/>
      <c r="CQ762" s="64"/>
      <c r="CR762" s="62"/>
      <c r="CS762" s="62"/>
      <c r="CT762" s="62"/>
      <c r="CU762" s="62"/>
      <c r="CX762" s="62"/>
      <c r="CZ762" s="62"/>
    </row>
    <row r="763" spans="93:104" ht="14.25" customHeight="1">
      <c r="CO763" s="62"/>
      <c r="CP763" s="63"/>
      <c r="CQ763" s="64"/>
      <c r="CR763" s="62"/>
      <c r="CS763" s="62"/>
      <c r="CT763" s="62"/>
      <c r="CU763" s="62"/>
      <c r="CX763" s="62"/>
      <c r="CZ763" s="62"/>
    </row>
    <row r="764" spans="93:104" ht="14.25" customHeight="1">
      <c r="CO764" s="62"/>
      <c r="CP764" s="63"/>
      <c r="CQ764" s="64"/>
      <c r="CR764" s="62"/>
      <c r="CS764" s="62"/>
      <c r="CT764" s="62"/>
      <c r="CU764" s="62"/>
      <c r="CX764" s="62"/>
      <c r="CZ764" s="62"/>
    </row>
    <row r="765" spans="93:104" ht="14.25" customHeight="1">
      <c r="CO765" s="62"/>
      <c r="CP765" s="63"/>
      <c r="CQ765" s="64"/>
      <c r="CR765" s="62"/>
      <c r="CS765" s="62"/>
      <c r="CT765" s="62"/>
      <c r="CU765" s="62"/>
      <c r="CX765" s="62"/>
      <c r="CZ765" s="62"/>
    </row>
    <row r="766" spans="93:104" ht="14.25" customHeight="1">
      <c r="CO766" s="62"/>
      <c r="CP766" s="63"/>
      <c r="CQ766" s="64"/>
      <c r="CR766" s="62"/>
      <c r="CS766" s="62"/>
      <c r="CT766" s="62"/>
      <c r="CU766" s="62"/>
      <c r="CX766" s="62"/>
      <c r="CZ766" s="62"/>
    </row>
    <row r="767" spans="93:104" ht="14.25" customHeight="1">
      <c r="CO767" s="62"/>
      <c r="CP767" s="63"/>
      <c r="CQ767" s="64"/>
      <c r="CR767" s="62"/>
      <c r="CS767" s="62"/>
      <c r="CT767" s="62"/>
      <c r="CU767" s="62"/>
      <c r="CX767" s="62"/>
      <c r="CZ767" s="62"/>
    </row>
    <row r="768" spans="93:104" ht="14.25" customHeight="1">
      <c r="CO768" s="62"/>
      <c r="CP768" s="63"/>
      <c r="CQ768" s="64"/>
      <c r="CR768" s="62"/>
      <c r="CS768" s="62"/>
      <c r="CT768" s="62"/>
      <c r="CU768" s="62"/>
      <c r="CX768" s="62"/>
      <c r="CZ768" s="62"/>
    </row>
    <row r="769" spans="93:104" ht="14.25" customHeight="1">
      <c r="CO769" s="62"/>
      <c r="CP769" s="63"/>
      <c r="CQ769" s="64"/>
      <c r="CR769" s="62"/>
      <c r="CS769" s="62"/>
      <c r="CT769" s="62"/>
      <c r="CU769" s="62"/>
      <c r="CX769" s="62"/>
      <c r="CZ769" s="62"/>
    </row>
    <row r="770" spans="93:104" ht="14.25" customHeight="1">
      <c r="CO770" s="62"/>
      <c r="CP770" s="63"/>
      <c r="CQ770" s="64"/>
      <c r="CR770" s="62"/>
      <c r="CS770" s="62"/>
      <c r="CT770" s="62"/>
      <c r="CU770" s="62"/>
      <c r="CX770" s="62"/>
      <c r="CZ770" s="62"/>
    </row>
    <row r="771" spans="93:104" ht="14.25" customHeight="1">
      <c r="CO771" s="62"/>
      <c r="CP771" s="63"/>
      <c r="CQ771" s="64"/>
      <c r="CR771" s="62"/>
      <c r="CS771" s="62"/>
      <c r="CT771" s="62"/>
      <c r="CU771" s="62"/>
      <c r="CX771" s="62"/>
      <c r="CZ771" s="62"/>
    </row>
  </sheetData>
  <autoFilter ref="A17:DE22" xr:uid="{00000000-0009-0000-0000-000000000000}"/>
  <mergeCells count="9">
    <mergeCell ref="AB16:AV16"/>
    <mergeCell ref="AW16:BQ16"/>
    <mergeCell ref="BR16:CL16"/>
    <mergeCell ref="A11:B11"/>
    <mergeCell ref="A12:B12"/>
    <mergeCell ref="A13:B13"/>
    <mergeCell ref="A14:B14"/>
    <mergeCell ref="A15:B15"/>
    <mergeCell ref="G16:AA16"/>
  </mergeCells>
  <conditionalFormatting sqref="CP1:CP771">
    <cfRule type="notContainsBlanks" dxfId="0" priority="10">
      <formula>LEN(TRIM(CP1))&gt;0</formula>
    </cfRule>
  </conditionalFormatting>
  <pageMargins left="0.7" right="0.7" top="0.75" bottom="0.75" header="0" footer="0"/>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496ED-842A-4CF0-9D46-6BE19E319D4F}">
  <sheetPr codeName="Sheet6"/>
  <dimension ref="A1:D5"/>
  <sheetViews>
    <sheetView workbookViewId="0">
      <selection activeCell="C16" sqref="C16"/>
    </sheetView>
  </sheetViews>
  <sheetFormatPr defaultRowHeight="14.5"/>
  <cols>
    <col min="1" max="1" width="14.26953125" bestFit="1" customWidth="1"/>
  </cols>
  <sheetData>
    <row r="1" spans="1:4">
      <c r="A1" s="26" t="s">
        <v>404</v>
      </c>
      <c r="B1" s="26" t="s">
        <v>165</v>
      </c>
      <c r="C1" s="26" t="s">
        <v>591</v>
      </c>
      <c r="D1" s="26" t="s">
        <v>515</v>
      </c>
    </row>
    <row r="2" spans="1:4">
      <c r="A2" s="223" t="s">
        <v>80</v>
      </c>
      <c r="B2" s="224">
        <v>435</v>
      </c>
      <c r="C2" t="s">
        <v>11</v>
      </c>
    </row>
    <row r="3" spans="1:4">
      <c r="A3" s="225" t="s">
        <v>568</v>
      </c>
      <c r="B3" s="226">
        <v>15</v>
      </c>
    </row>
    <row r="4" spans="1:4">
      <c r="A4" s="225" t="s">
        <v>570</v>
      </c>
      <c r="B4" s="226">
        <v>1400</v>
      </c>
    </row>
    <row r="5" spans="1:4">
      <c r="A5" s="225" t="s">
        <v>571</v>
      </c>
      <c r="B5" s="226">
        <v>3000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C2BC6-7CA5-4988-824B-A4E173A875B7}">
  <sheetPr codeName="Sheet8"/>
  <dimension ref="A1:J87"/>
  <sheetViews>
    <sheetView topLeftCell="A25" workbookViewId="0">
      <selection activeCell="A34" sqref="A34"/>
    </sheetView>
  </sheetViews>
  <sheetFormatPr defaultRowHeight="14.5"/>
  <cols>
    <col min="1" max="1" width="13.54296875" bestFit="1" customWidth="1"/>
  </cols>
  <sheetData>
    <row r="1" spans="1:10">
      <c r="A1" t="s">
        <v>572</v>
      </c>
      <c r="B1" t="s">
        <v>573</v>
      </c>
      <c r="C1" t="s">
        <v>574</v>
      </c>
      <c r="D1" t="s">
        <v>575</v>
      </c>
      <c r="E1" t="s">
        <v>576</v>
      </c>
      <c r="F1" t="s">
        <v>577</v>
      </c>
      <c r="G1" t="s">
        <v>578</v>
      </c>
      <c r="H1" t="s">
        <v>579</v>
      </c>
      <c r="I1" s="26"/>
      <c r="J1" s="26"/>
    </row>
    <row r="2" spans="1:10">
      <c r="A2" t="s">
        <v>111</v>
      </c>
      <c r="B2">
        <v>100</v>
      </c>
      <c r="C2">
        <v>131.76</v>
      </c>
      <c r="D2">
        <v>150.4</v>
      </c>
      <c r="E2">
        <v>15040</v>
      </c>
      <c r="F2">
        <v>1863.75</v>
      </c>
      <c r="G2">
        <v>14.14</v>
      </c>
      <c r="H2">
        <v>0</v>
      </c>
      <c r="I2" t="s">
        <v>31</v>
      </c>
    </row>
    <row r="3" spans="1:10">
      <c r="A3" t="s">
        <v>753</v>
      </c>
      <c r="B3">
        <v>46</v>
      </c>
      <c r="C3">
        <v>1164.6400000000001</v>
      </c>
      <c r="D3">
        <v>1685.6</v>
      </c>
      <c r="E3">
        <v>77537.600000000006</v>
      </c>
      <c r="F3">
        <v>23964.31</v>
      </c>
      <c r="G3">
        <v>44.73</v>
      </c>
      <c r="H3">
        <v>0</v>
      </c>
      <c r="I3" t="s">
        <v>751</v>
      </c>
    </row>
    <row r="4" spans="1:10">
      <c r="A4" t="s">
        <v>784</v>
      </c>
      <c r="B4">
        <v>105</v>
      </c>
      <c r="C4">
        <v>503.84</v>
      </c>
      <c r="D4">
        <v>459.25</v>
      </c>
      <c r="E4">
        <v>48221.25</v>
      </c>
      <c r="F4">
        <v>-4682.1499999999996</v>
      </c>
      <c r="G4">
        <v>-8.85</v>
      </c>
      <c r="H4">
        <v>0.16</v>
      </c>
      <c r="I4" t="s">
        <v>783</v>
      </c>
    </row>
    <row r="5" spans="1:10">
      <c r="A5" t="s">
        <v>675</v>
      </c>
      <c r="B5">
        <v>28</v>
      </c>
      <c r="C5">
        <v>617.88</v>
      </c>
      <c r="D5">
        <v>590.54999999999995</v>
      </c>
      <c r="E5">
        <v>16535.400000000001</v>
      </c>
      <c r="F5">
        <v>-765.2</v>
      </c>
      <c r="G5">
        <v>-4.42</v>
      </c>
      <c r="H5">
        <v>0</v>
      </c>
      <c r="I5" t="s">
        <v>674</v>
      </c>
    </row>
    <row r="6" spans="1:10">
      <c r="A6" t="s">
        <v>1191</v>
      </c>
      <c r="B6">
        <v>550</v>
      </c>
      <c r="C6">
        <v>2.2400000000000002</v>
      </c>
      <c r="D6">
        <v>12.75</v>
      </c>
      <c r="E6">
        <v>7012.5</v>
      </c>
      <c r="F6">
        <v>5780.5</v>
      </c>
      <c r="G6">
        <v>469.2</v>
      </c>
      <c r="H6">
        <v>0</v>
      </c>
    </row>
    <row r="7" spans="1:10">
      <c r="A7" t="s">
        <v>1223</v>
      </c>
      <c r="B7">
        <v>32</v>
      </c>
      <c r="C7">
        <v>3833.88</v>
      </c>
      <c r="D7">
        <v>3516</v>
      </c>
      <c r="E7">
        <v>112512</v>
      </c>
      <c r="F7">
        <v>-10172.25</v>
      </c>
      <c r="G7">
        <v>-8.2899999999999991</v>
      </c>
      <c r="H7">
        <v>0</v>
      </c>
      <c r="I7" t="s">
        <v>1218</v>
      </c>
    </row>
    <row r="8" spans="1:10">
      <c r="A8" t="s">
        <v>898</v>
      </c>
      <c r="B8">
        <v>37</v>
      </c>
      <c r="C8">
        <v>3798.27</v>
      </c>
      <c r="D8">
        <v>3231.95</v>
      </c>
      <c r="E8">
        <v>119582.15</v>
      </c>
      <c r="F8">
        <v>-20953.849999999999</v>
      </c>
      <c r="G8">
        <v>-14.91</v>
      </c>
      <c r="H8">
        <v>0</v>
      </c>
      <c r="I8" t="s">
        <v>894</v>
      </c>
    </row>
    <row r="9" spans="1:10">
      <c r="A9" t="s">
        <v>534</v>
      </c>
      <c r="B9">
        <v>45</v>
      </c>
      <c r="C9">
        <v>3034.77</v>
      </c>
      <c r="D9">
        <v>2657.85</v>
      </c>
      <c r="E9">
        <v>119603.25</v>
      </c>
      <c r="F9">
        <v>-16961.3</v>
      </c>
      <c r="G9">
        <v>-12.42</v>
      </c>
      <c r="H9">
        <v>0</v>
      </c>
      <c r="I9" t="s">
        <v>533</v>
      </c>
    </row>
    <row r="10" spans="1:10">
      <c r="A10" t="s">
        <v>123</v>
      </c>
      <c r="B10">
        <v>50</v>
      </c>
      <c r="C10">
        <v>234.02</v>
      </c>
      <c r="D10">
        <v>429.6</v>
      </c>
      <c r="E10">
        <v>21480</v>
      </c>
      <c r="F10">
        <v>9779.25</v>
      </c>
      <c r="G10">
        <v>83.58</v>
      </c>
      <c r="H10">
        <v>0</v>
      </c>
      <c r="I10" t="s">
        <v>39</v>
      </c>
    </row>
    <row r="11" spans="1:10">
      <c r="A11" t="s">
        <v>744</v>
      </c>
      <c r="B11">
        <v>259</v>
      </c>
      <c r="C11">
        <v>314.68</v>
      </c>
      <c r="D11">
        <v>291.7</v>
      </c>
      <c r="E11">
        <v>75550.3</v>
      </c>
      <c r="F11">
        <v>-5951.05</v>
      </c>
      <c r="G11">
        <v>-7.3</v>
      </c>
      <c r="H11">
        <v>0</v>
      </c>
      <c r="I11" t="s">
        <v>743</v>
      </c>
    </row>
    <row r="12" spans="1:10">
      <c r="A12" t="s">
        <v>740</v>
      </c>
      <c r="B12">
        <v>614</v>
      </c>
      <c r="C12">
        <v>300.24</v>
      </c>
      <c r="D12">
        <v>260</v>
      </c>
      <c r="E12">
        <v>159640</v>
      </c>
      <c r="F12">
        <v>-24710.15</v>
      </c>
      <c r="G12">
        <v>-13.4</v>
      </c>
      <c r="H12">
        <v>0</v>
      </c>
      <c r="I12" t="s">
        <v>740</v>
      </c>
    </row>
    <row r="13" spans="1:10">
      <c r="A13" t="s">
        <v>690</v>
      </c>
      <c r="B13">
        <v>26</v>
      </c>
      <c r="C13">
        <v>2614.44</v>
      </c>
      <c r="D13">
        <v>2354.35</v>
      </c>
      <c r="E13">
        <v>61213.1</v>
      </c>
      <c r="F13">
        <v>-6762.3</v>
      </c>
      <c r="G13">
        <v>-9.9499999999999993</v>
      </c>
      <c r="H13">
        <v>0</v>
      </c>
      <c r="I13" t="s">
        <v>689</v>
      </c>
    </row>
    <row r="14" spans="1:10">
      <c r="A14" t="s">
        <v>724</v>
      </c>
      <c r="B14">
        <v>380</v>
      </c>
      <c r="C14">
        <v>472.36</v>
      </c>
      <c r="D14">
        <v>415.45</v>
      </c>
      <c r="E14">
        <v>157871</v>
      </c>
      <c r="F14">
        <v>-21626.400000000001</v>
      </c>
      <c r="G14">
        <v>-12.05</v>
      </c>
      <c r="H14">
        <v>0</v>
      </c>
      <c r="I14" t="s">
        <v>723</v>
      </c>
    </row>
    <row r="15" spans="1:10">
      <c r="A15" t="s">
        <v>887</v>
      </c>
      <c r="B15">
        <v>8</v>
      </c>
      <c r="C15">
        <v>2150</v>
      </c>
      <c r="D15">
        <v>550.85</v>
      </c>
      <c r="E15">
        <v>4406.8</v>
      </c>
      <c r="F15">
        <v>-12793.2</v>
      </c>
      <c r="G15">
        <v>-74.38</v>
      </c>
      <c r="H15">
        <v>0</v>
      </c>
    </row>
    <row r="16" spans="1:10">
      <c r="A16" t="s">
        <v>678</v>
      </c>
      <c r="B16">
        <v>135</v>
      </c>
      <c r="C16">
        <v>415.88</v>
      </c>
      <c r="D16">
        <v>339.6</v>
      </c>
      <c r="E16">
        <v>45846</v>
      </c>
      <c r="F16">
        <v>-10298.15</v>
      </c>
      <c r="G16">
        <v>-18.34</v>
      </c>
      <c r="H16">
        <v>0</v>
      </c>
      <c r="I16" t="s">
        <v>677</v>
      </c>
    </row>
    <row r="17" spans="1:9">
      <c r="A17" t="s">
        <v>742</v>
      </c>
      <c r="B17">
        <v>1000</v>
      </c>
      <c r="C17">
        <v>81.430000000000007</v>
      </c>
      <c r="D17">
        <v>66.900000000000006</v>
      </c>
      <c r="E17">
        <v>66900</v>
      </c>
      <c r="F17">
        <v>-14528.4</v>
      </c>
      <c r="G17">
        <v>-17.84</v>
      </c>
      <c r="H17">
        <v>7.0000000000000007E-2</v>
      </c>
      <c r="I17" t="s">
        <v>749</v>
      </c>
    </row>
    <row r="18" spans="1:9">
      <c r="A18" t="s">
        <v>1184</v>
      </c>
      <c r="B18">
        <v>680</v>
      </c>
      <c r="C18">
        <v>110.92</v>
      </c>
      <c r="D18">
        <v>124.1</v>
      </c>
      <c r="E18">
        <v>84388</v>
      </c>
      <c r="F18">
        <v>8961</v>
      </c>
      <c r="G18">
        <v>11.88</v>
      </c>
      <c r="H18">
        <v>0</v>
      </c>
      <c r="I18" t="s">
        <v>1183</v>
      </c>
    </row>
    <row r="19" spans="1:9">
      <c r="A19" t="s">
        <v>655</v>
      </c>
      <c r="B19">
        <v>27</v>
      </c>
      <c r="C19">
        <v>4927.2</v>
      </c>
      <c r="D19">
        <v>4549.6000000000004</v>
      </c>
      <c r="E19">
        <v>122839.2</v>
      </c>
      <c r="F19">
        <v>-10195.200000000001</v>
      </c>
      <c r="G19">
        <v>-7.66</v>
      </c>
      <c r="H19">
        <v>0</v>
      </c>
      <c r="I19" t="s">
        <v>650</v>
      </c>
    </row>
    <row r="20" spans="1:9">
      <c r="A20" t="s">
        <v>943</v>
      </c>
      <c r="B20">
        <v>20</v>
      </c>
      <c r="C20">
        <v>694.7</v>
      </c>
      <c r="D20">
        <v>696.75</v>
      </c>
      <c r="E20">
        <v>13935</v>
      </c>
      <c r="F20">
        <v>41</v>
      </c>
      <c r="G20">
        <v>0.3</v>
      </c>
      <c r="H20">
        <v>0</v>
      </c>
      <c r="I20" t="s">
        <v>982</v>
      </c>
    </row>
    <row r="21" spans="1:9">
      <c r="A21" t="s">
        <v>937</v>
      </c>
      <c r="B21">
        <v>14</v>
      </c>
      <c r="C21">
        <v>9564.74</v>
      </c>
      <c r="D21">
        <v>7842.25</v>
      </c>
      <c r="E21">
        <v>109791.5</v>
      </c>
      <c r="F21">
        <v>-24114.85</v>
      </c>
      <c r="G21">
        <v>-18.010000000000002</v>
      </c>
      <c r="H21">
        <v>0</v>
      </c>
      <c r="I21" t="s">
        <v>936</v>
      </c>
    </row>
    <row r="22" spans="1:9">
      <c r="A22" t="s">
        <v>109</v>
      </c>
      <c r="B22">
        <v>300</v>
      </c>
      <c r="C22">
        <v>62.5</v>
      </c>
      <c r="D22">
        <v>64.2</v>
      </c>
      <c r="E22">
        <v>19260</v>
      </c>
      <c r="F22">
        <v>510</v>
      </c>
      <c r="G22">
        <v>2.72</v>
      </c>
      <c r="H22">
        <v>0</v>
      </c>
      <c r="I22" t="s">
        <v>30</v>
      </c>
    </row>
    <row r="23" spans="1:9">
      <c r="A23" t="s">
        <v>468</v>
      </c>
      <c r="B23">
        <v>40</v>
      </c>
      <c r="C23">
        <v>1488.15</v>
      </c>
      <c r="D23">
        <v>1523.8</v>
      </c>
      <c r="E23">
        <v>60952</v>
      </c>
      <c r="F23">
        <v>1426.1</v>
      </c>
      <c r="G23">
        <v>2.4</v>
      </c>
      <c r="H23">
        <v>0</v>
      </c>
      <c r="I23" t="s">
        <v>472</v>
      </c>
    </row>
    <row r="24" spans="1:9">
      <c r="A24" t="s">
        <v>646</v>
      </c>
      <c r="B24">
        <v>14</v>
      </c>
      <c r="C24">
        <v>1759.3</v>
      </c>
      <c r="D24">
        <v>2362.5</v>
      </c>
      <c r="E24">
        <v>33075</v>
      </c>
      <c r="F24">
        <v>8444.7999999999993</v>
      </c>
      <c r="G24">
        <v>34.29</v>
      </c>
      <c r="H24">
        <v>0.06</v>
      </c>
      <c r="I24" t="s">
        <v>645</v>
      </c>
    </row>
    <row r="25" spans="1:9">
      <c r="A25" t="s">
        <v>1029</v>
      </c>
      <c r="B25">
        <v>122</v>
      </c>
      <c r="C25">
        <v>460.54</v>
      </c>
      <c r="D25">
        <v>443.1</v>
      </c>
      <c r="E25">
        <v>54058.2</v>
      </c>
      <c r="F25">
        <v>-2127.4</v>
      </c>
      <c r="G25">
        <v>-3.79</v>
      </c>
      <c r="H25">
        <v>-0.12</v>
      </c>
      <c r="I25" t="s">
        <v>1028</v>
      </c>
    </row>
    <row r="26" spans="1:9">
      <c r="A26" t="s">
        <v>672</v>
      </c>
      <c r="B26">
        <v>26</v>
      </c>
      <c r="C26">
        <v>6291.36</v>
      </c>
      <c r="D26">
        <v>5860.4</v>
      </c>
      <c r="E26">
        <v>152370.4</v>
      </c>
      <c r="F26">
        <v>-11205</v>
      </c>
      <c r="G26">
        <v>-6.85</v>
      </c>
      <c r="H26">
        <v>0</v>
      </c>
      <c r="I26" t="s">
        <v>671</v>
      </c>
    </row>
    <row r="27" spans="1:9">
      <c r="A27" t="s">
        <v>1158</v>
      </c>
      <c r="B27">
        <v>330</v>
      </c>
      <c r="C27">
        <v>618.26</v>
      </c>
      <c r="D27">
        <v>439.05</v>
      </c>
      <c r="E27">
        <v>144886.5</v>
      </c>
      <c r="F27">
        <v>-59139.55</v>
      </c>
      <c r="G27">
        <v>-28.99</v>
      </c>
      <c r="H27">
        <v>-0.24</v>
      </c>
      <c r="I27" t="s">
        <v>530</v>
      </c>
    </row>
    <row r="28" spans="1:9">
      <c r="A28" t="s">
        <v>537</v>
      </c>
      <c r="B28">
        <v>10</v>
      </c>
      <c r="C28">
        <v>789.45</v>
      </c>
      <c r="D28">
        <v>1546.75</v>
      </c>
      <c r="E28">
        <v>15467.5</v>
      </c>
      <c r="F28">
        <v>7573</v>
      </c>
      <c r="G28">
        <v>95.93</v>
      </c>
      <c r="H28">
        <v>0</v>
      </c>
      <c r="I28" t="s">
        <v>536</v>
      </c>
    </row>
    <row r="29" spans="1:9">
      <c r="A29" t="s">
        <v>546</v>
      </c>
      <c r="B29">
        <v>79</v>
      </c>
      <c r="C29">
        <v>1548.68</v>
      </c>
      <c r="D29">
        <v>1672</v>
      </c>
      <c r="E29">
        <v>132088</v>
      </c>
      <c r="F29">
        <v>9742.4</v>
      </c>
      <c r="G29">
        <v>7.96</v>
      </c>
      <c r="H29">
        <v>0.01</v>
      </c>
      <c r="I29" t="s">
        <v>545</v>
      </c>
    </row>
    <row r="30" spans="1:9">
      <c r="A30" t="s">
        <v>107</v>
      </c>
      <c r="B30">
        <v>51</v>
      </c>
      <c r="C30">
        <v>2402.87</v>
      </c>
      <c r="D30">
        <v>2402.6</v>
      </c>
      <c r="E30">
        <v>122532.6</v>
      </c>
      <c r="F30">
        <v>-14</v>
      </c>
      <c r="G30">
        <v>-0.01</v>
      </c>
      <c r="H30">
        <v>0</v>
      </c>
      <c r="I30" t="s">
        <v>29</v>
      </c>
    </row>
    <row r="31" spans="1:9">
      <c r="A31" t="s">
        <v>716</v>
      </c>
      <c r="B31">
        <v>76</v>
      </c>
      <c r="C31">
        <v>1093.6600000000001</v>
      </c>
      <c r="D31">
        <v>1035.95</v>
      </c>
      <c r="E31">
        <v>78732.2</v>
      </c>
      <c r="F31">
        <v>-4385.6000000000004</v>
      </c>
      <c r="G31">
        <v>-5.28</v>
      </c>
      <c r="H31">
        <v>0</v>
      </c>
      <c r="I31" t="s">
        <v>712</v>
      </c>
    </row>
    <row r="32" spans="1:9">
      <c r="A32" t="s">
        <v>567</v>
      </c>
      <c r="B32">
        <v>45</v>
      </c>
      <c r="C32">
        <v>492</v>
      </c>
      <c r="D32">
        <v>484.6</v>
      </c>
      <c r="E32">
        <v>21807</v>
      </c>
      <c r="F32">
        <v>-333</v>
      </c>
      <c r="G32">
        <v>-1.5</v>
      </c>
      <c r="H32">
        <v>0</v>
      </c>
      <c r="I32" t="s">
        <v>566</v>
      </c>
    </row>
    <row r="33" spans="1:9">
      <c r="A33" t="s">
        <v>100</v>
      </c>
      <c r="B33">
        <v>40</v>
      </c>
      <c r="C33">
        <v>386.45</v>
      </c>
      <c r="D33">
        <v>389.5</v>
      </c>
      <c r="E33">
        <v>15580</v>
      </c>
      <c r="F33">
        <v>122</v>
      </c>
      <c r="G33">
        <v>0.79</v>
      </c>
      <c r="H33">
        <v>0</v>
      </c>
      <c r="I33" t="s">
        <v>25</v>
      </c>
    </row>
    <row r="34" spans="1:9">
      <c r="A34" t="s">
        <v>463</v>
      </c>
      <c r="B34">
        <v>457</v>
      </c>
      <c r="C34">
        <v>99.93</v>
      </c>
      <c r="D34">
        <v>136</v>
      </c>
      <c r="E34">
        <v>62152</v>
      </c>
      <c r="F34">
        <v>16482.349999999999</v>
      </c>
      <c r="G34">
        <v>36.090000000000003</v>
      </c>
      <c r="H34">
        <v>0</v>
      </c>
    </row>
    <row r="35" spans="1:9">
      <c r="A35" t="s">
        <v>653</v>
      </c>
      <c r="B35">
        <v>90</v>
      </c>
      <c r="C35">
        <v>743.2</v>
      </c>
      <c r="D35">
        <v>656.95</v>
      </c>
      <c r="E35">
        <v>59125.5</v>
      </c>
      <c r="F35">
        <v>-7762.5</v>
      </c>
      <c r="G35">
        <v>-11.61</v>
      </c>
      <c r="H35">
        <v>0</v>
      </c>
      <c r="I35" t="s">
        <v>651</v>
      </c>
    </row>
    <row r="36" spans="1:9">
      <c r="A36" t="s">
        <v>119</v>
      </c>
      <c r="B36">
        <v>224</v>
      </c>
      <c r="C36">
        <v>150.76</v>
      </c>
      <c r="D36">
        <v>130.19999999999999</v>
      </c>
      <c r="E36">
        <v>29164.799999999999</v>
      </c>
      <c r="F36">
        <v>-4605.7</v>
      </c>
      <c r="G36">
        <v>-13.64</v>
      </c>
      <c r="H36">
        <v>-2.76</v>
      </c>
      <c r="I36" t="s">
        <v>37</v>
      </c>
    </row>
    <row r="37" spans="1:9">
      <c r="A37" t="s">
        <v>104</v>
      </c>
      <c r="B37">
        <v>2125</v>
      </c>
      <c r="C37">
        <v>38.92</v>
      </c>
      <c r="D37">
        <v>31.3</v>
      </c>
      <c r="E37">
        <v>66512.5</v>
      </c>
      <c r="F37">
        <v>-16185.25</v>
      </c>
      <c r="G37">
        <v>-19.57</v>
      </c>
      <c r="H37">
        <v>0.16</v>
      </c>
      <c r="I37" t="s">
        <v>27</v>
      </c>
    </row>
    <row r="38" spans="1:9">
      <c r="A38" t="s">
        <v>93</v>
      </c>
      <c r="B38">
        <v>465</v>
      </c>
      <c r="C38">
        <v>125.67</v>
      </c>
      <c r="D38">
        <v>166.2</v>
      </c>
      <c r="E38">
        <v>77283</v>
      </c>
      <c r="F38">
        <v>18844.5</v>
      </c>
      <c r="G38">
        <v>32.25</v>
      </c>
      <c r="H38">
        <v>-0.15</v>
      </c>
      <c r="I38" t="s">
        <v>20</v>
      </c>
    </row>
    <row r="39" spans="1:9">
      <c r="A39" t="s">
        <v>1377</v>
      </c>
      <c r="B39">
        <v>50</v>
      </c>
      <c r="C39">
        <v>20.5</v>
      </c>
      <c r="D39">
        <v>14</v>
      </c>
      <c r="E39">
        <v>700</v>
      </c>
      <c r="F39">
        <v>-325</v>
      </c>
      <c r="G39">
        <v>-31.71</v>
      </c>
      <c r="H39">
        <v>0.14000000000000001</v>
      </c>
    </row>
    <row r="40" spans="1:9">
      <c r="A40" t="s">
        <v>1176</v>
      </c>
      <c r="B40">
        <v>230</v>
      </c>
      <c r="C40">
        <v>719.83</v>
      </c>
      <c r="D40">
        <v>705.3</v>
      </c>
      <c r="E40">
        <v>162219</v>
      </c>
      <c r="F40">
        <v>-3341.45</v>
      </c>
      <c r="G40">
        <v>-2.02</v>
      </c>
      <c r="H40">
        <v>-0.14000000000000001</v>
      </c>
      <c r="I40" t="s">
        <v>1176</v>
      </c>
    </row>
    <row r="41" spans="1:9">
      <c r="A41" t="s">
        <v>195</v>
      </c>
      <c r="B41">
        <v>144</v>
      </c>
      <c r="C41">
        <v>1424.79</v>
      </c>
      <c r="D41">
        <v>1333.25</v>
      </c>
      <c r="E41">
        <v>191988</v>
      </c>
      <c r="F41">
        <v>-13181.71</v>
      </c>
      <c r="G41">
        <v>-6.42</v>
      </c>
      <c r="H41">
        <v>0</v>
      </c>
      <c r="I41" t="s">
        <v>194</v>
      </c>
    </row>
    <row r="42" spans="1:9">
      <c r="A42" t="s">
        <v>666</v>
      </c>
      <c r="B42">
        <v>54</v>
      </c>
      <c r="C42">
        <v>2227.73</v>
      </c>
      <c r="D42">
        <v>2105.9</v>
      </c>
      <c r="E42">
        <v>113718.6</v>
      </c>
      <c r="F42">
        <v>-6579</v>
      </c>
      <c r="G42">
        <v>-5.47</v>
      </c>
      <c r="H42">
        <v>0</v>
      </c>
      <c r="I42" t="s">
        <v>665</v>
      </c>
    </row>
    <row r="43" spans="1:9">
      <c r="A43" t="s">
        <v>414</v>
      </c>
      <c r="B43">
        <v>105</v>
      </c>
      <c r="C43">
        <v>688.15</v>
      </c>
      <c r="D43">
        <v>641.45000000000005</v>
      </c>
      <c r="E43">
        <v>67352.25</v>
      </c>
      <c r="F43">
        <v>-4903.3500000000004</v>
      </c>
      <c r="G43">
        <v>-6.79</v>
      </c>
      <c r="H43">
        <v>0</v>
      </c>
      <c r="I43" t="s">
        <v>414</v>
      </c>
    </row>
    <row r="44" spans="1:9">
      <c r="A44" t="s">
        <v>824</v>
      </c>
      <c r="B44">
        <v>160</v>
      </c>
      <c r="C44">
        <v>238.74</v>
      </c>
      <c r="D44">
        <v>222.75</v>
      </c>
      <c r="E44">
        <v>35640</v>
      </c>
      <c r="F44">
        <v>-2558.5</v>
      </c>
      <c r="G44">
        <v>-6.7</v>
      </c>
      <c r="H44">
        <v>0</v>
      </c>
      <c r="I44" t="s">
        <v>823</v>
      </c>
    </row>
    <row r="45" spans="1:9">
      <c r="A45" t="s">
        <v>1209</v>
      </c>
      <c r="B45">
        <v>1650</v>
      </c>
      <c r="C45">
        <v>3.14</v>
      </c>
      <c r="D45">
        <v>2.75</v>
      </c>
      <c r="E45">
        <v>4537.5</v>
      </c>
      <c r="F45">
        <v>-648</v>
      </c>
      <c r="G45">
        <v>-12.5</v>
      </c>
      <c r="H45">
        <v>0</v>
      </c>
    </row>
    <row r="46" spans="1:9">
      <c r="A46" t="s">
        <v>425</v>
      </c>
      <c r="B46">
        <v>30</v>
      </c>
      <c r="C46">
        <v>135.6</v>
      </c>
      <c r="D46">
        <v>126.55</v>
      </c>
      <c r="E46">
        <v>3796.5</v>
      </c>
      <c r="F46">
        <v>-271.5</v>
      </c>
      <c r="G46">
        <v>-6.67</v>
      </c>
      <c r="H46">
        <v>-0.24</v>
      </c>
      <c r="I46" t="s">
        <v>424</v>
      </c>
    </row>
    <row r="47" spans="1:9">
      <c r="A47" t="s">
        <v>967</v>
      </c>
      <c r="B47">
        <v>5</v>
      </c>
      <c r="C47">
        <v>1294</v>
      </c>
      <c r="D47">
        <v>698.55</v>
      </c>
      <c r="E47">
        <v>3492.75</v>
      </c>
      <c r="F47">
        <v>-2977.25</v>
      </c>
      <c r="G47">
        <v>-46.02</v>
      </c>
      <c r="H47">
        <v>0</v>
      </c>
      <c r="I47" t="s">
        <v>966</v>
      </c>
    </row>
    <row r="48" spans="1:9">
      <c r="A48" t="s">
        <v>528</v>
      </c>
      <c r="B48">
        <v>102</v>
      </c>
      <c r="C48">
        <v>576.02</v>
      </c>
      <c r="D48">
        <v>473.65</v>
      </c>
      <c r="E48">
        <v>48312.3</v>
      </c>
      <c r="F48">
        <v>-10441.450000000001</v>
      </c>
      <c r="G48">
        <v>-17.77</v>
      </c>
      <c r="H48">
        <v>0</v>
      </c>
      <c r="I48" t="s">
        <v>527</v>
      </c>
    </row>
    <row r="49" spans="1:9">
      <c r="A49" t="s">
        <v>628</v>
      </c>
      <c r="B49">
        <v>365</v>
      </c>
      <c r="C49">
        <v>364.84</v>
      </c>
      <c r="D49">
        <v>342.65</v>
      </c>
      <c r="E49">
        <v>125067.25</v>
      </c>
      <c r="F49">
        <v>-8099.9</v>
      </c>
      <c r="G49">
        <v>-6.08</v>
      </c>
      <c r="H49">
        <v>0</v>
      </c>
      <c r="I49" t="s">
        <v>627</v>
      </c>
    </row>
    <row r="50" spans="1:9">
      <c r="A50" t="s">
        <v>473</v>
      </c>
      <c r="B50">
        <v>14</v>
      </c>
      <c r="C50">
        <v>1077.4000000000001</v>
      </c>
      <c r="D50">
        <v>995.5</v>
      </c>
      <c r="E50">
        <v>13937</v>
      </c>
      <c r="F50">
        <v>-1146.5999999999999</v>
      </c>
      <c r="G50">
        <v>-7.6</v>
      </c>
      <c r="H50">
        <v>-0.28999999999999998</v>
      </c>
      <c r="I50" t="s">
        <v>483</v>
      </c>
    </row>
    <row r="51" spans="1:9">
      <c r="A51" t="s">
        <v>1198</v>
      </c>
      <c r="B51">
        <v>1000</v>
      </c>
      <c r="C51">
        <v>1</v>
      </c>
      <c r="D51">
        <v>1.05</v>
      </c>
      <c r="E51">
        <v>1050</v>
      </c>
      <c r="F51">
        <v>50</v>
      </c>
      <c r="G51">
        <v>5</v>
      </c>
      <c r="H51">
        <v>0</v>
      </c>
    </row>
    <row r="52" spans="1:9">
      <c r="A52" t="s">
        <v>1221</v>
      </c>
      <c r="B52">
        <v>400</v>
      </c>
      <c r="C52">
        <v>356</v>
      </c>
      <c r="D52">
        <v>334.5</v>
      </c>
      <c r="E52">
        <v>133800</v>
      </c>
      <c r="F52">
        <v>-8600</v>
      </c>
      <c r="G52">
        <v>-6.04</v>
      </c>
      <c r="H52">
        <v>0</v>
      </c>
      <c r="I52" t="s">
        <v>1217</v>
      </c>
    </row>
    <row r="53" spans="1:9">
      <c r="A53" t="s">
        <v>931</v>
      </c>
      <c r="B53">
        <v>770</v>
      </c>
      <c r="C53">
        <v>76.510000000000005</v>
      </c>
      <c r="D53">
        <v>127.7</v>
      </c>
      <c r="E53">
        <v>98329</v>
      </c>
      <c r="F53">
        <v>39414.839999999997</v>
      </c>
      <c r="G53">
        <v>66.900000000000006</v>
      </c>
      <c r="H53">
        <v>0.16</v>
      </c>
      <c r="I53" t="s">
        <v>931</v>
      </c>
    </row>
    <row r="54" spans="1:9">
      <c r="A54" t="s">
        <v>117</v>
      </c>
      <c r="B54">
        <v>601</v>
      </c>
      <c r="C54">
        <v>201.95</v>
      </c>
      <c r="D54">
        <v>211.9</v>
      </c>
      <c r="E54">
        <v>127351.9</v>
      </c>
      <c r="F54">
        <v>5982.4</v>
      </c>
      <c r="G54">
        <v>4.93</v>
      </c>
      <c r="H54">
        <v>0</v>
      </c>
      <c r="I54" t="s">
        <v>230</v>
      </c>
    </row>
    <row r="55" spans="1:9">
      <c r="A55" t="s">
        <v>15</v>
      </c>
      <c r="B55">
        <v>135</v>
      </c>
      <c r="C55">
        <v>576</v>
      </c>
      <c r="D55">
        <v>565.65</v>
      </c>
      <c r="E55">
        <v>76362.75</v>
      </c>
      <c r="F55">
        <v>-1397.25</v>
      </c>
      <c r="G55">
        <v>-1.8</v>
      </c>
      <c r="H55">
        <v>0.34</v>
      </c>
      <c r="I55" t="s">
        <v>15</v>
      </c>
    </row>
    <row r="56" spans="1:9">
      <c r="A56" t="s">
        <v>815</v>
      </c>
      <c r="B56">
        <v>83</v>
      </c>
      <c r="C56">
        <v>303.54000000000002</v>
      </c>
      <c r="D56">
        <v>337.6</v>
      </c>
      <c r="E56">
        <v>28020.799999999999</v>
      </c>
      <c r="F56">
        <v>2826.75</v>
      </c>
      <c r="G56">
        <v>11.22</v>
      </c>
      <c r="H56">
        <v>0.04</v>
      </c>
      <c r="I56" t="s">
        <v>812</v>
      </c>
    </row>
    <row r="57" spans="1:9">
      <c r="A57" t="s">
        <v>648</v>
      </c>
      <c r="B57">
        <v>1263</v>
      </c>
      <c r="C57">
        <v>138.81</v>
      </c>
      <c r="D57">
        <v>163.65</v>
      </c>
      <c r="E57">
        <v>206689.95</v>
      </c>
      <c r="F57">
        <v>31375.35</v>
      </c>
      <c r="G57">
        <v>17.899999999999999</v>
      </c>
      <c r="H57">
        <v>0</v>
      </c>
      <c r="I57" t="s">
        <v>649</v>
      </c>
    </row>
    <row r="58" spans="1:9">
      <c r="A58" t="s">
        <v>115</v>
      </c>
      <c r="B58">
        <v>45</v>
      </c>
      <c r="C58">
        <v>105.75</v>
      </c>
      <c r="D58">
        <v>159.5</v>
      </c>
      <c r="E58">
        <v>7177.5</v>
      </c>
      <c r="F58">
        <v>2418.75</v>
      </c>
      <c r="G58">
        <v>50.83</v>
      </c>
      <c r="H58">
        <v>0.03</v>
      </c>
      <c r="I58" t="s">
        <v>34</v>
      </c>
    </row>
    <row r="59" spans="1:9">
      <c r="A59" t="s">
        <v>669</v>
      </c>
      <c r="B59">
        <v>33</v>
      </c>
      <c r="C59">
        <v>3574.55</v>
      </c>
      <c r="D59">
        <v>3343.15</v>
      </c>
      <c r="E59">
        <v>110323.95</v>
      </c>
      <c r="F59">
        <v>-7636.35</v>
      </c>
      <c r="G59">
        <v>-6.47</v>
      </c>
      <c r="H59">
        <v>0</v>
      </c>
      <c r="I59" t="s">
        <v>668</v>
      </c>
    </row>
    <row r="60" spans="1:9">
      <c r="A60" t="s">
        <v>1219</v>
      </c>
      <c r="B60">
        <v>25</v>
      </c>
      <c r="C60">
        <v>2548.4499999999998</v>
      </c>
      <c r="D60">
        <v>2380.75</v>
      </c>
      <c r="E60">
        <v>59518.75</v>
      </c>
      <c r="F60">
        <v>-4192.5</v>
      </c>
      <c r="G60">
        <v>-6.58</v>
      </c>
      <c r="H60">
        <v>0</v>
      </c>
      <c r="I60" t="s">
        <v>1216</v>
      </c>
    </row>
    <row r="61" spans="1:9">
      <c r="A61" t="s">
        <v>510</v>
      </c>
      <c r="B61">
        <v>167</v>
      </c>
      <c r="C61">
        <v>22.52</v>
      </c>
      <c r="D61">
        <v>34.25</v>
      </c>
      <c r="E61">
        <v>5719.75</v>
      </c>
      <c r="F61">
        <v>1958.15</v>
      </c>
      <c r="G61">
        <v>52.06</v>
      </c>
      <c r="H61">
        <v>0</v>
      </c>
    </row>
    <row r="62" spans="1:9">
      <c r="A62" t="s">
        <v>611</v>
      </c>
      <c r="B62">
        <v>540</v>
      </c>
      <c r="C62">
        <v>382.34</v>
      </c>
      <c r="D62">
        <v>359.35</v>
      </c>
      <c r="E62">
        <v>194049</v>
      </c>
      <c r="F62">
        <v>-12413.3</v>
      </c>
      <c r="G62">
        <v>-6.01</v>
      </c>
      <c r="H62">
        <v>0</v>
      </c>
      <c r="I62" t="s">
        <v>610</v>
      </c>
    </row>
    <row r="63" spans="1:9">
      <c r="A63" t="s">
        <v>631</v>
      </c>
      <c r="B63">
        <v>55</v>
      </c>
      <c r="C63">
        <v>3021.94</v>
      </c>
      <c r="D63">
        <v>2959.05</v>
      </c>
      <c r="E63">
        <v>162747.75</v>
      </c>
      <c r="F63">
        <v>-3459.1</v>
      </c>
      <c r="G63">
        <v>-2.08</v>
      </c>
      <c r="H63">
        <v>0</v>
      </c>
      <c r="I63" t="s">
        <v>630</v>
      </c>
    </row>
    <row r="64" spans="1:9">
      <c r="A64" t="s">
        <v>88</v>
      </c>
      <c r="B64">
        <v>34</v>
      </c>
      <c r="C64">
        <v>1013.12</v>
      </c>
      <c r="D64">
        <v>1107.8</v>
      </c>
      <c r="E64">
        <v>37665.199999999997</v>
      </c>
      <c r="F64">
        <v>3219.05</v>
      </c>
      <c r="G64">
        <v>9.35</v>
      </c>
      <c r="H64">
        <v>0</v>
      </c>
      <c r="I64" t="s">
        <v>18</v>
      </c>
    </row>
    <row r="65" spans="1:9">
      <c r="A65" t="s">
        <v>511</v>
      </c>
      <c r="B65">
        <v>4</v>
      </c>
      <c r="C65">
        <v>3037</v>
      </c>
      <c r="D65">
        <v>2788.1</v>
      </c>
      <c r="E65">
        <v>11152.4</v>
      </c>
      <c r="F65">
        <v>-995.6</v>
      </c>
      <c r="G65">
        <v>-8.1999999999999993</v>
      </c>
      <c r="H65">
        <v>0</v>
      </c>
      <c r="I65" t="s">
        <v>512</v>
      </c>
    </row>
    <row r="66" spans="1:9">
      <c r="A66" t="s">
        <v>747</v>
      </c>
      <c r="B66">
        <v>501</v>
      </c>
      <c r="C66">
        <v>514.92999999999995</v>
      </c>
      <c r="D66">
        <v>347.25</v>
      </c>
      <c r="E66">
        <v>173972.25</v>
      </c>
      <c r="F66">
        <v>-84008.8</v>
      </c>
      <c r="G66">
        <v>-32.56</v>
      </c>
      <c r="H66">
        <v>0</v>
      </c>
      <c r="I66" t="s">
        <v>746</v>
      </c>
    </row>
    <row r="67" spans="1:9">
      <c r="A67" t="s">
        <v>1175</v>
      </c>
      <c r="B67">
        <v>123</v>
      </c>
      <c r="C67">
        <v>1190.51</v>
      </c>
      <c r="D67">
        <v>1052.3</v>
      </c>
      <c r="E67">
        <v>129432.9</v>
      </c>
      <c r="F67">
        <v>-16999.400000000001</v>
      </c>
      <c r="G67">
        <v>-11.61</v>
      </c>
      <c r="H67">
        <v>0</v>
      </c>
      <c r="I67" t="s">
        <v>1175</v>
      </c>
    </row>
    <row r="68" spans="1:9">
      <c r="A68" t="s">
        <v>595</v>
      </c>
      <c r="B68">
        <v>50</v>
      </c>
      <c r="C68">
        <v>607.34</v>
      </c>
      <c r="D68">
        <v>588.75</v>
      </c>
      <c r="E68">
        <v>29437.5</v>
      </c>
      <c r="F68">
        <v>-929.6</v>
      </c>
      <c r="G68">
        <v>-3.06</v>
      </c>
      <c r="H68">
        <v>0</v>
      </c>
      <c r="I68" t="s">
        <v>594</v>
      </c>
    </row>
    <row r="69" spans="1:9">
      <c r="A69" t="s">
        <v>83</v>
      </c>
      <c r="B69">
        <v>74</v>
      </c>
      <c r="C69">
        <v>1149.98</v>
      </c>
      <c r="D69">
        <v>1134.55</v>
      </c>
      <c r="E69">
        <v>83956.7</v>
      </c>
      <c r="F69">
        <v>-1141.6500000000001</v>
      </c>
      <c r="G69">
        <v>-1.34</v>
      </c>
      <c r="H69">
        <v>0</v>
      </c>
      <c r="I69" t="s">
        <v>13</v>
      </c>
    </row>
    <row r="70" spans="1:9">
      <c r="A70" t="s">
        <v>540</v>
      </c>
      <c r="B70">
        <v>98</v>
      </c>
      <c r="C70">
        <v>1029.53</v>
      </c>
      <c r="D70">
        <v>841.45</v>
      </c>
      <c r="E70">
        <v>82462.100000000006</v>
      </c>
      <c r="F70">
        <v>-18431.7</v>
      </c>
      <c r="G70">
        <v>-18.27</v>
      </c>
      <c r="H70">
        <v>0</v>
      </c>
      <c r="I70" t="s">
        <v>539</v>
      </c>
    </row>
    <row r="71" spans="1:9">
      <c r="A71" t="s">
        <v>904</v>
      </c>
      <c r="B71">
        <v>6</v>
      </c>
      <c r="C71">
        <v>835</v>
      </c>
      <c r="D71">
        <v>625.25</v>
      </c>
      <c r="E71">
        <v>3751.5</v>
      </c>
      <c r="F71">
        <v>-1258.5</v>
      </c>
      <c r="G71">
        <v>-25.12</v>
      </c>
      <c r="H71">
        <v>0</v>
      </c>
      <c r="I71" t="s">
        <v>893</v>
      </c>
    </row>
    <row r="72" spans="1:9">
      <c r="A72" t="s">
        <v>1172</v>
      </c>
      <c r="B72">
        <v>50</v>
      </c>
      <c r="C72">
        <v>2260.9499999999998</v>
      </c>
      <c r="D72">
        <v>2322.3000000000002</v>
      </c>
      <c r="E72">
        <v>116115</v>
      </c>
      <c r="F72">
        <v>3067.5</v>
      </c>
      <c r="G72">
        <v>2.71</v>
      </c>
      <c r="H72">
        <v>0.15</v>
      </c>
      <c r="I72" t="s">
        <v>1172</v>
      </c>
    </row>
    <row r="73" spans="1:9">
      <c r="A73" t="s">
        <v>698</v>
      </c>
      <c r="B73">
        <v>90</v>
      </c>
      <c r="C73">
        <v>443.05</v>
      </c>
      <c r="D73">
        <v>408.05</v>
      </c>
      <c r="E73">
        <v>36724.5</v>
      </c>
      <c r="F73">
        <v>-3150.25</v>
      </c>
      <c r="G73">
        <v>-7.9</v>
      </c>
      <c r="H73">
        <v>0</v>
      </c>
      <c r="I73" t="s">
        <v>697</v>
      </c>
    </row>
    <row r="74" spans="1:9">
      <c r="A74" t="s">
        <v>880</v>
      </c>
      <c r="B74">
        <v>330</v>
      </c>
      <c r="C74">
        <v>660.29</v>
      </c>
      <c r="D74">
        <v>434.4</v>
      </c>
      <c r="E74">
        <v>143352</v>
      </c>
      <c r="F74">
        <v>-74543.350000000006</v>
      </c>
      <c r="G74">
        <v>-34.21</v>
      </c>
      <c r="H74">
        <v>0</v>
      </c>
      <c r="I74" t="s">
        <v>881</v>
      </c>
    </row>
    <row r="75" spans="1:9">
      <c r="A75" t="s">
        <v>445</v>
      </c>
      <c r="B75">
        <v>23</v>
      </c>
      <c r="C75">
        <v>1361.53</v>
      </c>
      <c r="D75">
        <v>1660.95</v>
      </c>
      <c r="E75">
        <v>38201.85</v>
      </c>
      <c r="F75">
        <v>6886.7</v>
      </c>
      <c r="G75">
        <v>21.99</v>
      </c>
      <c r="H75">
        <v>0</v>
      </c>
      <c r="I75" t="s">
        <v>441</v>
      </c>
    </row>
    <row r="76" spans="1:9">
      <c r="A76" t="s">
        <v>728</v>
      </c>
      <c r="B76">
        <v>22</v>
      </c>
      <c r="C76">
        <v>1332.32</v>
      </c>
      <c r="D76">
        <v>1570.9</v>
      </c>
      <c r="E76">
        <v>34559.800000000003</v>
      </c>
      <c r="F76">
        <v>5248.8</v>
      </c>
      <c r="G76">
        <v>17.91</v>
      </c>
      <c r="H76">
        <v>-0.27</v>
      </c>
      <c r="I76" t="s">
        <v>727</v>
      </c>
    </row>
    <row r="77" spans="1:9">
      <c r="A77" t="s">
        <v>102</v>
      </c>
      <c r="B77">
        <v>946</v>
      </c>
      <c r="C77">
        <v>102.84</v>
      </c>
      <c r="D77">
        <v>115.7</v>
      </c>
      <c r="E77">
        <v>109452.2</v>
      </c>
      <c r="F77">
        <v>12163.2</v>
      </c>
      <c r="G77">
        <v>12.5</v>
      </c>
      <c r="H77">
        <v>0.17</v>
      </c>
      <c r="I77" t="s">
        <v>26</v>
      </c>
    </row>
    <row r="78" spans="1:9">
      <c r="A78" t="s">
        <v>633</v>
      </c>
      <c r="B78">
        <v>15</v>
      </c>
      <c r="C78">
        <v>5635.02</v>
      </c>
      <c r="D78">
        <v>5464.9</v>
      </c>
      <c r="E78">
        <v>81973.5</v>
      </c>
      <c r="F78">
        <v>-2551.85</v>
      </c>
      <c r="G78">
        <v>-3.02</v>
      </c>
      <c r="H78">
        <v>-0.09</v>
      </c>
      <c r="I78" t="s">
        <v>635</v>
      </c>
    </row>
    <row r="79" spans="1:9">
      <c r="A79" t="s">
        <v>219</v>
      </c>
      <c r="B79">
        <v>1</v>
      </c>
      <c r="C79">
        <v>7592</v>
      </c>
      <c r="D79">
        <v>6378.3</v>
      </c>
      <c r="E79">
        <v>6378.3</v>
      </c>
      <c r="F79">
        <v>-1213.7</v>
      </c>
      <c r="G79">
        <v>-15.99</v>
      </c>
      <c r="H79">
        <v>0</v>
      </c>
      <c r="I79" t="s">
        <v>218</v>
      </c>
    </row>
    <row r="80" spans="1:9">
      <c r="A80" t="s">
        <v>926</v>
      </c>
      <c r="B80">
        <v>123</v>
      </c>
      <c r="C80">
        <v>691.21</v>
      </c>
      <c r="D80">
        <v>690.3</v>
      </c>
      <c r="E80">
        <v>84906.9</v>
      </c>
      <c r="F80">
        <v>-111.75</v>
      </c>
      <c r="G80">
        <v>-0.13</v>
      </c>
      <c r="H80">
        <v>-0.82</v>
      </c>
      <c r="I80" t="s">
        <v>925</v>
      </c>
    </row>
    <row r="81" spans="1:9">
      <c r="A81" t="s">
        <v>794</v>
      </c>
      <c r="B81">
        <v>100</v>
      </c>
      <c r="C81">
        <v>299.95</v>
      </c>
      <c r="D81">
        <v>288</v>
      </c>
      <c r="E81">
        <v>28800</v>
      </c>
      <c r="F81">
        <v>-1195</v>
      </c>
      <c r="G81">
        <v>-3.98</v>
      </c>
      <c r="H81">
        <v>-0.09</v>
      </c>
      <c r="I81" t="s">
        <v>803</v>
      </c>
    </row>
    <row r="82" spans="1:9">
      <c r="A82" t="s">
        <v>75</v>
      </c>
      <c r="B82">
        <v>134</v>
      </c>
      <c r="C82">
        <v>125.11</v>
      </c>
      <c r="D82">
        <v>399</v>
      </c>
      <c r="E82">
        <v>53466</v>
      </c>
      <c r="F82">
        <v>36701.800000000003</v>
      </c>
      <c r="G82">
        <v>218.93</v>
      </c>
      <c r="H82">
        <v>-0.41</v>
      </c>
      <c r="I82" t="s">
        <v>9</v>
      </c>
    </row>
    <row r="83" spans="1:9">
      <c r="A83" t="s">
        <v>705</v>
      </c>
      <c r="B83">
        <v>9</v>
      </c>
      <c r="C83">
        <v>1254.1500000000001</v>
      </c>
      <c r="D83">
        <v>1487.65</v>
      </c>
      <c r="E83">
        <v>13388.85</v>
      </c>
      <c r="F83">
        <v>2101.5</v>
      </c>
      <c r="G83">
        <v>18.62</v>
      </c>
      <c r="H83">
        <v>-0.04</v>
      </c>
      <c r="I83" t="s">
        <v>717</v>
      </c>
    </row>
    <row r="84" spans="1:9">
      <c r="A84" t="s">
        <v>849</v>
      </c>
      <c r="B84">
        <v>3000</v>
      </c>
      <c r="C84">
        <v>0.38</v>
      </c>
      <c r="D84">
        <v>1.44</v>
      </c>
      <c r="E84">
        <v>4320</v>
      </c>
      <c r="F84">
        <v>3180</v>
      </c>
      <c r="G84">
        <v>278.95</v>
      </c>
      <c r="H84">
        <v>0</v>
      </c>
    </row>
    <row r="85" spans="1:9">
      <c r="A85" t="s">
        <v>81</v>
      </c>
      <c r="B85">
        <v>249</v>
      </c>
      <c r="C85">
        <v>723.84</v>
      </c>
      <c r="D85">
        <v>696.9</v>
      </c>
      <c r="E85">
        <v>173528.1</v>
      </c>
      <c r="F85">
        <v>-6708.65</v>
      </c>
      <c r="G85">
        <v>-3.72</v>
      </c>
      <c r="H85">
        <v>0</v>
      </c>
      <c r="I85" t="s">
        <v>12</v>
      </c>
    </row>
    <row r="86" spans="1:9">
      <c r="A86" t="s">
        <v>970</v>
      </c>
      <c r="B86">
        <v>43</v>
      </c>
      <c r="C86">
        <v>1257.01</v>
      </c>
      <c r="D86">
        <v>1106</v>
      </c>
      <c r="E86">
        <v>47558</v>
      </c>
      <c r="F86">
        <v>-6493.45</v>
      </c>
      <c r="G86">
        <v>-12.01</v>
      </c>
      <c r="H86">
        <v>0</v>
      </c>
      <c r="I86" t="s">
        <v>969</v>
      </c>
    </row>
    <row r="87" spans="1:9">
      <c r="A87" t="s">
        <v>1084</v>
      </c>
      <c r="B87">
        <v>17</v>
      </c>
      <c r="C87">
        <v>2421.86</v>
      </c>
      <c r="D87">
        <v>2105.5500000000002</v>
      </c>
      <c r="E87">
        <v>35794.35</v>
      </c>
      <c r="F87">
        <v>-5377.35</v>
      </c>
      <c r="G87">
        <v>-13.06</v>
      </c>
      <c r="H87">
        <v>0</v>
      </c>
      <c r="I87" t="s">
        <v>1084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8E9AC-9F63-4C23-BDA5-56C3088B5694}">
  <sheetPr codeName="Sheet9"/>
  <dimension ref="A1:J74"/>
  <sheetViews>
    <sheetView topLeftCell="A42" workbookViewId="0">
      <selection activeCell="A52" sqref="A52"/>
    </sheetView>
  </sheetViews>
  <sheetFormatPr defaultRowHeight="14.5"/>
  <sheetData>
    <row r="1" spans="1:10">
      <c r="A1" t="s">
        <v>572</v>
      </c>
      <c r="B1" t="s">
        <v>573</v>
      </c>
      <c r="C1" t="s">
        <v>574</v>
      </c>
      <c r="D1" t="s">
        <v>575</v>
      </c>
      <c r="E1" t="s">
        <v>576</v>
      </c>
      <c r="F1" t="s">
        <v>577</v>
      </c>
      <c r="G1" t="s">
        <v>578</v>
      </c>
      <c r="H1" t="s">
        <v>579</v>
      </c>
      <c r="I1" s="26"/>
      <c r="J1" s="26" t="s">
        <v>515</v>
      </c>
    </row>
    <row r="2" spans="1:10">
      <c r="A2" t="s">
        <v>1084</v>
      </c>
      <c r="B2">
        <v>58</v>
      </c>
      <c r="C2">
        <v>2445.9699999999998</v>
      </c>
      <c r="D2">
        <v>2105.5500000000002</v>
      </c>
      <c r="E2">
        <v>122121.9</v>
      </c>
      <c r="F2">
        <v>-19744.2</v>
      </c>
      <c r="G2">
        <v>-13.92</v>
      </c>
      <c r="H2">
        <v>0</v>
      </c>
      <c r="I2" t="s">
        <v>1084</v>
      </c>
    </row>
    <row r="3" spans="1:10">
      <c r="A3" t="s">
        <v>546</v>
      </c>
      <c r="B3">
        <v>23</v>
      </c>
      <c r="C3">
        <v>1262.82</v>
      </c>
      <c r="D3">
        <v>1672</v>
      </c>
      <c r="E3">
        <v>38456</v>
      </c>
      <c r="F3">
        <v>9411.25</v>
      </c>
      <c r="G3">
        <v>32.4</v>
      </c>
      <c r="H3">
        <v>0.01</v>
      </c>
      <c r="I3" t="s">
        <v>545</v>
      </c>
    </row>
    <row r="4" spans="1:10">
      <c r="A4" t="s">
        <v>219</v>
      </c>
      <c r="B4">
        <v>6</v>
      </c>
      <c r="C4">
        <v>6218.11</v>
      </c>
      <c r="D4">
        <v>6378.3</v>
      </c>
      <c r="E4">
        <v>38269.800000000003</v>
      </c>
      <c r="F4">
        <v>961.15</v>
      </c>
      <c r="G4">
        <v>2.58</v>
      </c>
      <c r="H4">
        <v>0</v>
      </c>
      <c r="I4" t="s">
        <v>218</v>
      </c>
    </row>
    <row r="5" spans="1:10">
      <c r="A5" t="s">
        <v>784</v>
      </c>
      <c r="B5">
        <v>116</v>
      </c>
      <c r="C5">
        <v>1024.04</v>
      </c>
      <c r="D5">
        <v>459.25</v>
      </c>
      <c r="E5">
        <v>53273</v>
      </c>
      <c r="F5">
        <v>-65515.25</v>
      </c>
      <c r="G5">
        <v>-55.15</v>
      </c>
      <c r="H5">
        <v>0.16</v>
      </c>
      <c r="I5" t="s">
        <v>783</v>
      </c>
    </row>
    <row r="6" spans="1:10">
      <c r="A6" t="s">
        <v>583</v>
      </c>
      <c r="B6">
        <v>10</v>
      </c>
      <c r="C6">
        <v>127</v>
      </c>
      <c r="D6">
        <v>78.3</v>
      </c>
      <c r="E6">
        <v>783</v>
      </c>
      <c r="F6">
        <v>-487</v>
      </c>
      <c r="G6">
        <v>-38.35</v>
      </c>
      <c r="H6">
        <v>0</v>
      </c>
    </row>
    <row r="7" spans="1:10">
      <c r="A7" t="s">
        <v>898</v>
      </c>
      <c r="B7">
        <v>46</v>
      </c>
      <c r="C7">
        <v>5151.26</v>
      </c>
      <c r="D7">
        <v>3231.95</v>
      </c>
      <c r="E7">
        <v>148669.70000000001</v>
      </c>
      <c r="F7">
        <v>-88288.4</v>
      </c>
      <c r="G7">
        <v>-37.26</v>
      </c>
      <c r="H7">
        <v>0</v>
      </c>
      <c r="I7" t="s">
        <v>894</v>
      </c>
    </row>
    <row r="8" spans="1:10">
      <c r="A8" t="s">
        <v>115</v>
      </c>
      <c r="B8">
        <v>83</v>
      </c>
      <c r="C8">
        <v>98.2</v>
      </c>
      <c r="D8">
        <v>159.5</v>
      </c>
      <c r="E8">
        <v>13238.5</v>
      </c>
      <c r="F8">
        <v>5087.8999999999996</v>
      </c>
      <c r="G8">
        <v>62.42</v>
      </c>
      <c r="H8">
        <v>0.03</v>
      </c>
      <c r="I8" t="s">
        <v>34</v>
      </c>
    </row>
    <row r="9" spans="1:10">
      <c r="A9" t="s">
        <v>510</v>
      </c>
      <c r="B9">
        <v>100</v>
      </c>
      <c r="C9">
        <v>30.1</v>
      </c>
      <c r="D9">
        <v>34.25</v>
      </c>
      <c r="E9">
        <v>3425</v>
      </c>
      <c r="F9">
        <v>415</v>
      </c>
      <c r="G9">
        <v>13.79</v>
      </c>
      <c r="H9">
        <v>0</v>
      </c>
    </row>
    <row r="10" spans="1:10">
      <c r="A10" t="s">
        <v>93</v>
      </c>
      <c r="B10">
        <v>400</v>
      </c>
      <c r="C10">
        <v>97.15</v>
      </c>
      <c r="D10">
        <v>166.2</v>
      </c>
      <c r="E10">
        <v>66480</v>
      </c>
      <c r="F10">
        <v>27620.75</v>
      </c>
      <c r="G10">
        <v>71.08</v>
      </c>
      <c r="H10">
        <v>0</v>
      </c>
      <c r="I10" t="s">
        <v>20</v>
      </c>
    </row>
    <row r="11" spans="1:10">
      <c r="A11" t="s">
        <v>107</v>
      </c>
      <c r="B11">
        <v>44</v>
      </c>
      <c r="C11">
        <v>2369.7199999999998</v>
      </c>
      <c r="D11">
        <v>2402.6</v>
      </c>
      <c r="E11">
        <v>105714.4</v>
      </c>
      <c r="F11">
        <v>1446.65</v>
      </c>
      <c r="G11">
        <v>1.39</v>
      </c>
      <c r="H11">
        <v>0</v>
      </c>
      <c r="I11" t="s">
        <v>29</v>
      </c>
    </row>
    <row r="12" spans="1:10">
      <c r="A12" t="s">
        <v>724</v>
      </c>
      <c r="B12">
        <v>6</v>
      </c>
      <c r="C12">
        <v>579.95000000000005</v>
      </c>
      <c r="D12">
        <v>415.45</v>
      </c>
      <c r="E12">
        <v>2492.6999999999998</v>
      </c>
      <c r="F12">
        <v>-987</v>
      </c>
      <c r="G12">
        <v>-28.36</v>
      </c>
      <c r="H12">
        <v>0</v>
      </c>
      <c r="I12" t="s">
        <v>723</v>
      </c>
    </row>
    <row r="13" spans="1:10">
      <c r="A13" t="s">
        <v>655</v>
      </c>
      <c r="B13">
        <v>26</v>
      </c>
      <c r="C13">
        <v>5342.95</v>
      </c>
      <c r="D13">
        <v>4549.6000000000004</v>
      </c>
      <c r="E13">
        <v>118289.60000000001</v>
      </c>
      <c r="F13">
        <v>-20627.2</v>
      </c>
      <c r="G13">
        <v>-14.85</v>
      </c>
      <c r="H13">
        <v>0</v>
      </c>
      <c r="I13" t="s">
        <v>650</v>
      </c>
    </row>
    <row r="14" spans="1:10">
      <c r="A14" t="s">
        <v>414</v>
      </c>
      <c r="B14">
        <v>115</v>
      </c>
      <c r="C14">
        <v>549.79</v>
      </c>
      <c r="D14">
        <v>641.45000000000005</v>
      </c>
      <c r="E14">
        <v>73766.75</v>
      </c>
      <c r="F14">
        <v>10541</v>
      </c>
      <c r="G14">
        <v>16.670000000000002</v>
      </c>
      <c r="H14">
        <v>0</v>
      </c>
      <c r="I14" t="s">
        <v>414</v>
      </c>
    </row>
    <row r="15" spans="1:10">
      <c r="A15" t="s">
        <v>104</v>
      </c>
      <c r="B15">
        <v>900</v>
      </c>
      <c r="C15">
        <v>33.619999999999997</v>
      </c>
      <c r="D15">
        <v>31.3</v>
      </c>
      <c r="E15">
        <v>28170</v>
      </c>
      <c r="F15">
        <v>-2085</v>
      </c>
      <c r="G15">
        <v>-6.89</v>
      </c>
      <c r="H15">
        <v>0.16</v>
      </c>
      <c r="I15" t="s">
        <v>27</v>
      </c>
    </row>
    <row r="16" spans="1:10">
      <c r="A16" t="s">
        <v>207</v>
      </c>
      <c r="B16">
        <v>40</v>
      </c>
      <c r="C16">
        <v>110.64</v>
      </c>
      <c r="D16">
        <v>339.5</v>
      </c>
      <c r="E16">
        <v>13580</v>
      </c>
      <c r="F16">
        <v>9154.2999999999993</v>
      </c>
      <c r="G16">
        <v>206.84</v>
      </c>
      <c r="H16">
        <v>0</v>
      </c>
    </row>
    <row r="17" spans="1:9">
      <c r="A17" t="s">
        <v>716</v>
      </c>
      <c r="B17">
        <v>81</v>
      </c>
      <c r="C17">
        <v>1165.6300000000001</v>
      </c>
      <c r="D17">
        <v>1035.95</v>
      </c>
      <c r="E17">
        <v>83911.95</v>
      </c>
      <c r="F17">
        <v>-10504.45</v>
      </c>
      <c r="G17">
        <v>-11.13</v>
      </c>
      <c r="H17">
        <v>0</v>
      </c>
      <c r="I17" t="s">
        <v>712</v>
      </c>
    </row>
    <row r="18" spans="1:9">
      <c r="A18" t="s">
        <v>88</v>
      </c>
      <c r="B18">
        <v>32</v>
      </c>
      <c r="C18">
        <v>1012.26</v>
      </c>
      <c r="D18">
        <v>1107.8</v>
      </c>
      <c r="E18">
        <v>35449.599999999999</v>
      </c>
      <c r="F18">
        <v>3057.15</v>
      </c>
      <c r="G18">
        <v>9.44</v>
      </c>
      <c r="H18">
        <v>-0.32</v>
      </c>
      <c r="I18" t="s">
        <v>18</v>
      </c>
    </row>
    <row r="19" spans="1:9">
      <c r="A19" t="s">
        <v>904</v>
      </c>
      <c r="B19">
        <v>236</v>
      </c>
      <c r="C19">
        <v>993.3</v>
      </c>
      <c r="D19">
        <v>625.25</v>
      </c>
      <c r="E19">
        <v>147559</v>
      </c>
      <c r="F19">
        <v>-86860.6</v>
      </c>
      <c r="G19">
        <v>-37.049999999999997</v>
      </c>
      <c r="H19">
        <v>0</v>
      </c>
      <c r="I19" t="s">
        <v>893</v>
      </c>
    </row>
    <row r="20" spans="1:9">
      <c r="A20" t="s">
        <v>747</v>
      </c>
      <c r="B20">
        <v>199</v>
      </c>
      <c r="C20">
        <v>442.07</v>
      </c>
      <c r="D20">
        <v>347.25</v>
      </c>
      <c r="E20">
        <v>69102.75</v>
      </c>
      <c r="F20">
        <v>-18868.900000000001</v>
      </c>
      <c r="G20">
        <v>-21.45</v>
      </c>
      <c r="H20">
        <v>0</v>
      </c>
      <c r="I20" t="s">
        <v>746</v>
      </c>
    </row>
    <row r="21" spans="1:9">
      <c r="A21" t="s">
        <v>580</v>
      </c>
      <c r="B21">
        <v>8</v>
      </c>
      <c r="C21">
        <v>85.15</v>
      </c>
      <c r="D21">
        <v>149</v>
      </c>
      <c r="E21">
        <v>1192</v>
      </c>
      <c r="F21">
        <v>510.8</v>
      </c>
      <c r="G21">
        <v>74.989999999999995</v>
      </c>
      <c r="H21">
        <v>0.03</v>
      </c>
    </row>
    <row r="22" spans="1:9">
      <c r="A22" t="s">
        <v>690</v>
      </c>
      <c r="B22">
        <v>12</v>
      </c>
      <c r="C22">
        <v>2998.94</v>
      </c>
      <c r="D22">
        <v>2354.35</v>
      </c>
      <c r="E22">
        <v>28252.2</v>
      </c>
      <c r="F22">
        <v>-7735.05</v>
      </c>
      <c r="G22">
        <v>-21.49</v>
      </c>
      <c r="H22">
        <v>0</v>
      </c>
      <c r="I22" t="s">
        <v>689</v>
      </c>
    </row>
    <row r="23" spans="1:9">
      <c r="A23" t="s">
        <v>815</v>
      </c>
      <c r="B23">
        <v>343</v>
      </c>
      <c r="C23">
        <v>384.36</v>
      </c>
      <c r="D23">
        <v>337.6</v>
      </c>
      <c r="E23">
        <v>115796.8</v>
      </c>
      <c r="F23">
        <v>-16038.5</v>
      </c>
      <c r="G23">
        <v>-12.17</v>
      </c>
      <c r="H23">
        <v>0.04</v>
      </c>
      <c r="I23" t="s">
        <v>812</v>
      </c>
    </row>
    <row r="24" spans="1:9">
      <c r="A24" t="s">
        <v>445</v>
      </c>
      <c r="B24">
        <v>61</v>
      </c>
      <c r="C24">
        <v>1457.75</v>
      </c>
      <c r="D24">
        <v>1660.95</v>
      </c>
      <c r="E24">
        <v>101317.95</v>
      </c>
      <c r="F24">
        <v>12395.15</v>
      </c>
      <c r="G24">
        <v>13.94</v>
      </c>
      <c r="H24">
        <v>0</v>
      </c>
      <c r="I24" t="s">
        <v>441</v>
      </c>
    </row>
    <row r="25" spans="1:9">
      <c r="A25" t="s">
        <v>111</v>
      </c>
      <c r="B25">
        <v>50</v>
      </c>
      <c r="C25">
        <v>107.1</v>
      </c>
      <c r="D25">
        <v>150.4</v>
      </c>
      <c r="E25">
        <v>7520</v>
      </c>
      <c r="F25">
        <v>2165</v>
      </c>
      <c r="G25">
        <v>40.43</v>
      </c>
      <c r="H25">
        <v>0</v>
      </c>
      <c r="I25" t="s">
        <v>31</v>
      </c>
    </row>
    <row r="26" spans="1:9">
      <c r="A26" t="s">
        <v>15</v>
      </c>
      <c r="B26">
        <v>40</v>
      </c>
      <c r="C26">
        <v>485.89</v>
      </c>
      <c r="D26">
        <v>565.65</v>
      </c>
      <c r="E26">
        <v>22626</v>
      </c>
      <c r="F26">
        <v>3190.4</v>
      </c>
      <c r="G26">
        <v>16.420000000000002</v>
      </c>
      <c r="H26">
        <v>0.34</v>
      </c>
      <c r="I26" t="s">
        <v>15</v>
      </c>
    </row>
    <row r="27" spans="1:9">
      <c r="A27" t="s">
        <v>1029</v>
      </c>
      <c r="B27">
        <v>305</v>
      </c>
      <c r="C27">
        <v>476.43</v>
      </c>
      <c r="D27">
        <v>443.1</v>
      </c>
      <c r="E27">
        <v>135145.5</v>
      </c>
      <c r="F27">
        <v>-10167</v>
      </c>
      <c r="G27">
        <v>-7</v>
      </c>
      <c r="H27">
        <v>-0.12</v>
      </c>
      <c r="I27" t="s">
        <v>1028</v>
      </c>
    </row>
    <row r="28" spans="1:9">
      <c r="A28" t="s">
        <v>880</v>
      </c>
      <c r="B28">
        <v>100</v>
      </c>
      <c r="C28">
        <v>839.83</v>
      </c>
      <c r="D28">
        <v>434.4</v>
      </c>
      <c r="E28">
        <v>43440</v>
      </c>
      <c r="F28">
        <v>-40542.9</v>
      </c>
      <c r="G28">
        <v>-48.28</v>
      </c>
      <c r="H28">
        <v>0</v>
      </c>
      <c r="I28" t="s">
        <v>881</v>
      </c>
    </row>
    <row r="29" spans="1:9">
      <c r="A29" t="s">
        <v>1243</v>
      </c>
      <c r="B29">
        <v>4</v>
      </c>
      <c r="C29">
        <v>1279.7</v>
      </c>
      <c r="D29">
        <v>1525.55</v>
      </c>
      <c r="E29">
        <v>6102.2</v>
      </c>
      <c r="F29">
        <v>983.4</v>
      </c>
      <c r="G29">
        <v>19.21</v>
      </c>
      <c r="H29">
        <v>0</v>
      </c>
    </row>
    <row r="30" spans="1:9">
      <c r="A30" t="s">
        <v>742</v>
      </c>
      <c r="B30">
        <v>340</v>
      </c>
      <c r="C30">
        <v>75.400000000000006</v>
      </c>
      <c r="D30">
        <v>66.900000000000006</v>
      </c>
      <c r="E30">
        <v>22746</v>
      </c>
      <c r="F30">
        <v>-2890</v>
      </c>
      <c r="G30">
        <v>-11.27</v>
      </c>
      <c r="H30">
        <v>7.0000000000000007E-2</v>
      </c>
      <c r="I30" t="s">
        <v>749</v>
      </c>
    </row>
    <row r="31" spans="1:9">
      <c r="A31" t="s">
        <v>648</v>
      </c>
      <c r="B31">
        <v>20</v>
      </c>
      <c r="C31">
        <v>122.95</v>
      </c>
      <c r="D31">
        <v>163.65</v>
      </c>
      <c r="E31">
        <v>3273</v>
      </c>
      <c r="F31">
        <v>814</v>
      </c>
      <c r="G31">
        <v>33.1</v>
      </c>
      <c r="H31">
        <v>0</v>
      </c>
      <c r="I31" t="s">
        <v>649</v>
      </c>
    </row>
    <row r="32" spans="1:9">
      <c r="A32" t="s">
        <v>581</v>
      </c>
      <c r="B32">
        <v>20</v>
      </c>
      <c r="C32">
        <v>39.700000000000003</v>
      </c>
      <c r="D32">
        <v>269.35000000000002</v>
      </c>
      <c r="E32">
        <v>5387</v>
      </c>
      <c r="F32">
        <v>4593</v>
      </c>
      <c r="G32">
        <v>578.46</v>
      </c>
      <c r="H32">
        <v>0</v>
      </c>
    </row>
    <row r="33" spans="1:9">
      <c r="A33" t="s">
        <v>943</v>
      </c>
      <c r="B33">
        <v>242</v>
      </c>
      <c r="C33">
        <v>657.62</v>
      </c>
      <c r="D33">
        <v>696.75</v>
      </c>
      <c r="E33">
        <v>168613.5</v>
      </c>
      <c r="F33">
        <v>9469.0499999999993</v>
      </c>
      <c r="G33">
        <v>5.95</v>
      </c>
      <c r="H33">
        <v>0</v>
      </c>
      <c r="I33" t="s">
        <v>982</v>
      </c>
    </row>
    <row r="34" spans="1:9">
      <c r="A34" t="s">
        <v>843</v>
      </c>
      <c r="B34">
        <v>53</v>
      </c>
      <c r="C34">
        <v>1133.5</v>
      </c>
      <c r="D34">
        <v>1076.6500000000001</v>
      </c>
      <c r="E34">
        <v>57062.45</v>
      </c>
      <c r="F34">
        <v>-3013.05</v>
      </c>
      <c r="G34">
        <v>-5.0199999999999996</v>
      </c>
      <c r="H34">
        <v>0</v>
      </c>
      <c r="I34" t="s">
        <v>842</v>
      </c>
    </row>
    <row r="35" spans="1:9">
      <c r="A35" t="s">
        <v>675</v>
      </c>
      <c r="B35">
        <v>273</v>
      </c>
      <c r="C35">
        <v>570.44000000000005</v>
      </c>
      <c r="D35">
        <v>590.54999999999995</v>
      </c>
      <c r="E35">
        <v>161220.15</v>
      </c>
      <c r="F35">
        <v>5490</v>
      </c>
      <c r="G35">
        <v>3.53</v>
      </c>
      <c r="H35">
        <v>0</v>
      </c>
      <c r="I35" t="s">
        <v>674</v>
      </c>
    </row>
    <row r="36" spans="1:9">
      <c r="A36" t="s">
        <v>850</v>
      </c>
      <c r="B36">
        <v>145</v>
      </c>
      <c r="C36">
        <v>6.27</v>
      </c>
      <c r="D36">
        <v>24.9</v>
      </c>
      <c r="E36">
        <v>3610.5</v>
      </c>
      <c r="F36">
        <v>2701.25</v>
      </c>
      <c r="G36">
        <v>297.08999999999997</v>
      </c>
      <c r="H36">
        <v>0.4</v>
      </c>
    </row>
    <row r="37" spans="1:9">
      <c r="A37" t="s">
        <v>119</v>
      </c>
      <c r="B37">
        <v>461</v>
      </c>
      <c r="C37">
        <v>140.58000000000001</v>
      </c>
      <c r="D37">
        <v>130.19999999999999</v>
      </c>
      <c r="E37">
        <v>60022.2</v>
      </c>
      <c r="F37">
        <v>-4784.6499999999996</v>
      </c>
      <c r="G37">
        <v>-7.38</v>
      </c>
      <c r="H37">
        <v>-0.5</v>
      </c>
      <c r="I37" t="s">
        <v>37</v>
      </c>
    </row>
    <row r="38" spans="1:9">
      <c r="A38" t="s">
        <v>937</v>
      </c>
      <c r="B38">
        <v>17</v>
      </c>
      <c r="C38">
        <v>9632.5</v>
      </c>
      <c r="D38">
        <v>7842.25</v>
      </c>
      <c r="E38">
        <v>133318.25</v>
      </c>
      <c r="F38">
        <v>-30434.2</v>
      </c>
      <c r="G38">
        <v>-18.59</v>
      </c>
      <c r="H38">
        <v>0</v>
      </c>
      <c r="I38" t="s">
        <v>936</v>
      </c>
    </row>
    <row r="39" spans="1:9">
      <c r="A39" t="s">
        <v>678</v>
      </c>
      <c r="B39">
        <v>236</v>
      </c>
      <c r="C39">
        <v>369.43</v>
      </c>
      <c r="D39">
        <v>339.6</v>
      </c>
      <c r="E39">
        <v>80145.600000000006</v>
      </c>
      <c r="F39">
        <v>-7038.9</v>
      </c>
      <c r="G39">
        <v>-8.07</v>
      </c>
      <c r="H39">
        <v>0</v>
      </c>
      <c r="I39" t="s">
        <v>677</v>
      </c>
    </row>
    <row r="40" spans="1:9">
      <c r="A40" t="s">
        <v>478</v>
      </c>
      <c r="B40">
        <v>139</v>
      </c>
      <c r="C40">
        <v>879.57</v>
      </c>
      <c r="D40">
        <v>752</v>
      </c>
      <c r="E40">
        <v>104528</v>
      </c>
      <c r="F40">
        <v>-17732.150000000001</v>
      </c>
      <c r="G40">
        <v>-14.5</v>
      </c>
      <c r="H40">
        <v>0.05</v>
      </c>
      <c r="I40" t="s">
        <v>469</v>
      </c>
    </row>
    <row r="41" spans="1:9">
      <c r="A41" t="s">
        <v>528</v>
      </c>
      <c r="B41">
        <v>196</v>
      </c>
      <c r="C41">
        <v>624.79</v>
      </c>
      <c r="D41">
        <v>473.65</v>
      </c>
      <c r="E41">
        <v>92835.4</v>
      </c>
      <c r="F41">
        <v>-29623.200000000001</v>
      </c>
      <c r="G41">
        <v>-24.19</v>
      </c>
      <c r="H41">
        <v>0</v>
      </c>
      <c r="I41" t="s">
        <v>527</v>
      </c>
    </row>
    <row r="42" spans="1:9">
      <c r="A42" t="s">
        <v>967</v>
      </c>
      <c r="B42">
        <v>110</v>
      </c>
      <c r="C42">
        <v>676.07</v>
      </c>
      <c r="D42">
        <v>698.55</v>
      </c>
      <c r="E42">
        <v>76840.5</v>
      </c>
      <c r="F42">
        <v>2472.35</v>
      </c>
      <c r="G42">
        <v>3.32</v>
      </c>
      <c r="H42">
        <v>0</v>
      </c>
      <c r="I42" t="s">
        <v>966</v>
      </c>
    </row>
    <row r="43" spans="1:9">
      <c r="A43" t="s">
        <v>117</v>
      </c>
      <c r="B43">
        <v>489</v>
      </c>
      <c r="C43">
        <v>208.47</v>
      </c>
      <c r="D43">
        <v>211.9</v>
      </c>
      <c r="E43">
        <v>103619.1</v>
      </c>
      <c r="F43">
        <v>1676.55</v>
      </c>
      <c r="G43">
        <v>1.64</v>
      </c>
      <c r="H43">
        <v>0</v>
      </c>
      <c r="I43" t="s">
        <v>230</v>
      </c>
    </row>
    <row r="44" spans="1:9">
      <c r="A44" t="s">
        <v>471</v>
      </c>
      <c r="B44">
        <v>16</v>
      </c>
      <c r="C44">
        <v>1786.08</v>
      </c>
      <c r="D44">
        <v>1960.75</v>
      </c>
      <c r="E44">
        <v>31372</v>
      </c>
      <c r="F44">
        <v>2794.8</v>
      </c>
      <c r="G44">
        <v>9.7799999999999994</v>
      </c>
      <c r="H44">
        <v>0</v>
      </c>
      <c r="I44" t="s">
        <v>470</v>
      </c>
    </row>
    <row r="45" spans="1:9">
      <c r="A45" t="s">
        <v>75</v>
      </c>
      <c r="B45">
        <v>127</v>
      </c>
      <c r="C45">
        <v>133.87</v>
      </c>
      <c r="D45">
        <v>399</v>
      </c>
      <c r="E45">
        <v>50673</v>
      </c>
      <c r="F45">
        <v>33671.85</v>
      </c>
      <c r="G45">
        <v>198.06</v>
      </c>
      <c r="H45">
        <v>-0.41</v>
      </c>
      <c r="I45" t="s">
        <v>9</v>
      </c>
    </row>
    <row r="46" spans="1:9">
      <c r="A46" t="s">
        <v>1223</v>
      </c>
      <c r="B46">
        <v>4</v>
      </c>
      <c r="C46">
        <v>3670.35</v>
      </c>
      <c r="D46">
        <v>3516</v>
      </c>
      <c r="E46">
        <v>14064</v>
      </c>
      <c r="F46">
        <v>-617.4</v>
      </c>
      <c r="G46">
        <v>-4.21</v>
      </c>
      <c r="H46">
        <v>0</v>
      </c>
      <c r="I46" t="s">
        <v>1218</v>
      </c>
    </row>
    <row r="47" spans="1:9">
      <c r="A47" t="s">
        <v>569</v>
      </c>
      <c r="B47">
        <v>7</v>
      </c>
      <c r="C47">
        <v>166.35</v>
      </c>
      <c r="D47">
        <v>307.5</v>
      </c>
      <c r="E47">
        <v>2152.5</v>
      </c>
      <c r="F47">
        <v>988.05</v>
      </c>
      <c r="G47">
        <v>84.85</v>
      </c>
      <c r="H47">
        <v>-0.56999999999999995</v>
      </c>
    </row>
    <row r="48" spans="1:9">
      <c r="A48" t="s">
        <v>653</v>
      </c>
      <c r="B48">
        <v>132</v>
      </c>
      <c r="C48">
        <v>661.82</v>
      </c>
      <c r="D48">
        <v>656.95</v>
      </c>
      <c r="E48">
        <v>86717.4</v>
      </c>
      <c r="F48">
        <v>-643.20000000000005</v>
      </c>
      <c r="G48">
        <v>-0.74</v>
      </c>
      <c r="H48">
        <v>0</v>
      </c>
      <c r="I48" t="s">
        <v>651</v>
      </c>
    </row>
    <row r="49" spans="1:9">
      <c r="A49" t="s">
        <v>931</v>
      </c>
      <c r="B49">
        <v>300</v>
      </c>
      <c r="C49">
        <v>100.95</v>
      </c>
      <c r="D49">
        <v>127.7</v>
      </c>
      <c r="E49">
        <v>38310</v>
      </c>
      <c r="F49">
        <v>8025</v>
      </c>
      <c r="G49">
        <v>26.5</v>
      </c>
      <c r="H49">
        <v>0.16</v>
      </c>
      <c r="I49" t="s">
        <v>931</v>
      </c>
    </row>
    <row r="50" spans="1:9">
      <c r="A50" t="s">
        <v>970</v>
      </c>
      <c r="B50">
        <v>50</v>
      </c>
      <c r="C50">
        <v>1295.46</v>
      </c>
      <c r="D50">
        <v>1106</v>
      </c>
      <c r="E50">
        <v>55300</v>
      </c>
      <c r="F50">
        <v>-9473</v>
      </c>
      <c r="G50">
        <v>-14.62</v>
      </c>
      <c r="H50">
        <v>0</v>
      </c>
      <c r="I50" t="s">
        <v>969</v>
      </c>
    </row>
    <row r="51" spans="1:9">
      <c r="A51" t="s">
        <v>582</v>
      </c>
      <c r="B51">
        <v>420</v>
      </c>
      <c r="C51">
        <v>2.62</v>
      </c>
      <c r="D51">
        <v>8.3000000000000007</v>
      </c>
      <c r="E51">
        <v>3486</v>
      </c>
      <c r="F51">
        <v>2385.6</v>
      </c>
      <c r="G51">
        <v>216.79</v>
      </c>
      <c r="H51">
        <v>0</v>
      </c>
    </row>
    <row r="52" spans="1:9">
      <c r="A52" t="s">
        <v>463</v>
      </c>
      <c r="B52">
        <v>342</v>
      </c>
      <c r="C52">
        <v>128.9</v>
      </c>
      <c r="D52">
        <v>136</v>
      </c>
      <c r="E52">
        <v>46512</v>
      </c>
      <c r="F52">
        <v>2428.1999999999998</v>
      </c>
      <c r="G52">
        <v>5.51</v>
      </c>
      <c r="H52">
        <v>0</v>
      </c>
    </row>
    <row r="53" spans="1:9">
      <c r="A53" t="s">
        <v>1192</v>
      </c>
      <c r="B53">
        <v>15</v>
      </c>
      <c r="C53">
        <v>41.15</v>
      </c>
      <c r="D53">
        <v>129.5</v>
      </c>
      <c r="E53">
        <v>1942.5</v>
      </c>
      <c r="F53">
        <v>1325.25</v>
      </c>
      <c r="G53">
        <v>214.7</v>
      </c>
      <c r="H53">
        <v>-0.08</v>
      </c>
    </row>
    <row r="54" spans="1:9">
      <c r="A54" t="s">
        <v>753</v>
      </c>
      <c r="B54">
        <v>1</v>
      </c>
      <c r="C54">
        <v>1516.45</v>
      </c>
      <c r="D54">
        <v>1685.6</v>
      </c>
      <c r="E54">
        <v>1685.6</v>
      </c>
      <c r="F54">
        <v>169.15</v>
      </c>
      <c r="G54">
        <v>11.15</v>
      </c>
      <c r="H54">
        <v>0</v>
      </c>
      <c r="I54" t="s">
        <v>751</v>
      </c>
    </row>
    <row r="55" spans="1:9">
      <c r="A55" t="s">
        <v>926</v>
      </c>
      <c r="B55">
        <v>112</v>
      </c>
      <c r="C55">
        <v>729.92</v>
      </c>
      <c r="D55">
        <v>690.3</v>
      </c>
      <c r="E55">
        <v>77313.600000000006</v>
      </c>
      <c r="F55">
        <v>-4437.05</v>
      </c>
      <c r="G55">
        <v>-5.43</v>
      </c>
      <c r="H55">
        <v>-0.82</v>
      </c>
      <c r="I55" t="s">
        <v>925</v>
      </c>
    </row>
    <row r="56" spans="1:9">
      <c r="A56" t="s">
        <v>90</v>
      </c>
      <c r="B56">
        <v>194</v>
      </c>
      <c r="C56">
        <v>279.16000000000003</v>
      </c>
      <c r="D56">
        <v>353.05</v>
      </c>
      <c r="E56">
        <v>68491.7</v>
      </c>
      <c r="F56">
        <v>14335.05</v>
      </c>
      <c r="G56">
        <v>26.47</v>
      </c>
      <c r="H56">
        <v>0</v>
      </c>
      <c r="I56" t="s">
        <v>19</v>
      </c>
    </row>
    <row r="57" spans="1:9">
      <c r="A57" t="s">
        <v>824</v>
      </c>
      <c r="B57">
        <v>22</v>
      </c>
      <c r="C57">
        <v>332.1</v>
      </c>
      <c r="D57">
        <v>222.75</v>
      </c>
      <c r="E57">
        <v>4900.5</v>
      </c>
      <c r="F57">
        <v>-2405.6999999999998</v>
      </c>
      <c r="G57">
        <v>-32.93</v>
      </c>
      <c r="H57">
        <v>0</v>
      </c>
      <c r="I57" t="s">
        <v>823</v>
      </c>
    </row>
    <row r="58" spans="1:9">
      <c r="A58" t="s">
        <v>728</v>
      </c>
      <c r="B58">
        <v>111</v>
      </c>
      <c r="C58">
        <v>1439.24</v>
      </c>
      <c r="D58">
        <v>1570.9</v>
      </c>
      <c r="E58">
        <v>174369.9</v>
      </c>
      <c r="F58">
        <v>14614.3</v>
      </c>
      <c r="G58">
        <v>9.15</v>
      </c>
      <c r="H58">
        <v>-0.27</v>
      </c>
      <c r="I58" t="s">
        <v>727</v>
      </c>
    </row>
    <row r="59" spans="1:9">
      <c r="A59" t="s">
        <v>669</v>
      </c>
      <c r="B59">
        <v>20</v>
      </c>
      <c r="C59">
        <v>3895.72</v>
      </c>
      <c r="D59">
        <v>3343.15</v>
      </c>
      <c r="E59">
        <v>66863</v>
      </c>
      <c r="F59">
        <v>-11051.3</v>
      </c>
      <c r="G59">
        <v>-14.18</v>
      </c>
      <c r="H59">
        <v>0</v>
      </c>
      <c r="I59" t="s">
        <v>668</v>
      </c>
    </row>
    <row r="60" spans="1:9">
      <c r="A60" t="s">
        <v>705</v>
      </c>
      <c r="B60">
        <v>2</v>
      </c>
      <c r="C60">
        <v>1121.0999999999999</v>
      </c>
      <c r="D60">
        <v>1487.65</v>
      </c>
      <c r="E60">
        <v>2975.3</v>
      </c>
      <c r="F60">
        <v>733.1</v>
      </c>
      <c r="G60">
        <v>32.700000000000003</v>
      </c>
      <c r="H60">
        <v>-0.04</v>
      </c>
      <c r="I60" t="s">
        <v>717</v>
      </c>
    </row>
    <row r="61" spans="1:9">
      <c r="A61" t="s">
        <v>628</v>
      </c>
      <c r="B61">
        <v>85</v>
      </c>
      <c r="C61">
        <v>336.51</v>
      </c>
      <c r="D61">
        <v>342.65</v>
      </c>
      <c r="E61">
        <v>29125.25</v>
      </c>
      <c r="F61">
        <v>521.9</v>
      </c>
      <c r="G61">
        <v>1.82</v>
      </c>
      <c r="H61">
        <v>0</v>
      </c>
      <c r="I61" t="s">
        <v>627</v>
      </c>
    </row>
    <row r="62" spans="1:9">
      <c r="A62" t="s">
        <v>744</v>
      </c>
      <c r="B62">
        <v>204</v>
      </c>
      <c r="C62">
        <v>316.77999999999997</v>
      </c>
      <c r="D62">
        <v>291.7</v>
      </c>
      <c r="E62">
        <v>59506.8</v>
      </c>
      <c r="F62">
        <v>-5117</v>
      </c>
      <c r="G62">
        <v>-7.92</v>
      </c>
      <c r="H62">
        <v>0</v>
      </c>
      <c r="I62" t="s">
        <v>743</v>
      </c>
    </row>
    <row r="63" spans="1:9">
      <c r="A63" t="s">
        <v>125</v>
      </c>
      <c r="B63">
        <v>20</v>
      </c>
      <c r="C63">
        <v>398.97</v>
      </c>
      <c r="D63">
        <v>426.15</v>
      </c>
      <c r="E63">
        <v>8523</v>
      </c>
      <c r="F63">
        <v>543.54999999999995</v>
      </c>
      <c r="G63">
        <v>6.81</v>
      </c>
      <c r="H63">
        <v>0</v>
      </c>
    </row>
    <row r="64" spans="1:9">
      <c r="A64" t="s">
        <v>672</v>
      </c>
      <c r="B64">
        <v>7</v>
      </c>
      <c r="C64">
        <v>6617.86</v>
      </c>
      <c r="D64">
        <v>5860.4</v>
      </c>
      <c r="E64">
        <v>41022.800000000003</v>
      </c>
      <c r="F64">
        <v>-5302.25</v>
      </c>
      <c r="G64">
        <v>-11.45</v>
      </c>
      <c r="H64">
        <v>0</v>
      </c>
      <c r="I64" t="s">
        <v>671</v>
      </c>
    </row>
    <row r="65" spans="1:9">
      <c r="A65" t="s">
        <v>83</v>
      </c>
      <c r="B65">
        <v>20</v>
      </c>
      <c r="C65">
        <v>1253.05</v>
      </c>
      <c r="D65">
        <v>1134.55</v>
      </c>
      <c r="E65">
        <v>22691</v>
      </c>
      <c r="F65">
        <v>-2369.9499999999998</v>
      </c>
      <c r="G65">
        <v>-9.4600000000000009</v>
      </c>
      <c r="H65">
        <v>0</v>
      </c>
      <c r="I65" t="s">
        <v>13</v>
      </c>
    </row>
    <row r="66" spans="1:9">
      <c r="A66" t="s">
        <v>611</v>
      </c>
      <c r="B66">
        <v>315</v>
      </c>
      <c r="C66">
        <v>406.72</v>
      </c>
      <c r="D66">
        <v>359.35</v>
      </c>
      <c r="E66">
        <v>113195.25</v>
      </c>
      <c r="F66">
        <v>-14921.05</v>
      </c>
      <c r="G66">
        <v>-11.65</v>
      </c>
      <c r="H66">
        <v>0</v>
      </c>
      <c r="I66" t="s">
        <v>610</v>
      </c>
    </row>
    <row r="67" spans="1:9">
      <c r="A67" t="s">
        <v>567</v>
      </c>
      <c r="B67">
        <v>30</v>
      </c>
      <c r="C67">
        <v>467</v>
      </c>
      <c r="D67">
        <v>484.6</v>
      </c>
      <c r="E67">
        <v>14538</v>
      </c>
      <c r="F67">
        <v>528</v>
      </c>
      <c r="G67">
        <v>3.77</v>
      </c>
      <c r="H67">
        <v>0</v>
      </c>
      <c r="I67" t="s">
        <v>566</v>
      </c>
    </row>
    <row r="68" spans="1:9">
      <c r="A68" t="s">
        <v>511</v>
      </c>
      <c r="B68">
        <v>23</v>
      </c>
      <c r="C68">
        <v>2840.08</v>
      </c>
      <c r="D68">
        <v>2788.1</v>
      </c>
      <c r="E68">
        <v>64126.3</v>
      </c>
      <c r="F68">
        <v>-1195.6500000000001</v>
      </c>
      <c r="G68">
        <v>-1.83</v>
      </c>
      <c r="H68">
        <v>0</v>
      </c>
      <c r="I68" t="s">
        <v>512</v>
      </c>
    </row>
    <row r="69" spans="1:9">
      <c r="A69" t="s">
        <v>100</v>
      </c>
      <c r="B69">
        <v>22</v>
      </c>
      <c r="C69">
        <v>404.07</v>
      </c>
      <c r="D69">
        <v>389.5</v>
      </c>
      <c r="E69">
        <v>8569</v>
      </c>
      <c r="F69">
        <v>-320.60000000000002</v>
      </c>
      <c r="G69">
        <v>-3.61</v>
      </c>
      <c r="H69">
        <v>0</v>
      </c>
      <c r="I69" t="s">
        <v>25</v>
      </c>
    </row>
    <row r="70" spans="1:9">
      <c r="A70" t="s">
        <v>540</v>
      </c>
      <c r="B70">
        <v>35</v>
      </c>
      <c r="C70">
        <v>1173.24</v>
      </c>
      <c r="D70">
        <v>841.45</v>
      </c>
      <c r="E70">
        <v>29450.75</v>
      </c>
      <c r="F70">
        <v>-11612.8</v>
      </c>
      <c r="G70">
        <v>-28.28</v>
      </c>
      <c r="H70">
        <v>0</v>
      </c>
      <c r="I70" t="s">
        <v>539</v>
      </c>
    </row>
    <row r="71" spans="1:9">
      <c r="A71" t="s">
        <v>195</v>
      </c>
      <c r="B71">
        <v>20</v>
      </c>
      <c r="C71">
        <v>1609.85</v>
      </c>
      <c r="D71">
        <v>1333.25</v>
      </c>
      <c r="E71">
        <v>26665</v>
      </c>
      <c r="F71">
        <v>-5532</v>
      </c>
      <c r="G71">
        <v>-17.18</v>
      </c>
      <c r="H71">
        <v>0</v>
      </c>
      <c r="I71" t="s">
        <v>194</v>
      </c>
    </row>
    <row r="72" spans="1:9">
      <c r="A72" t="s">
        <v>534</v>
      </c>
      <c r="B72">
        <v>32</v>
      </c>
      <c r="C72">
        <v>2918.82</v>
      </c>
      <c r="D72">
        <v>2657.85</v>
      </c>
      <c r="E72">
        <v>85051.199999999997</v>
      </c>
      <c r="F72">
        <v>-8351.0499999999993</v>
      </c>
      <c r="G72">
        <v>-8.94</v>
      </c>
      <c r="H72">
        <v>0</v>
      </c>
      <c r="I72" t="s">
        <v>533</v>
      </c>
    </row>
    <row r="73" spans="1:9">
      <c r="A73" t="s">
        <v>1176</v>
      </c>
      <c r="B73">
        <v>10</v>
      </c>
      <c r="C73">
        <v>665.25</v>
      </c>
      <c r="D73">
        <v>705.3</v>
      </c>
      <c r="E73">
        <v>7053</v>
      </c>
      <c r="F73">
        <v>400.5</v>
      </c>
      <c r="G73">
        <v>6.02</v>
      </c>
      <c r="H73">
        <v>-0.14000000000000001</v>
      </c>
      <c r="I73" t="s">
        <v>1176</v>
      </c>
    </row>
    <row r="74" spans="1:9">
      <c r="A74" t="s">
        <v>1158</v>
      </c>
      <c r="B74">
        <v>193</v>
      </c>
      <c r="C74">
        <v>521.54</v>
      </c>
      <c r="D74">
        <v>439.05</v>
      </c>
      <c r="E74">
        <v>84736.65</v>
      </c>
      <c r="F74">
        <v>-15919.9</v>
      </c>
      <c r="G74">
        <v>-15.82</v>
      </c>
      <c r="H74">
        <v>-0.24</v>
      </c>
      <c r="I74" t="s">
        <v>530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A6A6D-7980-4CF9-AF80-F780E1CDB179}">
  <sheetPr codeName="Sheet10"/>
  <dimension ref="A1:J55"/>
  <sheetViews>
    <sheetView workbookViewId="0">
      <selection activeCell="I1" sqref="I1:I1048576"/>
    </sheetView>
  </sheetViews>
  <sheetFormatPr defaultRowHeight="14.5"/>
  <cols>
    <col min="1" max="1" width="13.54296875" bestFit="1" customWidth="1"/>
  </cols>
  <sheetData>
    <row r="1" spans="1:10">
      <c r="A1" t="s">
        <v>572</v>
      </c>
      <c r="B1" t="s">
        <v>573</v>
      </c>
      <c r="C1" t="s">
        <v>574</v>
      </c>
      <c r="D1" t="s">
        <v>575</v>
      </c>
      <c r="E1" t="s">
        <v>576</v>
      </c>
      <c r="F1" t="s">
        <v>577</v>
      </c>
      <c r="G1" t="s">
        <v>578</v>
      </c>
      <c r="H1" t="s">
        <v>579</v>
      </c>
      <c r="I1" s="26"/>
      <c r="J1" s="26" t="s">
        <v>515</v>
      </c>
    </row>
    <row r="2" spans="1:10">
      <c r="A2" t="s">
        <v>716</v>
      </c>
      <c r="B2">
        <v>20</v>
      </c>
      <c r="C2">
        <v>834</v>
      </c>
      <c r="D2">
        <v>1055.3</v>
      </c>
      <c r="E2">
        <v>21106</v>
      </c>
      <c r="F2">
        <v>4426</v>
      </c>
      <c r="G2">
        <v>26.53</v>
      </c>
      <c r="H2">
        <v>0</v>
      </c>
      <c r="I2" t="s">
        <v>712</v>
      </c>
    </row>
    <row r="3" spans="1:10">
      <c r="A3" t="s">
        <v>468</v>
      </c>
      <c r="B3">
        <v>51</v>
      </c>
      <c r="C3">
        <v>1024.9000000000001</v>
      </c>
      <c r="D3">
        <v>1523.6</v>
      </c>
      <c r="E3">
        <v>77703.600000000006</v>
      </c>
      <c r="F3">
        <v>25433.599999999999</v>
      </c>
      <c r="G3">
        <v>48.66</v>
      </c>
      <c r="H3">
        <v>0</v>
      </c>
      <c r="I3" t="s">
        <v>472</v>
      </c>
    </row>
    <row r="4" spans="1:10">
      <c r="A4" t="s">
        <v>794</v>
      </c>
      <c r="B4">
        <v>142</v>
      </c>
      <c r="C4">
        <v>298.20999999999998</v>
      </c>
      <c r="D4">
        <v>302.2</v>
      </c>
      <c r="E4">
        <v>42912.4</v>
      </c>
      <c r="F4">
        <v>566.4</v>
      </c>
      <c r="G4">
        <v>1.34</v>
      </c>
      <c r="H4">
        <v>0</v>
      </c>
      <c r="I4" t="s">
        <v>803</v>
      </c>
    </row>
    <row r="5" spans="1:10">
      <c r="A5" t="s">
        <v>511</v>
      </c>
      <c r="B5">
        <v>29</v>
      </c>
      <c r="C5">
        <v>2402.42</v>
      </c>
      <c r="D5">
        <v>2979.3</v>
      </c>
      <c r="E5">
        <v>86399.7</v>
      </c>
      <c r="F5">
        <v>16729.599999999999</v>
      </c>
      <c r="G5">
        <v>24.01</v>
      </c>
      <c r="H5">
        <v>0</v>
      </c>
      <c r="I5" t="s">
        <v>512</v>
      </c>
    </row>
    <row r="6" spans="1:10">
      <c r="A6" t="s">
        <v>74</v>
      </c>
      <c r="B6">
        <v>104</v>
      </c>
      <c r="C6">
        <v>153.36000000000001</v>
      </c>
      <c r="D6">
        <v>229.85</v>
      </c>
      <c r="E6">
        <v>23904.400000000001</v>
      </c>
      <c r="F6">
        <v>7955.4</v>
      </c>
      <c r="G6">
        <v>49.88</v>
      </c>
      <c r="H6">
        <v>0.39</v>
      </c>
    </row>
    <row r="7" spans="1:10">
      <c r="A7" t="s">
        <v>78</v>
      </c>
      <c r="B7">
        <v>185</v>
      </c>
      <c r="C7">
        <v>32.17</v>
      </c>
      <c r="D7">
        <v>98.95</v>
      </c>
      <c r="E7">
        <v>18305.75</v>
      </c>
      <c r="F7">
        <v>12354.75</v>
      </c>
      <c r="G7">
        <v>207.61</v>
      </c>
      <c r="H7">
        <v>0</v>
      </c>
    </row>
    <row r="8" spans="1:10">
      <c r="A8" t="s">
        <v>81</v>
      </c>
      <c r="B8">
        <v>89</v>
      </c>
      <c r="C8">
        <v>713.76</v>
      </c>
      <c r="D8">
        <v>726.4</v>
      </c>
      <c r="E8">
        <v>64649.599999999999</v>
      </c>
      <c r="F8">
        <v>1125.3499999999999</v>
      </c>
      <c r="G8">
        <v>1.77</v>
      </c>
      <c r="H8">
        <v>0</v>
      </c>
      <c r="I8" t="s">
        <v>12</v>
      </c>
    </row>
    <row r="9" spans="1:10">
      <c r="A9" t="s">
        <v>784</v>
      </c>
      <c r="B9">
        <v>50</v>
      </c>
      <c r="C9">
        <v>871.8</v>
      </c>
      <c r="D9">
        <v>480.8</v>
      </c>
      <c r="E9">
        <v>24040</v>
      </c>
      <c r="F9">
        <v>-19550</v>
      </c>
      <c r="G9">
        <v>-44.85</v>
      </c>
      <c r="H9">
        <v>0</v>
      </c>
      <c r="I9" t="s">
        <v>783</v>
      </c>
    </row>
    <row r="10" spans="1:10">
      <c r="A10" t="s">
        <v>83</v>
      </c>
      <c r="B10">
        <v>37</v>
      </c>
      <c r="C10">
        <v>1224.42</v>
      </c>
      <c r="D10">
        <v>1163.3</v>
      </c>
      <c r="E10">
        <v>43042.1</v>
      </c>
      <c r="F10">
        <v>-2261.3000000000002</v>
      </c>
      <c r="G10">
        <v>-4.99</v>
      </c>
      <c r="H10">
        <v>0</v>
      </c>
      <c r="I10" t="s">
        <v>13</v>
      </c>
    </row>
    <row r="11" spans="1:10">
      <c r="A11" t="s">
        <v>85</v>
      </c>
      <c r="B11">
        <v>7</v>
      </c>
      <c r="C11">
        <v>583.34</v>
      </c>
      <c r="D11">
        <v>886.35</v>
      </c>
      <c r="E11">
        <v>6204.45</v>
      </c>
      <c r="F11">
        <v>2121.1</v>
      </c>
      <c r="G11">
        <v>51.95</v>
      </c>
      <c r="H11">
        <v>0</v>
      </c>
    </row>
    <row r="12" spans="1:10">
      <c r="A12" t="s">
        <v>772</v>
      </c>
      <c r="B12">
        <v>45</v>
      </c>
      <c r="C12">
        <v>349.68</v>
      </c>
      <c r="D12">
        <v>763.45</v>
      </c>
      <c r="E12">
        <v>34355.25</v>
      </c>
      <c r="F12">
        <v>18619.849999999999</v>
      </c>
      <c r="G12">
        <v>118.33</v>
      </c>
      <c r="H12">
        <v>0</v>
      </c>
      <c r="I12" t="s">
        <v>771</v>
      </c>
    </row>
    <row r="13" spans="1:10">
      <c r="A13" t="s">
        <v>787</v>
      </c>
      <c r="B13">
        <v>95</v>
      </c>
      <c r="C13">
        <v>115</v>
      </c>
      <c r="D13">
        <v>171.5</v>
      </c>
      <c r="E13">
        <v>16292.5</v>
      </c>
      <c r="F13">
        <v>5367.5</v>
      </c>
      <c r="G13">
        <v>49.13</v>
      </c>
      <c r="H13">
        <v>0.06</v>
      </c>
    </row>
    <row r="14" spans="1:10">
      <c r="A14" t="s">
        <v>473</v>
      </c>
      <c r="B14">
        <v>65</v>
      </c>
      <c r="C14">
        <v>409.35</v>
      </c>
      <c r="D14">
        <v>1040</v>
      </c>
      <c r="E14">
        <v>67600</v>
      </c>
      <c r="F14">
        <v>40992</v>
      </c>
      <c r="G14">
        <v>154.06</v>
      </c>
      <c r="H14">
        <v>-0.22</v>
      </c>
      <c r="I14" t="s">
        <v>483</v>
      </c>
    </row>
    <row r="15" spans="1:10">
      <c r="A15" t="s">
        <v>984</v>
      </c>
      <c r="B15">
        <v>136</v>
      </c>
      <c r="C15">
        <v>34.03</v>
      </c>
      <c r="D15">
        <v>38.049999999999997</v>
      </c>
      <c r="E15">
        <v>5174.8</v>
      </c>
      <c r="F15">
        <v>546.04999999999995</v>
      </c>
      <c r="G15">
        <v>11.8</v>
      </c>
      <c r="H15">
        <v>0</v>
      </c>
    </row>
    <row r="16" spans="1:10">
      <c r="A16" t="s">
        <v>425</v>
      </c>
      <c r="B16">
        <v>15</v>
      </c>
      <c r="C16">
        <v>132.25</v>
      </c>
      <c r="D16">
        <v>131.94999999999999</v>
      </c>
      <c r="E16">
        <v>1979.25</v>
      </c>
      <c r="F16">
        <v>-4.5</v>
      </c>
      <c r="G16">
        <v>-0.23</v>
      </c>
      <c r="H16">
        <v>1.27</v>
      </c>
      <c r="I16" t="s">
        <v>424</v>
      </c>
    </row>
    <row r="17" spans="1:9">
      <c r="A17" t="s">
        <v>740</v>
      </c>
      <c r="B17">
        <v>10</v>
      </c>
      <c r="C17">
        <v>358.55</v>
      </c>
      <c r="D17">
        <v>272.25</v>
      </c>
      <c r="E17">
        <v>2722.5</v>
      </c>
      <c r="F17">
        <v>-863</v>
      </c>
      <c r="G17">
        <v>-24.07</v>
      </c>
      <c r="H17">
        <v>-0.2</v>
      </c>
      <c r="I17" t="s">
        <v>740</v>
      </c>
    </row>
    <row r="18" spans="1:9">
      <c r="A18" t="s">
        <v>1236</v>
      </c>
      <c r="B18">
        <v>15</v>
      </c>
      <c r="C18">
        <v>331</v>
      </c>
      <c r="D18">
        <v>3.9</v>
      </c>
      <c r="E18">
        <v>58.5</v>
      </c>
      <c r="F18">
        <v>-4906.5</v>
      </c>
      <c r="G18">
        <v>-98.82</v>
      </c>
      <c r="H18">
        <v>0</v>
      </c>
    </row>
    <row r="19" spans="1:9">
      <c r="A19" t="s">
        <v>690</v>
      </c>
      <c r="B19">
        <v>2</v>
      </c>
      <c r="C19">
        <v>3109.88</v>
      </c>
      <c r="D19">
        <v>2436.9499999999998</v>
      </c>
      <c r="E19">
        <v>4873.8999999999996</v>
      </c>
      <c r="F19">
        <v>-1345.85</v>
      </c>
      <c r="G19">
        <v>-21.64</v>
      </c>
      <c r="H19">
        <v>0</v>
      </c>
      <c r="I19" t="s">
        <v>689</v>
      </c>
    </row>
    <row r="20" spans="1:9">
      <c r="A20" t="s">
        <v>537</v>
      </c>
      <c r="B20">
        <v>24</v>
      </c>
      <c r="C20">
        <v>1419.3</v>
      </c>
      <c r="D20">
        <v>1632.55</v>
      </c>
      <c r="E20">
        <v>39181.199999999997</v>
      </c>
      <c r="F20">
        <v>5118</v>
      </c>
      <c r="G20">
        <v>15.03</v>
      </c>
      <c r="H20">
        <v>0</v>
      </c>
      <c r="I20" t="s">
        <v>536</v>
      </c>
    </row>
    <row r="21" spans="1:9">
      <c r="A21" t="s">
        <v>735</v>
      </c>
      <c r="B21">
        <v>4</v>
      </c>
      <c r="C21">
        <v>837</v>
      </c>
      <c r="D21">
        <v>1161.7</v>
      </c>
      <c r="E21">
        <v>4646.8</v>
      </c>
      <c r="F21">
        <v>1298.8</v>
      </c>
      <c r="G21">
        <v>38.79</v>
      </c>
      <c r="H21">
        <v>0</v>
      </c>
    </row>
    <row r="22" spans="1:9">
      <c r="A22" t="s">
        <v>88</v>
      </c>
      <c r="B22">
        <v>18</v>
      </c>
      <c r="C22">
        <v>953.38</v>
      </c>
      <c r="D22">
        <v>1033</v>
      </c>
      <c r="E22">
        <v>18594</v>
      </c>
      <c r="F22">
        <v>1433.1</v>
      </c>
      <c r="G22">
        <v>8.35</v>
      </c>
      <c r="H22">
        <v>0.02</v>
      </c>
      <c r="I22" t="s">
        <v>18</v>
      </c>
    </row>
    <row r="23" spans="1:9">
      <c r="A23" t="s">
        <v>445</v>
      </c>
      <c r="B23">
        <v>24</v>
      </c>
      <c r="C23">
        <v>1400.25</v>
      </c>
      <c r="D23">
        <v>1594.4</v>
      </c>
      <c r="E23">
        <v>38265.599999999999</v>
      </c>
      <c r="F23">
        <v>4659.5</v>
      </c>
      <c r="G23">
        <v>13.87</v>
      </c>
      <c r="H23">
        <v>-0.33</v>
      </c>
      <c r="I23" t="s">
        <v>441</v>
      </c>
    </row>
    <row r="24" spans="1:9">
      <c r="A24" t="s">
        <v>675</v>
      </c>
      <c r="B24">
        <v>30</v>
      </c>
      <c r="C24">
        <v>674.75</v>
      </c>
      <c r="D24">
        <v>611.65</v>
      </c>
      <c r="E24">
        <v>18349.5</v>
      </c>
      <c r="F24">
        <v>-1893</v>
      </c>
      <c r="G24">
        <v>-9.35</v>
      </c>
      <c r="H24">
        <v>0</v>
      </c>
      <c r="I24" t="s">
        <v>674</v>
      </c>
    </row>
    <row r="25" spans="1:9">
      <c r="A25" t="s">
        <v>528</v>
      </c>
      <c r="B25">
        <v>67</v>
      </c>
      <c r="C25">
        <v>731.76</v>
      </c>
      <c r="D25">
        <v>493.55</v>
      </c>
      <c r="E25">
        <v>33067.85</v>
      </c>
      <c r="F25">
        <v>-15960.25</v>
      </c>
      <c r="G25">
        <v>-32.549999999999997</v>
      </c>
      <c r="H25">
        <v>0</v>
      </c>
      <c r="I25" t="s">
        <v>527</v>
      </c>
    </row>
    <row r="26" spans="1:9">
      <c r="A26" t="s">
        <v>463</v>
      </c>
      <c r="B26">
        <v>30</v>
      </c>
      <c r="C26">
        <v>167.28</v>
      </c>
      <c r="D26">
        <v>139.15</v>
      </c>
      <c r="E26">
        <v>4174.5</v>
      </c>
      <c r="F26">
        <v>-844</v>
      </c>
      <c r="G26">
        <v>-16.82</v>
      </c>
      <c r="H26">
        <v>0</v>
      </c>
      <c r="I26" t="s">
        <v>463</v>
      </c>
    </row>
    <row r="27" spans="1:9">
      <c r="A27" t="s">
        <v>678</v>
      </c>
      <c r="B27">
        <v>82</v>
      </c>
      <c r="C27">
        <v>548.86</v>
      </c>
      <c r="D27">
        <v>362.75</v>
      </c>
      <c r="E27">
        <v>29745.5</v>
      </c>
      <c r="F27">
        <v>-15260.75</v>
      </c>
      <c r="G27">
        <v>-33.909999999999997</v>
      </c>
      <c r="H27">
        <v>0</v>
      </c>
      <c r="I27" t="s">
        <v>677</v>
      </c>
    </row>
    <row r="28" spans="1:9">
      <c r="A28" t="s">
        <v>705</v>
      </c>
      <c r="B28">
        <v>3</v>
      </c>
      <c r="C28">
        <v>1229.3499999999999</v>
      </c>
      <c r="D28">
        <v>1499.85</v>
      </c>
      <c r="E28">
        <v>4499.55</v>
      </c>
      <c r="F28">
        <v>811.5</v>
      </c>
      <c r="G28">
        <v>22</v>
      </c>
      <c r="H28">
        <v>0</v>
      </c>
      <c r="I28" t="s">
        <v>717</v>
      </c>
    </row>
    <row r="29" spans="1:9">
      <c r="A29" t="s">
        <v>96</v>
      </c>
      <c r="B29">
        <v>90</v>
      </c>
      <c r="C29">
        <v>117</v>
      </c>
      <c r="D29">
        <v>189.2</v>
      </c>
      <c r="E29">
        <v>17028</v>
      </c>
      <c r="F29">
        <v>6498</v>
      </c>
      <c r="G29">
        <v>61.71</v>
      </c>
      <c r="H29">
        <v>0</v>
      </c>
      <c r="I29" t="s">
        <v>23</v>
      </c>
    </row>
    <row r="30" spans="1:9">
      <c r="A30" t="s">
        <v>477</v>
      </c>
      <c r="B30">
        <v>12</v>
      </c>
      <c r="C30">
        <v>1090.83</v>
      </c>
      <c r="D30">
        <v>1751</v>
      </c>
      <c r="E30">
        <v>21012</v>
      </c>
      <c r="F30">
        <v>7922</v>
      </c>
      <c r="G30">
        <v>60.52</v>
      </c>
      <c r="H30">
        <v>0.1</v>
      </c>
    </row>
    <row r="31" spans="1:9">
      <c r="A31" t="s">
        <v>747</v>
      </c>
      <c r="B31">
        <v>20</v>
      </c>
      <c r="C31">
        <v>672.74</v>
      </c>
      <c r="D31">
        <v>373.85</v>
      </c>
      <c r="E31">
        <v>7477</v>
      </c>
      <c r="F31">
        <v>-5977.85</v>
      </c>
      <c r="G31">
        <v>-44.43</v>
      </c>
      <c r="H31">
        <v>0</v>
      </c>
      <c r="I31" t="s">
        <v>746</v>
      </c>
    </row>
    <row r="32" spans="1:9">
      <c r="A32" t="s">
        <v>100</v>
      </c>
      <c r="B32">
        <v>75</v>
      </c>
      <c r="C32">
        <v>292.36</v>
      </c>
      <c r="D32">
        <v>404.95</v>
      </c>
      <c r="E32">
        <v>30371.25</v>
      </c>
      <c r="F32">
        <v>8444.6</v>
      </c>
      <c r="G32">
        <v>38.51</v>
      </c>
      <c r="H32">
        <v>0</v>
      </c>
      <c r="I32" t="s">
        <v>25</v>
      </c>
    </row>
    <row r="33" spans="1:9">
      <c r="A33" t="s">
        <v>898</v>
      </c>
      <c r="B33">
        <v>8</v>
      </c>
      <c r="C33">
        <v>3816.13</v>
      </c>
      <c r="D33">
        <v>3624.6</v>
      </c>
      <c r="E33">
        <v>28996.799999999999</v>
      </c>
      <c r="F33">
        <v>-1532.2</v>
      </c>
      <c r="G33">
        <v>-5.0199999999999996</v>
      </c>
      <c r="H33">
        <v>0</v>
      </c>
      <c r="I33" t="s">
        <v>894</v>
      </c>
    </row>
    <row r="34" spans="1:9">
      <c r="A34" t="s">
        <v>252</v>
      </c>
      <c r="B34">
        <v>36</v>
      </c>
      <c r="C34">
        <v>690.47</v>
      </c>
      <c r="D34">
        <v>1264.95</v>
      </c>
      <c r="E34">
        <v>45538.2</v>
      </c>
      <c r="F34">
        <v>20681.349999999999</v>
      </c>
      <c r="G34">
        <v>83.2</v>
      </c>
      <c r="H34">
        <v>0</v>
      </c>
      <c r="I34" t="s">
        <v>252</v>
      </c>
    </row>
    <row r="35" spans="1:9">
      <c r="A35" t="s">
        <v>102</v>
      </c>
      <c r="B35">
        <v>137</v>
      </c>
      <c r="C35">
        <v>188.97</v>
      </c>
      <c r="D35">
        <v>118.5</v>
      </c>
      <c r="E35">
        <v>16234.5</v>
      </c>
      <c r="F35">
        <v>-9654.75</v>
      </c>
      <c r="G35">
        <v>-37.29</v>
      </c>
      <c r="H35">
        <v>0</v>
      </c>
      <c r="I35" t="s">
        <v>26</v>
      </c>
    </row>
    <row r="36" spans="1:9">
      <c r="A36" t="s">
        <v>104</v>
      </c>
      <c r="B36">
        <v>550</v>
      </c>
      <c r="C36">
        <v>39.5</v>
      </c>
      <c r="D36">
        <v>34.75</v>
      </c>
      <c r="E36">
        <v>19112.5</v>
      </c>
      <c r="F36">
        <v>-2612.5</v>
      </c>
      <c r="G36">
        <v>-12.03</v>
      </c>
      <c r="H36">
        <v>0</v>
      </c>
      <c r="I36" t="s">
        <v>27</v>
      </c>
    </row>
    <row r="37" spans="1:9">
      <c r="A37" t="s">
        <v>546</v>
      </c>
      <c r="B37">
        <v>10</v>
      </c>
      <c r="C37">
        <v>1388.6</v>
      </c>
      <c r="D37">
        <v>1628</v>
      </c>
      <c r="E37">
        <v>16280</v>
      </c>
      <c r="F37">
        <v>2394</v>
      </c>
      <c r="G37">
        <v>17.239999999999998</v>
      </c>
      <c r="H37">
        <v>0.23</v>
      </c>
      <c r="I37" t="s">
        <v>545</v>
      </c>
    </row>
    <row r="38" spans="1:9">
      <c r="A38" t="s">
        <v>724</v>
      </c>
      <c r="B38">
        <v>20</v>
      </c>
      <c r="C38">
        <v>555.54999999999995</v>
      </c>
      <c r="D38">
        <v>362</v>
      </c>
      <c r="E38">
        <v>7240</v>
      </c>
      <c r="F38">
        <v>-3871</v>
      </c>
      <c r="G38">
        <v>-34.840000000000003</v>
      </c>
      <c r="H38">
        <v>0</v>
      </c>
      <c r="I38" t="s">
        <v>723</v>
      </c>
    </row>
    <row r="39" spans="1:9">
      <c r="A39" t="s">
        <v>931</v>
      </c>
      <c r="B39">
        <v>164</v>
      </c>
      <c r="C39">
        <v>48.96</v>
      </c>
      <c r="D39">
        <v>121.8</v>
      </c>
      <c r="E39">
        <v>19975.2</v>
      </c>
      <c r="F39">
        <v>11945.53</v>
      </c>
      <c r="G39">
        <v>148.77000000000001</v>
      </c>
      <c r="H39">
        <v>0</v>
      </c>
      <c r="I39" t="s">
        <v>931</v>
      </c>
    </row>
    <row r="40" spans="1:9">
      <c r="A40" t="s">
        <v>28</v>
      </c>
      <c r="B40">
        <v>15</v>
      </c>
      <c r="C40">
        <v>119.38</v>
      </c>
      <c r="D40">
        <v>231.2</v>
      </c>
      <c r="E40">
        <v>3468</v>
      </c>
      <c r="F40">
        <v>1677.25</v>
      </c>
      <c r="G40">
        <v>93.66</v>
      </c>
      <c r="H40">
        <v>0</v>
      </c>
      <c r="I40" t="s">
        <v>28</v>
      </c>
    </row>
    <row r="41" spans="1:9">
      <c r="A41" t="s">
        <v>467</v>
      </c>
      <c r="B41">
        <v>10</v>
      </c>
      <c r="C41">
        <v>1106.8</v>
      </c>
      <c r="D41">
        <v>791.35</v>
      </c>
      <c r="E41">
        <v>7913.5</v>
      </c>
      <c r="F41">
        <v>-3154.5</v>
      </c>
      <c r="G41">
        <v>-28.5</v>
      </c>
      <c r="H41">
        <v>0</v>
      </c>
      <c r="I41" t="s">
        <v>469</v>
      </c>
    </row>
    <row r="42" spans="1:9">
      <c r="A42" t="s">
        <v>106</v>
      </c>
      <c r="B42">
        <v>30</v>
      </c>
      <c r="C42">
        <v>18.45</v>
      </c>
      <c r="D42">
        <v>28.65</v>
      </c>
      <c r="E42">
        <v>859.5</v>
      </c>
      <c r="F42">
        <v>306</v>
      </c>
      <c r="G42">
        <v>55.28</v>
      </c>
      <c r="H42">
        <v>0.53</v>
      </c>
    </row>
    <row r="43" spans="1:9">
      <c r="A43" t="s">
        <v>937</v>
      </c>
      <c r="B43">
        <v>1</v>
      </c>
      <c r="C43">
        <v>9183</v>
      </c>
      <c r="D43">
        <v>7836</v>
      </c>
      <c r="E43">
        <v>7836</v>
      </c>
      <c r="F43">
        <v>-1347</v>
      </c>
      <c r="G43">
        <v>-14.67</v>
      </c>
      <c r="H43">
        <v>0.55000000000000004</v>
      </c>
      <c r="I43" t="s">
        <v>936</v>
      </c>
    </row>
    <row r="44" spans="1:9">
      <c r="A44" t="s">
        <v>107</v>
      </c>
      <c r="B44">
        <v>2</v>
      </c>
      <c r="C44">
        <v>2364.0500000000002</v>
      </c>
      <c r="D44">
        <v>2522.3000000000002</v>
      </c>
      <c r="E44">
        <v>5044.6000000000004</v>
      </c>
      <c r="F44">
        <v>316.5</v>
      </c>
      <c r="G44">
        <v>6.69</v>
      </c>
      <c r="H44">
        <v>0</v>
      </c>
      <c r="I44" t="s">
        <v>29</v>
      </c>
    </row>
    <row r="45" spans="1:9">
      <c r="A45" t="s">
        <v>628</v>
      </c>
      <c r="B45">
        <v>5</v>
      </c>
      <c r="C45">
        <v>364</v>
      </c>
      <c r="D45">
        <v>367.5</v>
      </c>
      <c r="E45">
        <v>1837.5</v>
      </c>
      <c r="F45">
        <v>17.5</v>
      </c>
      <c r="G45">
        <v>0.96</v>
      </c>
      <c r="H45">
        <v>0</v>
      </c>
      <c r="I45" t="s">
        <v>627</v>
      </c>
    </row>
    <row r="46" spans="1:9">
      <c r="A46" t="s">
        <v>540</v>
      </c>
      <c r="B46">
        <v>48</v>
      </c>
      <c r="C46">
        <v>887.69</v>
      </c>
      <c r="D46">
        <v>896.4</v>
      </c>
      <c r="E46">
        <v>43027.199999999997</v>
      </c>
      <c r="F46">
        <v>418.15</v>
      </c>
      <c r="G46">
        <v>0.98</v>
      </c>
      <c r="H46">
        <v>0</v>
      </c>
      <c r="I46" t="s">
        <v>539</v>
      </c>
    </row>
    <row r="47" spans="1:9">
      <c r="A47" t="s">
        <v>1084</v>
      </c>
      <c r="B47">
        <v>13</v>
      </c>
      <c r="C47">
        <v>2754.77</v>
      </c>
      <c r="D47">
        <v>2238.65</v>
      </c>
      <c r="E47">
        <v>29102.45</v>
      </c>
      <c r="F47">
        <v>-6709.6</v>
      </c>
      <c r="G47">
        <v>-18.739999999999998</v>
      </c>
      <c r="H47">
        <v>0</v>
      </c>
      <c r="I47" t="s">
        <v>1084</v>
      </c>
    </row>
    <row r="48" spans="1:9">
      <c r="A48" t="s">
        <v>646</v>
      </c>
      <c r="B48">
        <v>8</v>
      </c>
      <c r="C48">
        <v>2022.4</v>
      </c>
      <c r="D48">
        <v>2450.15</v>
      </c>
      <c r="E48">
        <v>19601.2</v>
      </c>
      <c r="F48">
        <v>3422</v>
      </c>
      <c r="G48">
        <v>21.15</v>
      </c>
      <c r="H48">
        <v>0</v>
      </c>
      <c r="I48" t="s">
        <v>645</v>
      </c>
    </row>
    <row r="49" spans="1:9">
      <c r="A49" t="s">
        <v>624</v>
      </c>
      <c r="B49">
        <v>16</v>
      </c>
      <c r="C49">
        <v>1429.98</v>
      </c>
      <c r="D49">
        <v>1584.5</v>
      </c>
      <c r="E49">
        <v>25352</v>
      </c>
      <c r="F49">
        <v>2472.4</v>
      </c>
      <c r="G49">
        <v>10.81</v>
      </c>
      <c r="H49">
        <v>0</v>
      </c>
      <c r="I49" t="s">
        <v>623</v>
      </c>
    </row>
    <row r="50" spans="1:9">
      <c r="A50" t="s">
        <v>219</v>
      </c>
      <c r="B50">
        <v>9</v>
      </c>
      <c r="C50">
        <v>3087.16</v>
      </c>
      <c r="D50">
        <v>6193.9</v>
      </c>
      <c r="E50">
        <v>55745.1</v>
      </c>
      <c r="F50">
        <v>27960.7</v>
      </c>
      <c r="G50">
        <v>100.63</v>
      </c>
      <c r="H50">
        <v>0</v>
      </c>
      <c r="I50" t="s">
        <v>218</v>
      </c>
    </row>
    <row r="51" spans="1:9">
      <c r="A51" t="s">
        <v>1136</v>
      </c>
      <c r="B51">
        <v>26</v>
      </c>
      <c r="C51">
        <v>2245.5500000000002</v>
      </c>
      <c r="D51">
        <v>446.95</v>
      </c>
      <c r="E51">
        <v>11620.7</v>
      </c>
      <c r="F51">
        <v>-46763.64</v>
      </c>
      <c r="G51">
        <v>-80.099999999999994</v>
      </c>
      <c r="H51">
        <v>-0.53</v>
      </c>
    </row>
    <row r="52" spans="1:9">
      <c r="A52" t="s">
        <v>753</v>
      </c>
      <c r="B52">
        <v>108</v>
      </c>
      <c r="C52">
        <v>774.47</v>
      </c>
      <c r="D52">
        <v>1733</v>
      </c>
      <c r="E52">
        <v>187164</v>
      </c>
      <c r="F52">
        <v>103521.44</v>
      </c>
      <c r="G52">
        <v>123.77</v>
      </c>
      <c r="H52">
        <v>-0.17</v>
      </c>
      <c r="I52" t="s">
        <v>751</v>
      </c>
    </row>
    <row r="53" spans="1:9">
      <c r="A53" t="s">
        <v>119</v>
      </c>
      <c r="B53">
        <v>275</v>
      </c>
      <c r="C53">
        <v>201.17</v>
      </c>
      <c r="D53">
        <v>128.80000000000001</v>
      </c>
      <c r="E53">
        <v>35420</v>
      </c>
      <c r="F53">
        <v>-19902.8</v>
      </c>
      <c r="G53">
        <v>-35.979999999999997</v>
      </c>
      <c r="H53">
        <v>0</v>
      </c>
      <c r="I53" t="s">
        <v>37</v>
      </c>
    </row>
    <row r="54" spans="1:9">
      <c r="A54" t="s">
        <v>121</v>
      </c>
      <c r="B54">
        <v>90</v>
      </c>
      <c r="C54">
        <v>96.59</v>
      </c>
      <c r="D54">
        <v>92.2</v>
      </c>
      <c r="E54">
        <v>8298</v>
      </c>
      <c r="F54">
        <v>-395</v>
      </c>
      <c r="G54">
        <v>-4.54</v>
      </c>
      <c r="H54">
        <v>0</v>
      </c>
    </row>
    <row r="55" spans="1:9">
      <c r="A55" t="s">
        <v>764</v>
      </c>
      <c r="B55">
        <v>10</v>
      </c>
      <c r="C55">
        <v>246.08</v>
      </c>
      <c r="D55">
        <v>208.85</v>
      </c>
      <c r="E55">
        <v>2088.5</v>
      </c>
      <c r="F55">
        <v>-372.3</v>
      </c>
      <c r="G55">
        <v>-15.13</v>
      </c>
      <c r="H55">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0862E-6CC4-4C6A-8DD2-19A561D70E26}">
  <sheetPr codeName="Sheet11"/>
  <dimension ref="A1:N59"/>
  <sheetViews>
    <sheetView topLeftCell="A44" workbookViewId="0">
      <selection sqref="A1:J59"/>
    </sheetView>
  </sheetViews>
  <sheetFormatPr defaultRowHeight="14.5"/>
  <cols>
    <col min="1" max="1" width="18.7265625" customWidth="1"/>
    <col min="2" max="2" width="19.26953125" customWidth="1"/>
    <col min="3" max="3" width="13.1796875" bestFit="1" customWidth="1"/>
  </cols>
  <sheetData>
    <row r="1" spans="1:14">
      <c r="A1" t="s">
        <v>599</v>
      </c>
      <c r="B1" t="s">
        <v>598</v>
      </c>
      <c r="C1" t="s">
        <v>1020</v>
      </c>
      <c r="D1" t="s">
        <v>1021</v>
      </c>
      <c r="E1" t="s">
        <v>1022</v>
      </c>
      <c r="F1" t="s">
        <v>1023</v>
      </c>
      <c r="G1" t="s">
        <v>1024</v>
      </c>
      <c r="H1" t="s">
        <v>1025</v>
      </c>
      <c r="I1" t="s">
        <v>231</v>
      </c>
      <c r="J1" t="s">
        <v>1026</v>
      </c>
      <c r="K1" s="228" t="s">
        <v>600</v>
      </c>
      <c r="L1" s="228" t="s">
        <v>601</v>
      </c>
      <c r="M1" s="228"/>
      <c r="N1" s="228" t="s">
        <v>602</v>
      </c>
    </row>
    <row r="2" spans="1:14">
      <c r="A2" t="s">
        <v>971</v>
      </c>
      <c r="B2" t="s">
        <v>972</v>
      </c>
      <c r="C2" t="s">
        <v>1074</v>
      </c>
      <c r="D2" t="s">
        <v>1074</v>
      </c>
      <c r="E2" t="s">
        <v>992</v>
      </c>
      <c r="F2" t="s">
        <v>992</v>
      </c>
      <c r="G2" t="s">
        <v>992</v>
      </c>
      <c r="H2" t="s">
        <v>1257</v>
      </c>
      <c r="I2" t="s">
        <v>1258</v>
      </c>
      <c r="J2" t="s">
        <v>1259</v>
      </c>
      <c r="M2" t="s">
        <v>712</v>
      </c>
    </row>
    <row r="3" spans="1:14">
      <c r="A3" t="s">
        <v>586</v>
      </c>
      <c r="B3" t="s">
        <v>663</v>
      </c>
      <c r="C3" t="s">
        <v>994</v>
      </c>
      <c r="D3" t="s">
        <v>994</v>
      </c>
      <c r="E3" t="s">
        <v>992</v>
      </c>
      <c r="F3" t="s">
        <v>992</v>
      </c>
      <c r="G3" t="s">
        <v>992</v>
      </c>
      <c r="H3" t="s">
        <v>1257</v>
      </c>
      <c r="I3" t="s">
        <v>1260</v>
      </c>
      <c r="J3" t="s">
        <v>1261</v>
      </c>
      <c r="M3" t="s">
        <v>472</v>
      </c>
    </row>
    <row r="4" spans="1:14">
      <c r="A4" t="s">
        <v>1030</v>
      </c>
      <c r="B4" t="s">
        <v>1075</v>
      </c>
      <c r="C4" t="s">
        <v>1055</v>
      </c>
      <c r="D4" t="s">
        <v>1055</v>
      </c>
      <c r="E4" t="s">
        <v>992</v>
      </c>
      <c r="F4" t="s">
        <v>992</v>
      </c>
      <c r="G4" t="s">
        <v>992</v>
      </c>
      <c r="H4" t="s">
        <v>1257</v>
      </c>
      <c r="I4" t="s">
        <v>1262</v>
      </c>
      <c r="J4" t="s">
        <v>1263</v>
      </c>
      <c r="M4" t="s">
        <v>1028</v>
      </c>
    </row>
    <row r="5" spans="1:14">
      <c r="A5" t="s">
        <v>513</v>
      </c>
      <c r="B5" t="s">
        <v>867</v>
      </c>
      <c r="C5" t="s">
        <v>1009</v>
      </c>
      <c r="D5" t="s">
        <v>1009</v>
      </c>
      <c r="E5" t="s">
        <v>992</v>
      </c>
      <c r="F5" t="s">
        <v>992</v>
      </c>
      <c r="G5" t="s">
        <v>992</v>
      </c>
      <c r="H5" t="s">
        <v>1257</v>
      </c>
      <c r="I5" t="s">
        <v>1264</v>
      </c>
      <c r="J5" t="s">
        <v>1265</v>
      </c>
      <c r="M5" t="s">
        <v>512</v>
      </c>
    </row>
    <row r="6" spans="1:14">
      <c r="A6" t="s">
        <v>673</v>
      </c>
      <c r="B6" t="s">
        <v>918</v>
      </c>
      <c r="C6" t="s">
        <v>1137</v>
      </c>
      <c r="D6" t="s">
        <v>1137</v>
      </c>
      <c r="E6" t="s">
        <v>992</v>
      </c>
      <c r="F6" t="s">
        <v>992</v>
      </c>
      <c r="G6" t="s">
        <v>992</v>
      </c>
      <c r="H6" t="s">
        <v>1257</v>
      </c>
      <c r="I6" t="s">
        <v>1266</v>
      </c>
      <c r="J6" t="s">
        <v>1267</v>
      </c>
      <c r="M6" t="s">
        <v>671</v>
      </c>
    </row>
    <row r="7" spans="1:14">
      <c r="A7" t="s">
        <v>1138</v>
      </c>
      <c r="B7" t="s">
        <v>1139</v>
      </c>
      <c r="C7" t="s">
        <v>1055</v>
      </c>
      <c r="D7" t="s">
        <v>1055</v>
      </c>
      <c r="E7" t="s">
        <v>992</v>
      </c>
      <c r="F7" t="s">
        <v>992</v>
      </c>
      <c r="G7" t="s">
        <v>992</v>
      </c>
      <c r="H7" t="s">
        <v>1257</v>
      </c>
      <c r="I7" t="s">
        <v>1268</v>
      </c>
      <c r="J7" t="s">
        <v>1269</v>
      </c>
      <c r="M7" t="s">
        <v>194</v>
      </c>
    </row>
    <row r="8" spans="1:14">
      <c r="A8" t="s">
        <v>745</v>
      </c>
      <c r="B8" t="s">
        <v>973</v>
      </c>
      <c r="C8" t="s">
        <v>1076</v>
      </c>
      <c r="D8" t="s">
        <v>1076</v>
      </c>
      <c r="E8" t="s">
        <v>992</v>
      </c>
      <c r="F8" t="s">
        <v>992</v>
      </c>
      <c r="G8" t="s">
        <v>992</v>
      </c>
      <c r="H8" t="s">
        <v>1257</v>
      </c>
      <c r="I8" t="s">
        <v>1270</v>
      </c>
      <c r="J8" t="s">
        <v>1271</v>
      </c>
      <c r="M8" t="s">
        <v>743</v>
      </c>
    </row>
    <row r="9" spans="1:14">
      <c r="A9" t="s">
        <v>919</v>
      </c>
      <c r="B9" t="s">
        <v>920</v>
      </c>
      <c r="C9" t="s">
        <v>1050</v>
      </c>
      <c r="D9" t="s">
        <v>1050</v>
      </c>
      <c r="E9" t="s">
        <v>992</v>
      </c>
      <c r="F9" t="s">
        <v>992</v>
      </c>
      <c r="G9" t="s">
        <v>992</v>
      </c>
      <c r="H9" t="s">
        <v>1257</v>
      </c>
      <c r="I9" t="s">
        <v>1272</v>
      </c>
      <c r="J9" t="s">
        <v>1273</v>
      </c>
      <c r="M9" t="s">
        <v>969</v>
      </c>
    </row>
    <row r="10" spans="1:14">
      <c r="A10" t="s">
        <v>82</v>
      </c>
      <c r="B10" t="s">
        <v>921</v>
      </c>
      <c r="C10" t="s">
        <v>998</v>
      </c>
      <c r="D10" t="s">
        <v>998</v>
      </c>
      <c r="E10" t="s">
        <v>992</v>
      </c>
      <c r="F10" t="s">
        <v>992</v>
      </c>
      <c r="G10" t="s">
        <v>992</v>
      </c>
      <c r="H10" t="s">
        <v>1257</v>
      </c>
      <c r="I10" t="s">
        <v>1274</v>
      </c>
      <c r="J10" t="s">
        <v>1275</v>
      </c>
      <c r="M10" t="s">
        <v>12</v>
      </c>
    </row>
    <row r="11" spans="1:14">
      <c r="A11" t="s">
        <v>785</v>
      </c>
      <c r="B11" t="s">
        <v>795</v>
      </c>
      <c r="C11" t="s">
        <v>999</v>
      </c>
      <c r="D11" t="s">
        <v>999</v>
      </c>
      <c r="E11" t="s">
        <v>992</v>
      </c>
      <c r="F11" t="s">
        <v>992</v>
      </c>
      <c r="G11" t="s">
        <v>992</v>
      </c>
      <c r="H11" t="s">
        <v>1257</v>
      </c>
      <c r="I11" t="s">
        <v>1276</v>
      </c>
      <c r="J11" t="s">
        <v>1277</v>
      </c>
      <c r="M11" t="s">
        <v>783</v>
      </c>
    </row>
    <row r="12" spans="1:14">
      <c r="A12" t="s">
        <v>532</v>
      </c>
      <c r="B12" t="s">
        <v>1210</v>
      </c>
      <c r="C12" t="s">
        <v>1244</v>
      </c>
      <c r="D12" t="s">
        <v>1244</v>
      </c>
      <c r="E12" t="s">
        <v>992</v>
      </c>
      <c r="F12" t="s">
        <v>992</v>
      </c>
      <c r="G12" t="s">
        <v>992</v>
      </c>
      <c r="H12" t="s">
        <v>1257</v>
      </c>
      <c r="I12" t="s">
        <v>1278</v>
      </c>
      <c r="J12" t="s">
        <v>1279</v>
      </c>
      <c r="M12" t="s">
        <v>530</v>
      </c>
    </row>
    <row r="13" spans="1:14">
      <c r="A13" t="s">
        <v>1173</v>
      </c>
      <c r="B13" t="s">
        <v>1211</v>
      </c>
      <c r="C13" t="s">
        <v>1000</v>
      </c>
      <c r="D13" t="s">
        <v>1000</v>
      </c>
      <c r="E13" t="s">
        <v>992</v>
      </c>
      <c r="F13" t="s">
        <v>992</v>
      </c>
      <c r="G13" t="s">
        <v>992</v>
      </c>
      <c r="H13" t="s">
        <v>1257</v>
      </c>
      <c r="I13" t="s">
        <v>1280</v>
      </c>
      <c r="J13" t="s">
        <v>1281</v>
      </c>
      <c r="M13" t="s">
        <v>1172</v>
      </c>
    </row>
    <row r="14" spans="1:14">
      <c r="A14" t="s">
        <v>773</v>
      </c>
      <c r="B14" t="s">
        <v>774</v>
      </c>
      <c r="C14" t="s">
        <v>1245</v>
      </c>
      <c r="D14" t="s">
        <v>1245</v>
      </c>
      <c r="E14" t="s">
        <v>992</v>
      </c>
      <c r="F14" t="s">
        <v>992</v>
      </c>
      <c r="G14" t="s">
        <v>992</v>
      </c>
      <c r="H14" t="s">
        <v>1257</v>
      </c>
      <c r="I14" t="s">
        <v>1282</v>
      </c>
      <c r="J14" t="s">
        <v>1283</v>
      </c>
      <c r="M14" t="s">
        <v>771</v>
      </c>
    </row>
    <row r="15" spans="1:14">
      <c r="A15" t="s">
        <v>788</v>
      </c>
      <c r="B15" t="s">
        <v>793</v>
      </c>
      <c r="C15" t="s">
        <v>997</v>
      </c>
      <c r="D15" t="s">
        <v>997</v>
      </c>
      <c r="E15" t="s">
        <v>992</v>
      </c>
      <c r="F15" t="s">
        <v>992</v>
      </c>
      <c r="G15" t="s">
        <v>992</v>
      </c>
      <c r="H15" t="s">
        <v>1257</v>
      </c>
      <c r="I15" t="s">
        <v>1284</v>
      </c>
      <c r="J15" t="s">
        <v>1285</v>
      </c>
    </row>
    <row r="16" spans="1:14">
      <c r="A16" t="s">
        <v>587</v>
      </c>
      <c r="B16" t="s">
        <v>868</v>
      </c>
      <c r="C16" t="s">
        <v>991</v>
      </c>
      <c r="D16" t="s">
        <v>991</v>
      </c>
      <c r="E16" t="s">
        <v>992</v>
      </c>
      <c r="F16" t="s">
        <v>992</v>
      </c>
      <c r="G16" t="s">
        <v>992</v>
      </c>
      <c r="H16" t="s">
        <v>1257</v>
      </c>
      <c r="I16" t="s">
        <v>1286</v>
      </c>
      <c r="J16" t="s">
        <v>1287</v>
      </c>
      <c r="M16" t="s">
        <v>483</v>
      </c>
    </row>
    <row r="17" spans="1:13">
      <c r="A17" t="s">
        <v>670</v>
      </c>
      <c r="B17" t="s">
        <v>922</v>
      </c>
      <c r="C17" t="s">
        <v>1000</v>
      </c>
      <c r="D17" t="s">
        <v>1000</v>
      </c>
      <c r="E17" t="s">
        <v>992</v>
      </c>
      <c r="F17" t="s">
        <v>992</v>
      </c>
      <c r="G17" t="s">
        <v>992</v>
      </c>
      <c r="H17" t="s">
        <v>1257</v>
      </c>
      <c r="I17" t="s">
        <v>1288</v>
      </c>
      <c r="J17" t="s">
        <v>1289</v>
      </c>
      <c r="M17" t="s">
        <v>668</v>
      </c>
    </row>
    <row r="18" spans="1:13">
      <c r="A18" t="s">
        <v>667</v>
      </c>
      <c r="B18" t="s">
        <v>1051</v>
      </c>
      <c r="C18" t="s">
        <v>1052</v>
      </c>
      <c r="D18" t="s">
        <v>1052</v>
      </c>
      <c r="E18" t="s">
        <v>992</v>
      </c>
      <c r="F18" t="s">
        <v>992</v>
      </c>
      <c r="G18" t="s">
        <v>992</v>
      </c>
      <c r="H18" t="s">
        <v>1257</v>
      </c>
      <c r="I18" t="s">
        <v>1290</v>
      </c>
      <c r="J18" t="s">
        <v>1291</v>
      </c>
      <c r="M18" t="s">
        <v>665</v>
      </c>
    </row>
    <row r="19" spans="1:13">
      <c r="A19" t="s">
        <v>741</v>
      </c>
      <c r="B19" t="s">
        <v>1212</v>
      </c>
      <c r="C19" t="s">
        <v>997</v>
      </c>
      <c r="D19" t="s">
        <v>997</v>
      </c>
      <c r="E19" t="s">
        <v>992</v>
      </c>
      <c r="F19" t="s">
        <v>992</v>
      </c>
      <c r="G19" t="s">
        <v>992</v>
      </c>
      <c r="H19" t="s">
        <v>1257</v>
      </c>
      <c r="I19" t="s">
        <v>1292</v>
      </c>
      <c r="J19" t="s">
        <v>1293</v>
      </c>
      <c r="M19" t="s">
        <v>740</v>
      </c>
    </row>
    <row r="20" spans="1:13">
      <c r="A20" t="s">
        <v>634</v>
      </c>
      <c r="B20" t="s">
        <v>1213</v>
      </c>
      <c r="C20" t="s">
        <v>996</v>
      </c>
      <c r="D20" t="s">
        <v>996</v>
      </c>
      <c r="E20" t="s">
        <v>992</v>
      </c>
      <c r="F20" t="s">
        <v>992</v>
      </c>
      <c r="G20" t="s">
        <v>992</v>
      </c>
      <c r="H20" t="s">
        <v>1257</v>
      </c>
      <c r="I20" t="s">
        <v>1294</v>
      </c>
      <c r="J20" t="s">
        <v>1295</v>
      </c>
      <c r="M20" t="s">
        <v>635</v>
      </c>
    </row>
    <row r="21" spans="1:13">
      <c r="A21" t="s">
        <v>797</v>
      </c>
      <c r="B21" t="s">
        <v>798</v>
      </c>
      <c r="C21" t="s">
        <v>1001</v>
      </c>
      <c r="D21" t="s">
        <v>1001</v>
      </c>
      <c r="E21" t="s">
        <v>992</v>
      </c>
      <c r="F21" t="s">
        <v>992</v>
      </c>
      <c r="G21" t="s">
        <v>992</v>
      </c>
      <c r="H21" t="s">
        <v>1257</v>
      </c>
      <c r="I21" t="s">
        <v>1296</v>
      </c>
      <c r="J21" t="s">
        <v>1297</v>
      </c>
    </row>
    <row r="22" spans="1:13">
      <c r="A22" t="s">
        <v>691</v>
      </c>
      <c r="B22" t="s">
        <v>696</v>
      </c>
      <c r="C22" t="s">
        <v>1002</v>
      </c>
      <c r="D22" t="s">
        <v>1002</v>
      </c>
      <c r="E22" t="s">
        <v>992</v>
      </c>
      <c r="F22" t="s">
        <v>992</v>
      </c>
      <c r="G22" t="s">
        <v>992</v>
      </c>
      <c r="H22" t="s">
        <v>1257</v>
      </c>
      <c r="I22" t="s">
        <v>1298</v>
      </c>
      <c r="J22" t="s">
        <v>1299</v>
      </c>
      <c r="M22" t="s">
        <v>689</v>
      </c>
    </row>
    <row r="23" spans="1:13">
      <c r="A23" t="s">
        <v>632</v>
      </c>
      <c r="B23" t="s">
        <v>974</v>
      </c>
      <c r="C23" t="s">
        <v>1003</v>
      </c>
      <c r="D23" t="s">
        <v>1003</v>
      </c>
      <c r="E23" t="s">
        <v>992</v>
      </c>
      <c r="F23" t="s">
        <v>992</v>
      </c>
      <c r="G23" t="s">
        <v>992</v>
      </c>
      <c r="H23" t="s">
        <v>1257</v>
      </c>
      <c r="I23" t="s">
        <v>1300</v>
      </c>
      <c r="J23" t="s">
        <v>1301</v>
      </c>
      <c r="M23" t="s">
        <v>630</v>
      </c>
    </row>
    <row r="24" spans="1:13">
      <c r="A24" t="s">
        <v>454</v>
      </c>
      <c r="B24" t="s">
        <v>614</v>
      </c>
      <c r="C24" t="s">
        <v>995</v>
      </c>
      <c r="D24" t="s">
        <v>995</v>
      </c>
      <c r="E24" t="s">
        <v>992</v>
      </c>
      <c r="F24" t="s">
        <v>992</v>
      </c>
      <c r="G24" t="s">
        <v>992</v>
      </c>
      <c r="H24" t="s">
        <v>1257</v>
      </c>
      <c r="I24" t="s">
        <v>1302</v>
      </c>
      <c r="J24" t="s">
        <v>1303</v>
      </c>
    </row>
    <row r="25" spans="1:13">
      <c r="A25" t="s">
        <v>538</v>
      </c>
      <c r="B25" t="s">
        <v>923</v>
      </c>
      <c r="C25" t="s">
        <v>1140</v>
      </c>
      <c r="D25" t="s">
        <v>1140</v>
      </c>
      <c r="E25" t="s">
        <v>992</v>
      </c>
      <c r="F25" t="s">
        <v>992</v>
      </c>
      <c r="G25" t="s">
        <v>992</v>
      </c>
      <c r="H25" t="s">
        <v>1257</v>
      </c>
      <c r="I25" t="s">
        <v>1304</v>
      </c>
      <c r="J25" t="s">
        <v>1305</v>
      </c>
      <c r="M25" t="s">
        <v>536</v>
      </c>
    </row>
    <row r="26" spans="1:13">
      <c r="A26" t="s">
        <v>975</v>
      </c>
      <c r="B26" t="s">
        <v>976</v>
      </c>
      <c r="C26" t="s">
        <v>1077</v>
      </c>
      <c r="D26" t="s">
        <v>1077</v>
      </c>
      <c r="E26" t="s">
        <v>992</v>
      </c>
      <c r="F26" t="s">
        <v>992</v>
      </c>
      <c r="G26" t="s">
        <v>992</v>
      </c>
      <c r="H26" t="s">
        <v>1257</v>
      </c>
      <c r="I26" t="s">
        <v>1306</v>
      </c>
      <c r="J26" t="s">
        <v>1307</v>
      </c>
      <c r="M26" t="s">
        <v>649</v>
      </c>
    </row>
    <row r="27" spans="1:13">
      <c r="A27" t="s">
        <v>87</v>
      </c>
      <c r="B27" t="s">
        <v>799</v>
      </c>
      <c r="C27" t="s">
        <v>993</v>
      </c>
      <c r="D27" t="s">
        <v>993</v>
      </c>
      <c r="E27" t="s">
        <v>992</v>
      </c>
      <c r="F27" t="s">
        <v>992</v>
      </c>
      <c r="G27" t="s">
        <v>992</v>
      </c>
      <c r="H27" t="s">
        <v>1257</v>
      </c>
      <c r="I27" t="s">
        <v>1308</v>
      </c>
      <c r="J27" t="s">
        <v>1309</v>
      </c>
      <c r="M27" t="s">
        <v>15</v>
      </c>
    </row>
    <row r="28" spans="1:13">
      <c r="A28" t="s">
        <v>89</v>
      </c>
      <c r="B28" t="s">
        <v>615</v>
      </c>
      <c r="C28" t="s">
        <v>996</v>
      </c>
      <c r="D28" t="s">
        <v>996</v>
      </c>
      <c r="E28" t="s">
        <v>992</v>
      </c>
      <c r="F28" t="s">
        <v>992</v>
      </c>
      <c r="G28" t="s">
        <v>992</v>
      </c>
      <c r="H28" t="s">
        <v>1257</v>
      </c>
      <c r="I28" t="s">
        <v>1310</v>
      </c>
      <c r="J28" t="s">
        <v>1311</v>
      </c>
      <c r="M28" t="s">
        <v>18</v>
      </c>
    </row>
    <row r="29" spans="1:13">
      <c r="A29" t="s">
        <v>584</v>
      </c>
      <c r="B29" t="s">
        <v>616</v>
      </c>
      <c r="C29" t="s">
        <v>998</v>
      </c>
      <c r="D29" t="s">
        <v>998</v>
      </c>
      <c r="E29" t="s">
        <v>992</v>
      </c>
      <c r="F29" t="s">
        <v>992</v>
      </c>
      <c r="G29" t="s">
        <v>992</v>
      </c>
      <c r="H29" t="s">
        <v>1257</v>
      </c>
      <c r="I29" t="s">
        <v>1312</v>
      </c>
      <c r="J29" t="s">
        <v>1313</v>
      </c>
      <c r="M29" t="s">
        <v>441</v>
      </c>
    </row>
    <row r="30" spans="1:13">
      <c r="A30" t="s">
        <v>529</v>
      </c>
      <c r="B30" t="s">
        <v>617</v>
      </c>
      <c r="C30" t="s">
        <v>1004</v>
      </c>
      <c r="D30" t="s">
        <v>1004</v>
      </c>
      <c r="E30" t="s">
        <v>992</v>
      </c>
      <c r="F30" t="s">
        <v>992</v>
      </c>
      <c r="G30" t="s">
        <v>992</v>
      </c>
      <c r="H30" t="s">
        <v>1257</v>
      </c>
      <c r="I30" t="s">
        <v>1314</v>
      </c>
      <c r="J30" t="s">
        <v>1315</v>
      </c>
      <c r="M30" t="s">
        <v>527</v>
      </c>
    </row>
    <row r="31" spans="1:13">
      <c r="A31" t="s">
        <v>466</v>
      </c>
      <c r="B31" t="s">
        <v>618</v>
      </c>
      <c r="C31" t="s">
        <v>1005</v>
      </c>
      <c r="D31" t="s">
        <v>1005</v>
      </c>
      <c r="E31" t="s">
        <v>992</v>
      </c>
      <c r="F31" t="s">
        <v>992</v>
      </c>
      <c r="G31" t="s">
        <v>992</v>
      </c>
      <c r="H31" t="s">
        <v>1257</v>
      </c>
      <c r="I31" t="s">
        <v>1316</v>
      </c>
      <c r="J31" t="s">
        <v>1317</v>
      </c>
      <c r="M31" t="s">
        <v>463</v>
      </c>
    </row>
    <row r="32" spans="1:13">
      <c r="A32" t="s">
        <v>654</v>
      </c>
      <c r="B32" t="s">
        <v>664</v>
      </c>
      <c r="C32" t="s">
        <v>1006</v>
      </c>
      <c r="D32" t="s">
        <v>1006</v>
      </c>
      <c r="E32" t="s">
        <v>992</v>
      </c>
      <c r="F32" t="s">
        <v>992</v>
      </c>
      <c r="G32" t="s">
        <v>992</v>
      </c>
      <c r="H32" t="s">
        <v>1257</v>
      </c>
      <c r="I32" t="s">
        <v>1318</v>
      </c>
      <c r="J32" t="s">
        <v>1319</v>
      </c>
      <c r="M32" t="s">
        <v>651</v>
      </c>
    </row>
    <row r="33" spans="1:13">
      <c r="A33" t="s">
        <v>99</v>
      </c>
      <c r="B33" t="s">
        <v>800</v>
      </c>
      <c r="C33" t="s">
        <v>1246</v>
      </c>
      <c r="D33" t="s">
        <v>1246</v>
      </c>
      <c r="E33" t="s">
        <v>992</v>
      </c>
      <c r="F33" t="s">
        <v>992</v>
      </c>
      <c r="G33" t="s">
        <v>992</v>
      </c>
      <c r="H33" t="s">
        <v>1257</v>
      </c>
      <c r="I33" t="s">
        <v>1320</v>
      </c>
      <c r="J33" t="s">
        <v>1321</v>
      </c>
      <c r="M33" t="s">
        <v>68</v>
      </c>
    </row>
    <row r="34" spans="1:13">
      <c r="A34" t="s">
        <v>944</v>
      </c>
      <c r="B34" t="s">
        <v>1078</v>
      </c>
      <c r="C34" t="s">
        <v>1007</v>
      </c>
      <c r="D34" t="s">
        <v>1007</v>
      </c>
      <c r="E34" t="s">
        <v>992</v>
      </c>
      <c r="F34" t="s">
        <v>992</v>
      </c>
      <c r="G34" t="s">
        <v>992</v>
      </c>
      <c r="H34" t="s">
        <v>1257</v>
      </c>
      <c r="I34" t="s">
        <v>1322</v>
      </c>
      <c r="J34" t="s">
        <v>1323</v>
      </c>
      <c r="M34" t="s">
        <v>982</v>
      </c>
    </row>
    <row r="35" spans="1:13">
      <c r="A35" t="s">
        <v>899</v>
      </c>
      <c r="B35" t="s">
        <v>1324</v>
      </c>
      <c r="C35" t="s">
        <v>1325</v>
      </c>
      <c r="D35" t="s">
        <v>1325</v>
      </c>
      <c r="E35" t="s">
        <v>992</v>
      </c>
      <c r="F35" t="s">
        <v>992</v>
      </c>
      <c r="G35" t="s">
        <v>992</v>
      </c>
      <c r="H35" t="s">
        <v>1257</v>
      </c>
      <c r="I35" t="s">
        <v>1326</v>
      </c>
      <c r="J35" t="s">
        <v>1327</v>
      </c>
      <c r="M35" t="s">
        <v>894</v>
      </c>
    </row>
    <row r="36" spans="1:13">
      <c r="A36" t="s">
        <v>748</v>
      </c>
      <c r="B36" t="s">
        <v>775</v>
      </c>
      <c r="C36" t="s">
        <v>1214</v>
      </c>
      <c r="D36" t="s">
        <v>1214</v>
      </c>
      <c r="E36" t="s">
        <v>992</v>
      </c>
      <c r="F36" t="s">
        <v>992</v>
      </c>
      <c r="G36" t="s">
        <v>992</v>
      </c>
      <c r="H36" t="s">
        <v>1257</v>
      </c>
      <c r="I36" t="s">
        <v>1328</v>
      </c>
      <c r="J36" t="s">
        <v>1329</v>
      </c>
      <c r="M36" t="s">
        <v>746</v>
      </c>
    </row>
    <row r="37" spans="1:13">
      <c r="A37" t="s">
        <v>103</v>
      </c>
      <c r="B37" t="s">
        <v>801</v>
      </c>
      <c r="C37" t="s">
        <v>1008</v>
      </c>
      <c r="D37" t="s">
        <v>1008</v>
      </c>
      <c r="E37" t="s">
        <v>992</v>
      </c>
      <c r="F37" t="s">
        <v>992</v>
      </c>
      <c r="G37" t="s">
        <v>992</v>
      </c>
      <c r="H37" t="s">
        <v>1257</v>
      </c>
      <c r="I37" t="s">
        <v>1330</v>
      </c>
      <c r="J37" t="s">
        <v>1331</v>
      </c>
      <c r="M37" t="s">
        <v>26</v>
      </c>
    </row>
    <row r="38" spans="1:13">
      <c r="A38" t="s">
        <v>547</v>
      </c>
      <c r="B38" t="s">
        <v>619</v>
      </c>
      <c r="C38" t="s">
        <v>997</v>
      </c>
      <c r="D38" t="s">
        <v>997</v>
      </c>
      <c r="E38" t="s">
        <v>992</v>
      </c>
      <c r="F38" t="s">
        <v>992</v>
      </c>
      <c r="G38" t="s">
        <v>992</v>
      </c>
      <c r="H38" t="s">
        <v>1257</v>
      </c>
      <c r="I38" t="s">
        <v>1332</v>
      </c>
      <c r="J38" t="s">
        <v>1333</v>
      </c>
      <c r="M38" t="s">
        <v>545</v>
      </c>
    </row>
    <row r="39" spans="1:13">
      <c r="A39" t="s">
        <v>729</v>
      </c>
      <c r="B39" t="s">
        <v>869</v>
      </c>
      <c r="C39" t="s">
        <v>1235</v>
      </c>
      <c r="D39" t="s">
        <v>1235</v>
      </c>
      <c r="E39" t="s">
        <v>992</v>
      </c>
      <c r="F39" t="s">
        <v>992</v>
      </c>
      <c r="G39" t="s">
        <v>992</v>
      </c>
      <c r="H39" t="s">
        <v>1257</v>
      </c>
      <c r="I39" t="s">
        <v>1334</v>
      </c>
      <c r="J39" t="s">
        <v>1335</v>
      </c>
      <c r="M39" t="s">
        <v>727</v>
      </c>
    </row>
    <row r="40" spans="1:13">
      <c r="A40" t="s">
        <v>596</v>
      </c>
      <c r="B40" t="s">
        <v>620</v>
      </c>
      <c r="C40" t="s">
        <v>1141</v>
      </c>
      <c r="D40" t="s">
        <v>1141</v>
      </c>
      <c r="E40" t="s">
        <v>992</v>
      </c>
      <c r="F40" t="s">
        <v>992</v>
      </c>
      <c r="G40" t="s">
        <v>992</v>
      </c>
      <c r="H40" t="s">
        <v>1257</v>
      </c>
      <c r="I40" t="s">
        <v>1336</v>
      </c>
      <c r="J40" t="s">
        <v>1337</v>
      </c>
      <c r="M40" t="s">
        <v>594</v>
      </c>
    </row>
    <row r="41" spans="1:13">
      <c r="A41" t="s">
        <v>726</v>
      </c>
      <c r="B41" t="s">
        <v>776</v>
      </c>
      <c r="C41" t="s">
        <v>1079</v>
      </c>
      <c r="D41" t="s">
        <v>1079</v>
      </c>
      <c r="E41" t="s">
        <v>992</v>
      </c>
      <c r="F41" t="s">
        <v>992</v>
      </c>
      <c r="G41" t="s">
        <v>992</v>
      </c>
      <c r="H41" t="s">
        <v>1257</v>
      </c>
      <c r="I41" t="s">
        <v>1338</v>
      </c>
      <c r="J41" t="s">
        <v>1339</v>
      </c>
      <c r="M41" t="s">
        <v>723</v>
      </c>
    </row>
    <row r="42" spans="1:13">
      <c r="A42" t="s">
        <v>888</v>
      </c>
      <c r="B42" t="s">
        <v>889</v>
      </c>
      <c r="C42" t="s">
        <v>1010</v>
      </c>
      <c r="D42" t="s">
        <v>1010</v>
      </c>
      <c r="E42" t="s">
        <v>992</v>
      </c>
      <c r="F42" t="s">
        <v>992</v>
      </c>
      <c r="G42" t="s">
        <v>992</v>
      </c>
      <c r="H42" t="s">
        <v>1257</v>
      </c>
      <c r="I42" t="s">
        <v>1340</v>
      </c>
      <c r="J42" t="s">
        <v>1341</v>
      </c>
    </row>
    <row r="43" spans="1:13">
      <c r="A43" t="s">
        <v>938</v>
      </c>
      <c r="B43" t="s">
        <v>1247</v>
      </c>
      <c r="C43" t="s">
        <v>1248</v>
      </c>
      <c r="D43" t="s">
        <v>1248</v>
      </c>
      <c r="E43" t="s">
        <v>992</v>
      </c>
      <c r="F43" t="s">
        <v>992</v>
      </c>
      <c r="G43" t="s">
        <v>992</v>
      </c>
      <c r="H43" t="s">
        <v>1257</v>
      </c>
      <c r="I43" t="s">
        <v>1342</v>
      </c>
      <c r="J43" t="s">
        <v>1342</v>
      </c>
      <c r="M43" t="s">
        <v>936</v>
      </c>
    </row>
    <row r="44" spans="1:13">
      <c r="A44" t="s">
        <v>108</v>
      </c>
      <c r="B44" t="s">
        <v>621</v>
      </c>
      <c r="C44" t="s">
        <v>1343</v>
      </c>
      <c r="D44" t="s">
        <v>1343</v>
      </c>
      <c r="E44" t="s">
        <v>992</v>
      </c>
      <c r="F44" t="s">
        <v>992</v>
      </c>
      <c r="G44" t="s">
        <v>992</v>
      </c>
      <c r="H44" t="s">
        <v>1257</v>
      </c>
      <c r="I44" t="s">
        <v>1344</v>
      </c>
      <c r="J44" t="s">
        <v>1345</v>
      </c>
      <c r="M44" t="s">
        <v>29</v>
      </c>
    </row>
    <row r="45" spans="1:13">
      <c r="A45" t="s">
        <v>110</v>
      </c>
      <c r="B45" t="s">
        <v>622</v>
      </c>
      <c r="C45" t="s">
        <v>1011</v>
      </c>
      <c r="D45" t="s">
        <v>1011</v>
      </c>
      <c r="E45" t="s">
        <v>992</v>
      </c>
      <c r="F45" t="s">
        <v>992</v>
      </c>
      <c r="G45" t="s">
        <v>992</v>
      </c>
      <c r="H45" t="s">
        <v>1257</v>
      </c>
      <c r="I45" t="s">
        <v>1346</v>
      </c>
      <c r="J45" t="s">
        <v>1347</v>
      </c>
      <c r="M45" t="s">
        <v>30</v>
      </c>
    </row>
    <row r="46" spans="1:13">
      <c r="A46" t="s">
        <v>590</v>
      </c>
      <c r="B46" t="s">
        <v>977</v>
      </c>
      <c r="C46" t="s">
        <v>1012</v>
      </c>
      <c r="D46" t="s">
        <v>1012</v>
      </c>
      <c r="E46" t="s">
        <v>992</v>
      </c>
      <c r="F46" t="s">
        <v>992</v>
      </c>
      <c r="G46" t="s">
        <v>992</v>
      </c>
      <c r="H46" t="s">
        <v>1257</v>
      </c>
      <c r="I46" t="s">
        <v>1348</v>
      </c>
      <c r="J46" t="s">
        <v>1349</v>
      </c>
      <c r="M46" t="s">
        <v>485</v>
      </c>
    </row>
    <row r="47" spans="1:13">
      <c r="A47" t="s">
        <v>629</v>
      </c>
      <c r="B47" t="s">
        <v>701</v>
      </c>
      <c r="C47" t="s">
        <v>1080</v>
      </c>
      <c r="D47" t="s">
        <v>1080</v>
      </c>
      <c r="E47" t="s">
        <v>992</v>
      </c>
      <c r="F47" t="s">
        <v>992</v>
      </c>
      <c r="G47" t="s">
        <v>992</v>
      </c>
      <c r="H47" t="s">
        <v>1257</v>
      </c>
      <c r="I47" t="s">
        <v>1350</v>
      </c>
      <c r="J47" t="s">
        <v>1351</v>
      </c>
      <c r="M47" t="s">
        <v>627</v>
      </c>
    </row>
    <row r="48" spans="1:13">
      <c r="A48" t="s">
        <v>524</v>
      </c>
      <c r="B48" t="s">
        <v>879</v>
      </c>
      <c r="C48" t="s">
        <v>1249</v>
      </c>
      <c r="D48" t="s">
        <v>1249</v>
      </c>
      <c r="E48" t="s">
        <v>992</v>
      </c>
      <c r="F48" t="s">
        <v>992</v>
      </c>
      <c r="G48" t="s">
        <v>992</v>
      </c>
      <c r="H48" t="s">
        <v>1257</v>
      </c>
      <c r="I48" t="s">
        <v>1352</v>
      </c>
      <c r="J48" t="s">
        <v>1353</v>
      </c>
      <c r="M48" t="s">
        <v>522</v>
      </c>
    </row>
    <row r="49" spans="1:13">
      <c r="A49" t="s">
        <v>1053</v>
      </c>
      <c r="B49" t="s">
        <v>1054</v>
      </c>
      <c r="C49" t="s">
        <v>1215</v>
      </c>
      <c r="D49" t="s">
        <v>1215</v>
      </c>
      <c r="E49" t="s">
        <v>992</v>
      </c>
      <c r="F49" t="s">
        <v>992</v>
      </c>
      <c r="G49" t="s">
        <v>992</v>
      </c>
      <c r="H49" t="s">
        <v>1257</v>
      </c>
      <c r="I49" t="s">
        <v>1354</v>
      </c>
      <c r="J49" t="s">
        <v>1355</v>
      </c>
      <c r="M49" t="s">
        <v>610</v>
      </c>
    </row>
    <row r="50" spans="1:13">
      <c r="A50" t="s">
        <v>114</v>
      </c>
      <c r="B50" t="s">
        <v>802</v>
      </c>
      <c r="C50" t="s">
        <v>993</v>
      </c>
      <c r="D50" t="s">
        <v>993</v>
      </c>
      <c r="E50" t="s">
        <v>992</v>
      </c>
      <c r="F50" t="s">
        <v>992</v>
      </c>
      <c r="G50" t="s">
        <v>992</v>
      </c>
      <c r="H50" t="s">
        <v>1257</v>
      </c>
      <c r="I50" t="s">
        <v>1356</v>
      </c>
      <c r="J50" t="s">
        <v>1357</v>
      </c>
      <c r="M50" t="s">
        <v>33</v>
      </c>
    </row>
    <row r="51" spans="1:13">
      <c r="A51" t="s">
        <v>699</v>
      </c>
      <c r="B51" t="s">
        <v>702</v>
      </c>
      <c r="C51" t="s">
        <v>1250</v>
      </c>
      <c r="D51" t="s">
        <v>1250</v>
      </c>
      <c r="E51" t="s">
        <v>992</v>
      </c>
      <c r="F51" t="s">
        <v>992</v>
      </c>
      <c r="G51" t="s">
        <v>992</v>
      </c>
      <c r="H51" t="s">
        <v>1257</v>
      </c>
      <c r="I51" t="s">
        <v>1358</v>
      </c>
      <c r="J51" t="s">
        <v>1359</v>
      </c>
      <c r="M51" t="s">
        <v>697</v>
      </c>
    </row>
    <row r="52" spans="1:13">
      <c r="A52" t="s">
        <v>585</v>
      </c>
      <c r="B52" t="s">
        <v>782</v>
      </c>
      <c r="C52" t="s">
        <v>1027</v>
      </c>
      <c r="D52" t="s">
        <v>1027</v>
      </c>
      <c r="E52" t="s">
        <v>992</v>
      </c>
      <c r="F52" t="s">
        <v>992</v>
      </c>
      <c r="G52" t="s">
        <v>992</v>
      </c>
      <c r="H52" t="s">
        <v>1257</v>
      </c>
      <c r="I52" t="s">
        <v>1360</v>
      </c>
      <c r="J52" t="s">
        <v>1361</v>
      </c>
      <c r="M52" t="s">
        <v>566</v>
      </c>
    </row>
    <row r="53" spans="1:13">
      <c r="A53" t="s">
        <v>625</v>
      </c>
      <c r="B53" t="s">
        <v>978</v>
      </c>
      <c r="C53" t="s">
        <v>1251</v>
      </c>
      <c r="D53" t="s">
        <v>1251</v>
      </c>
      <c r="E53" t="s">
        <v>992</v>
      </c>
      <c r="F53" t="s">
        <v>992</v>
      </c>
      <c r="G53" t="s">
        <v>992</v>
      </c>
      <c r="H53" t="s">
        <v>1257</v>
      </c>
      <c r="I53" t="s">
        <v>1362</v>
      </c>
      <c r="J53" t="s">
        <v>1363</v>
      </c>
      <c r="M53" t="s">
        <v>623</v>
      </c>
    </row>
    <row r="54" spans="1:13">
      <c r="A54" t="s">
        <v>968</v>
      </c>
      <c r="B54" t="s">
        <v>979</v>
      </c>
      <c r="C54" t="s">
        <v>1081</v>
      </c>
      <c r="D54" t="s">
        <v>1081</v>
      </c>
      <c r="E54" t="s">
        <v>992</v>
      </c>
      <c r="F54" t="s">
        <v>992</v>
      </c>
      <c r="G54" t="s">
        <v>992</v>
      </c>
      <c r="H54" t="s">
        <v>1257</v>
      </c>
      <c r="I54" t="s">
        <v>1364</v>
      </c>
      <c r="J54" t="s">
        <v>1365</v>
      </c>
      <c r="M54" t="s">
        <v>966</v>
      </c>
    </row>
    <row r="55" spans="1:13">
      <c r="A55" t="s">
        <v>118</v>
      </c>
      <c r="B55" t="s">
        <v>924</v>
      </c>
      <c r="C55" t="s">
        <v>1013</v>
      </c>
      <c r="D55" t="s">
        <v>1013</v>
      </c>
      <c r="E55" t="s">
        <v>992</v>
      </c>
      <c r="F55" t="s">
        <v>992</v>
      </c>
      <c r="G55" t="s">
        <v>992</v>
      </c>
      <c r="H55" t="s">
        <v>1257</v>
      </c>
      <c r="I55" t="s">
        <v>1366</v>
      </c>
      <c r="J55" t="s">
        <v>1367</v>
      </c>
      <c r="M55" t="s">
        <v>230</v>
      </c>
    </row>
    <row r="56" spans="1:13">
      <c r="A56" t="s">
        <v>647</v>
      </c>
      <c r="B56" t="s">
        <v>870</v>
      </c>
      <c r="C56" t="s">
        <v>994</v>
      </c>
      <c r="D56" t="s">
        <v>994</v>
      </c>
      <c r="E56" t="s">
        <v>992</v>
      </c>
      <c r="F56" t="s">
        <v>992</v>
      </c>
      <c r="G56" t="s">
        <v>992</v>
      </c>
      <c r="H56" t="s">
        <v>1257</v>
      </c>
      <c r="I56" t="s">
        <v>1368</v>
      </c>
      <c r="J56" t="s">
        <v>1369</v>
      </c>
      <c r="M56" t="s">
        <v>645</v>
      </c>
    </row>
    <row r="57" spans="1:13">
      <c r="A57" t="s">
        <v>754</v>
      </c>
      <c r="B57" t="s">
        <v>1082</v>
      </c>
      <c r="C57" t="s">
        <v>1370</v>
      </c>
      <c r="D57" t="s">
        <v>1370</v>
      </c>
      <c r="E57" t="s">
        <v>992</v>
      </c>
      <c r="F57" t="s">
        <v>992</v>
      </c>
      <c r="G57" t="s">
        <v>992</v>
      </c>
      <c r="H57" t="s">
        <v>1257</v>
      </c>
      <c r="I57" t="s">
        <v>1371</v>
      </c>
      <c r="J57" t="s">
        <v>1372</v>
      </c>
      <c r="M57" t="s">
        <v>751</v>
      </c>
    </row>
    <row r="58" spans="1:13">
      <c r="A58" t="s">
        <v>750</v>
      </c>
      <c r="B58" t="s">
        <v>777</v>
      </c>
      <c r="C58" t="s">
        <v>1083</v>
      </c>
      <c r="D58" t="s">
        <v>1083</v>
      </c>
      <c r="E58" t="s">
        <v>992</v>
      </c>
      <c r="F58" t="s">
        <v>992</v>
      </c>
      <c r="G58" t="s">
        <v>992</v>
      </c>
      <c r="H58" t="s">
        <v>1257</v>
      </c>
      <c r="I58" t="s">
        <v>1373</v>
      </c>
      <c r="J58" t="s">
        <v>1374</v>
      </c>
      <c r="M58" t="s">
        <v>749</v>
      </c>
    </row>
    <row r="59" spans="1:13">
      <c r="A59" t="s">
        <v>825</v>
      </c>
      <c r="B59" t="s">
        <v>980</v>
      </c>
      <c r="C59" t="s">
        <v>1014</v>
      </c>
      <c r="D59" t="s">
        <v>1014</v>
      </c>
      <c r="E59" t="s">
        <v>992</v>
      </c>
      <c r="F59" t="s">
        <v>992</v>
      </c>
      <c r="G59" t="s">
        <v>992</v>
      </c>
      <c r="H59" t="s">
        <v>1257</v>
      </c>
      <c r="I59" t="s">
        <v>1375</v>
      </c>
      <c r="J59" t="s">
        <v>1376</v>
      </c>
      <c r="M59" t="s">
        <v>823</v>
      </c>
    </row>
  </sheetData>
  <phoneticPr fontId="11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6F7DD-606D-4CCE-80A6-7C0159AA8255}">
  <sheetPr codeName="Sheet17"/>
  <dimension ref="A2:S87"/>
  <sheetViews>
    <sheetView workbookViewId="0">
      <selection activeCell="E7" sqref="E7"/>
    </sheetView>
  </sheetViews>
  <sheetFormatPr defaultRowHeight="14.5"/>
  <cols>
    <col min="1" max="1" width="4.1796875" style="2" customWidth="1"/>
    <col min="2" max="2" width="15.453125" style="2" customWidth="1"/>
    <col min="3" max="3" width="8.7265625" style="1"/>
    <col min="4" max="7" width="18.453125" customWidth="1"/>
    <col min="8" max="8" width="6.7265625" bestFit="1" customWidth="1"/>
    <col min="9" max="9" width="6.1796875" bestFit="1" customWidth="1"/>
    <col min="10" max="10" width="5.81640625" customWidth="1"/>
    <col min="11" max="11" width="4.54296875" bestFit="1" customWidth="1"/>
    <col min="12" max="12" width="5.453125" bestFit="1" customWidth="1"/>
    <col min="13" max="13" width="4.1796875" bestFit="1" customWidth="1"/>
    <col min="14" max="14" width="13.54296875" customWidth="1"/>
    <col min="15" max="15" width="14.54296875" customWidth="1"/>
    <col min="16" max="16" width="15.7265625" customWidth="1"/>
  </cols>
  <sheetData>
    <row r="2" spans="1:19" ht="26">
      <c r="A2" s="3" t="s">
        <v>0</v>
      </c>
      <c r="B2" s="3" t="s">
        <v>1</v>
      </c>
      <c r="C2" s="6" t="s">
        <v>3</v>
      </c>
      <c r="D2" s="9" t="s">
        <v>1159</v>
      </c>
      <c r="E2" s="9" t="s">
        <v>1171</v>
      </c>
      <c r="F2" s="9" t="s">
        <v>1170</v>
      </c>
      <c r="G2" s="9" t="s">
        <v>1169</v>
      </c>
      <c r="H2" s="9" t="s">
        <v>1167</v>
      </c>
      <c r="I2" s="9" t="s">
        <v>1166</v>
      </c>
      <c r="J2" s="9" t="s">
        <v>1160</v>
      </c>
      <c r="K2" s="9" t="s">
        <v>1161</v>
      </c>
      <c r="L2" s="9" t="s">
        <v>393</v>
      </c>
      <c r="M2" s="9" t="s">
        <v>1162</v>
      </c>
      <c r="N2" s="9" t="s">
        <v>1163</v>
      </c>
      <c r="O2" s="9" t="s">
        <v>1164</v>
      </c>
      <c r="P2" s="9" t="s">
        <v>1165</v>
      </c>
      <c r="Q2" s="9"/>
      <c r="R2" s="9"/>
      <c r="S2" s="9"/>
    </row>
    <row r="3" spans="1:19">
      <c r="A3" s="3">
        <v>1</v>
      </c>
      <c r="B3" s="3" t="s">
        <v>530</v>
      </c>
      <c r="C3" s="3">
        <v>495.7</v>
      </c>
      <c r="D3" s="9" t="s">
        <v>1168</v>
      </c>
      <c r="E3" s="9"/>
      <c r="F3" s="9"/>
      <c r="G3" s="9"/>
      <c r="H3" s="9">
        <v>43.91</v>
      </c>
      <c r="I3" s="9">
        <v>0</v>
      </c>
      <c r="J3" s="9">
        <v>0.68</v>
      </c>
      <c r="K3" s="9"/>
      <c r="L3" s="9"/>
      <c r="M3" s="9"/>
      <c r="N3" s="9"/>
      <c r="O3" s="9"/>
      <c r="P3" s="9"/>
      <c r="Q3" s="9"/>
      <c r="R3" s="9"/>
      <c r="S3" s="9"/>
    </row>
    <row r="4" spans="1:19">
      <c r="A4" s="3">
        <v>2</v>
      </c>
      <c r="B4" s="9" t="s">
        <v>712</v>
      </c>
      <c r="C4" s="159">
        <v>1286.95</v>
      </c>
      <c r="D4" s="9"/>
      <c r="E4" s="9"/>
      <c r="F4" s="9"/>
      <c r="G4" s="9"/>
      <c r="H4" s="9"/>
      <c r="I4" s="9"/>
      <c r="J4" s="9"/>
      <c r="K4" s="9"/>
      <c r="L4" s="9"/>
      <c r="M4" s="9"/>
      <c r="N4" s="9"/>
      <c r="O4" s="9"/>
      <c r="P4" s="9"/>
      <c r="Q4" s="9"/>
      <c r="R4" s="9"/>
      <c r="S4" s="9"/>
    </row>
    <row r="5" spans="1:19">
      <c r="A5" s="3">
        <v>3</v>
      </c>
      <c r="B5" s="3" t="s">
        <v>533</v>
      </c>
      <c r="C5" s="210">
        <v>2802.85</v>
      </c>
      <c r="D5" s="9"/>
      <c r="E5" s="9"/>
      <c r="F5" s="9"/>
      <c r="G5" s="9"/>
      <c r="H5" s="9"/>
      <c r="I5" s="9"/>
      <c r="J5" s="9"/>
      <c r="K5" s="9"/>
      <c r="L5" s="9"/>
      <c r="M5" s="9"/>
      <c r="N5" s="9"/>
      <c r="O5" s="9"/>
      <c r="P5" s="9"/>
      <c r="Q5" s="9"/>
      <c r="R5" s="9"/>
      <c r="S5" s="9"/>
    </row>
    <row r="6" spans="1:19">
      <c r="A6" s="3">
        <v>4</v>
      </c>
      <c r="B6" s="3" t="s">
        <v>472</v>
      </c>
      <c r="C6" s="159">
        <v>1558.25</v>
      </c>
      <c r="D6" s="9"/>
      <c r="E6" s="9"/>
      <c r="F6" s="9"/>
      <c r="G6" s="9"/>
      <c r="H6" s="9"/>
      <c r="I6" s="9"/>
      <c r="J6" s="9"/>
      <c r="K6" s="9"/>
      <c r="L6" s="9"/>
      <c r="M6" s="9"/>
      <c r="N6" s="9"/>
      <c r="O6" s="9"/>
      <c r="P6" s="9"/>
      <c r="Q6" s="9"/>
      <c r="R6" s="9"/>
      <c r="S6" s="9"/>
    </row>
    <row r="7" spans="1:19">
      <c r="A7" s="3">
        <v>96</v>
      </c>
      <c r="B7" s="9" t="s">
        <v>1028</v>
      </c>
      <c r="C7" s="14">
        <v>485.45</v>
      </c>
      <c r="D7" s="9"/>
      <c r="E7" s="9"/>
      <c r="F7" s="9"/>
      <c r="G7" s="9"/>
      <c r="H7" s="9"/>
      <c r="I7" s="9"/>
      <c r="J7" s="9"/>
      <c r="K7" s="9"/>
      <c r="L7" s="9"/>
      <c r="M7" s="9"/>
      <c r="N7" s="9"/>
      <c r="O7" s="9"/>
      <c r="P7" s="9"/>
      <c r="Q7" s="9"/>
      <c r="R7" s="9"/>
      <c r="S7" s="9"/>
    </row>
    <row r="8" spans="1:19">
      <c r="A8" s="3">
        <v>5</v>
      </c>
      <c r="B8" s="9" t="s">
        <v>803</v>
      </c>
      <c r="C8" s="14">
        <v>318.55</v>
      </c>
      <c r="D8" s="9"/>
      <c r="E8" s="9"/>
      <c r="F8" s="9"/>
      <c r="G8" s="9"/>
      <c r="H8" s="9"/>
      <c r="I8" s="9"/>
      <c r="J8" s="9"/>
      <c r="K8" s="9"/>
      <c r="L8" s="9"/>
      <c r="M8" s="9"/>
      <c r="N8" s="9"/>
      <c r="O8" s="9"/>
      <c r="P8" s="9"/>
      <c r="Q8" s="9"/>
      <c r="R8" s="9"/>
      <c r="S8" s="9"/>
    </row>
    <row r="9" spans="1:19">
      <c r="A9" s="3">
        <v>6</v>
      </c>
      <c r="B9" s="3" t="s">
        <v>512</v>
      </c>
      <c r="C9" s="458">
        <v>3095.5</v>
      </c>
      <c r="D9" s="9"/>
      <c r="E9" s="9"/>
      <c r="F9" s="9"/>
      <c r="G9" s="9"/>
      <c r="H9" s="9"/>
      <c r="I9" s="9"/>
      <c r="J9" s="9"/>
      <c r="K9" s="9"/>
      <c r="L9" s="9"/>
      <c r="M9" s="9"/>
      <c r="N9" s="9"/>
      <c r="O9" s="9"/>
      <c r="P9" s="9"/>
      <c r="Q9" s="9"/>
      <c r="R9" s="9"/>
      <c r="S9" s="9"/>
    </row>
    <row r="10" spans="1:19">
      <c r="A10" s="3">
        <v>8</v>
      </c>
      <c r="B10" s="467" t="s">
        <v>9</v>
      </c>
      <c r="C10" s="210">
        <v>450.55</v>
      </c>
      <c r="D10" s="9"/>
      <c r="E10" s="9"/>
      <c r="F10" s="9"/>
      <c r="G10" s="9"/>
      <c r="H10" s="9"/>
      <c r="I10" s="9"/>
      <c r="J10" s="9"/>
      <c r="K10" s="9"/>
      <c r="L10" s="9"/>
      <c r="M10" s="9"/>
      <c r="N10" s="9"/>
      <c r="O10" s="9"/>
      <c r="P10" s="9"/>
      <c r="Q10" s="9"/>
      <c r="R10" s="9"/>
      <c r="S10" s="9"/>
    </row>
    <row r="11" spans="1:19">
      <c r="A11" s="3">
        <v>9</v>
      </c>
      <c r="B11" s="9" t="s">
        <v>671</v>
      </c>
      <c r="C11" s="159">
        <v>6791.5</v>
      </c>
      <c r="D11" s="9"/>
      <c r="E11" s="9"/>
      <c r="F11" s="9"/>
      <c r="G11" s="9"/>
      <c r="H11" s="9"/>
      <c r="I11" s="9"/>
      <c r="J11" s="9"/>
      <c r="K11" s="9"/>
      <c r="L11" s="9"/>
      <c r="M11" s="9"/>
      <c r="N11" s="9"/>
      <c r="O11" s="9"/>
      <c r="P11" s="9"/>
      <c r="Q11" s="9"/>
      <c r="R11" s="9"/>
      <c r="S11" s="9"/>
    </row>
    <row r="12" spans="1:19">
      <c r="A12" s="3">
        <v>10</v>
      </c>
      <c r="B12" s="123" t="s">
        <v>194</v>
      </c>
      <c r="C12" s="456">
        <v>1654.4</v>
      </c>
      <c r="D12" s="9"/>
      <c r="E12" s="9"/>
      <c r="F12" s="9"/>
      <c r="G12" s="9"/>
      <c r="H12" s="9"/>
      <c r="I12" s="9"/>
      <c r="J12" s="9"/>
      <c r="K12" s="9"/>
      <c r="L12" s="9"/>
      <c r="M12" s="9"/>
      <c r="N12" s="9"/>
      <c r="O12" s="9"/>
      <c r="P12" s="9"/>
      <c r="Q12" s="9"/>
      <c r="R12" s="9"/>
      <c r="S12" s="9"/>
    </row>
    <row r="13" spans="1:19">
      <c r="A13" s="3">
        <v>13</v>
      </c>
      <c r="B13" s="9" t="s">
        <v>743</v>
      </c>
      <c r="C13" s="14">
        <v>285.95</v>
      </c>
      <c r="D13" s="9"/>
      <c r="E13" s="9"/>
      <c r="F13" s="9"/>
      <c r="G13" s="9"/>
      <c r="H13" s="9"/>
      <c r="I13" s="9"/>
      <c r="J13" s="9"/>
      <c r="K13" s="9"/>
      <c r="L13" s="9"/>
      <c r="M13" s="9"/>
      <c r="N13" s="9"/>
      <c r="O13" s="9"/>
      <c r="P13" s="9"/>
      <c r="Q13" s="9"/>
      <c r="R13" s="9"/>
      <c r="S13" s="9"/>
    </row>
    <row r="14" spans="1:19">
      <c r="A14" s="3">
        <v>14</v>
      </c>
      <c r="B14" s="9" t="s">
        <v>969</v>
      </c>
      <c r="C14" s="159">
        <v>1213.45</v>
      </c>
      <c r="D14" s="9"/>
      <c r="E14" s="9"/>
      <c r="F14" s="9"/>
      <c r="G14" s="9"/>
      <c r="H14" s="9"/>
      <c r="I14" s="9"/>
      <c r="J14" s="9"/>
      <c r="K14" s="9"/>
      <c r="L14" s="9"/>
      <c r="M14" s="9"/>
      <c r="N14" s="9"/>
      <c r="O14" s="9"/>
      <c r="P14" s="9"/>
      <c r="Q14" s="9"/>
      <c r="R14" s="9"/>
      <c r="S14" s="9"/>
    </row>
    <row r="15" spans="1:19">
      <c r="A15" s="3">
        <v>15</v>
      </c>
      <c r="B15" s="51" t="s">
        <v>12</v>
      </c>
      <c r="C15" s="3">
        <v>726</v>
      </c>
      <c r="D15" s="9"/>
      <c r="E15" s="9"/>
      <c r="F15" s="9"/>
      <c r="G15" s="9"/>
      <c r="H15" s="9"/>
      <c r="I15" s="9"/>
      <c r="J15" s="9"/>
      <c r="K15" s="9"/>
      <c r="L15" s="9"/>
      <c r="M15" s="9"/>
      <c r="N15" s="9"/>
      <c r="O15" s="9"/>
      <c r="P15" s="9"/>
      <c r="Q15" s="9"/>
      <c r="R15" s="9"/>
      <c r="S15" s="9"/>
    </row>
    <row r="16" spans="1:19">
      <c r="A16" s="3">
        <v>16</v>
      </c>
      <c r="B16" s="9" t="s">
        <v>783</v>
      </c>
      <c r="C16" s="159">
        <v>490.45</v>
      </c>
      <c r="D16" s="9"/>
      <c r="E16" s="9"/>
      <c r="F16" s="9"/>
      <c r="G16" s="9"/>
      <c r="H16" s="9"/>
      <c r="I16" s="9"/>
      <c r="J16" s="9"/>
      <c r="K16" s="9"/>
      <c r="L16" s="9"/>
      <c r="M16" s="9"/>
      <c r="N16" s="9"/>
      <c r="O16" s="9"/>
      <c r="P16" s="9"/>
      <c r="Q16" s="9"/>
      <c r="R16" s="9"/>
      <c r="S16" s="9"/>
    </row>
    <row r="17" spans="1:19">
      <c r="A17" s="3">
        <v>17</v>
      </c>
      <c r="B17" s="468" t="s">
        <v>13</v>
      </c>
      <c r="C17" s="457">
        <v>1233</v>
      </c>
      <c r="D17" s="9"/>
      <c r="E17" s="9"/>
      <c r="F17" s="9"/>
      <c r="G17" s="9"/>
      <c r="H17" s="9"/>
      <c r="I17" s="9"/>
      <c r="J17" s="9"/>
      <c r="K17" s="9"/>
      <c r="L17" s="9"/>
      <c r="M17" s="9"/>
      <c r="N17" s="9"/>
      <c r="O17" s="9"/>
      <c r="P17" s="9"/>
      <c r="Q17" s="9"/>
      <c r="R17" s="9"/>
      <c r="S17" s="9"/>
    </row>
    <row r="18" spans="1:19">
      <c r="A18" s="3">
        <v>19</v>
      </c>
      <c r="B18" s="9" t="s">
        <v>771</v>
      </c>
      <c r="C18" s="14">
        <v>711.5</v>
      </c>
      <c r="D18" s="9"/>
      <c r="E18" s="9"/>
      <c r="F18" s="9"/>
      <c r="G18" s="9"/>
      <c r="H18" s="9"/>
      <c r="I18" s="9"/>
      <c r="J18" s="9"/>
      <c r="K18" s="9"/>
      <c r="L18" s="9"/>
      <c r="M18" s="9"/>
      <c r="N18" s="9"/>
      <c r="O18" s="9"/>
      <c r="P18" s="9"/>
      <c r="Q18" s="9"/>
      <c r="R18" s="9"/>
      <c r="S18" s="9"/>
    </row>
    <row r="19" spans="1:19">
      <c r="A19" s="3">
        <v>21</v>
      </c>
      <c r="B19" s="3" t="s">
        <v>483</v>
      </c>
      <c r="C19" s="159">
        <v>1162.8</v>
      </c>
      <c r="D19" s="9"/>
      <c r="E19" s="9"/>
      <c r="F19" s="9"/>
      <c r="G19" s="9"/>
      <c r="H19" s="9"/>
      <c r="I19" s="9"/>
      <c r="J19" s="9"/>
      <c r="K19" s="9"/>
      <c r="L19" s="9"/>
      <c r="M19" s="9"/>
      <c r="N19" s="9"/>
      <c r="O19" s="9"/>
      <c r="P19" s="9"/>
      <c r="Q19" s="9"/>
      <c r="R19" s="9"/>
      <c r="S19" s="9"/>
    </row>
    <row r="20" spans="1:19">
      <c r="A20" s="3">
        <v>22</v>
      </c>
      <c r="B20" s="9" t="s">
        <v>668</v>
      </c>
      <c r="C20" s="159">
        <v>3287.35</v>
      </c>
      <c r="D20" s="9"/>
      <c r="E20" s="9"/>
      <c r="F20" s="9"/>
      <c r="G20" s="9"/>
      <c r="H20" s="9"/>
      <c r="I20" s="9"/>
      <c r="J20" s="9"/>
      <c r="K20" s="9"/>
      <c r="L20" s="9"/>
      <c r="M20" s="9"/>
      <c r="N20" s="9"/>
      <c r="O20" s="9"/>
      <c r="P20" s="9"/>
      <c r="Q20" s="9"/>
      <c r="R20" s="9"/>
      <c r="S20" s="9"/>
    </row>
    <row r="21" spans="1:19">
      <c r="A21" s="3">
        <v>23</v>
      </c>
      <c r="B21" s="9" t="s">
        <v>665</v>
      </c>
      <c r="C21" s="159">
        <v>2386.6</v>
      </c>
      <c r="D21" s="9"/>
      <c r="E21" s="9"/>
      <c r="F21" s="9"/>
      <c r="G21" s="9"/>
      <c r="H21" s="9"/>
      <c r="I21" s="9"/>
      <c r="J21" s="9"/>
      <c r="K21" s="9"/>
      <c r="L21" s="9"/>
      <c r="M21" s="9"/>
      <c r="N21" s="9"/>
      <c r="O21" s="9"/>
      <c r="P21" s="9"/>
      <c r="Q21" s="9"/>
      <c r="R21" s="9"/>
      <c r="S21" s="9"/>
    </row>
    <row r="22" spans="1:19">
      <c r="A22" s="464">
        <v>25</v>
      </c>
      <c r="B22" s="465" t="s">
        <v>424</v>
      </c>
      <c r="C22" s="466">
        <v>137.94999999999999</v>
      </c>
    </row>
    <row r="23" spans="1:19">
      <c r="A23" s="3">
        <v>26</v>
      </c>
      <c r="B23" s="9" t="s">
        <v>740</v>
      </c>
      <c r="C23" s="14">
        <v>285.85000000000002</v>
      </c>
    </row>
    <row r="24" spans="1:19">
      <c r="A24" s="3">
        <v>27</v>
      </c>
      <c r="B24" s="448" t="s">
        <v>635</v>
      </c>
      <c r="C24" s="159">
        <v>5957.6</v>
      </c>
    </row>
    <row r="25" spans="1:19">
      <c r="A25" s="3">
        <v>28</v>
      </c>
      <c r="B25" s="454" t="s">
        <v>689</v>
      </c>
      <c r="C25" s="459">
        <v>2910.25</v>
      </c>
    </row>
    <row r="26" spans="1:19">
      <c r="A26" s="3">
        <v>29</v>
      </c>
      <c r="B26" s="9" t="s">
        <v>630</v>
      </c>
      <c r="C26" s="159">
        <v>3257.35</v>
      </c>
    </row>
    <row r="27" spans="1:19">
      <c r="A27" s="3">
        <v>31</v>
      </c>
      <c r="B27" s="3" t="s">
        <v>536</v>
      </c>
      <c r="C27" s="210">
        <v>1931.1</v>
      </c>
    </row>
    <row r="28" spans="1:19">
      <c r="A28" s="3">
        <v>32</v>
      </c>
      <c r="B28" s="451" t="s">
        <v>15</v>
      </c>
      <c r="C28" s="3">
        <v>557.95000000000005</v>
      </c>
    </row>
    <row r="29" spans="1:19">
      <c r="A29" s="3">
        <v>33</v>
      </c>
      <c r="B29" s="9" t="s">
        <v>649</v>
      </c>
      <c r="C29" s="38">
        <v>128.35</v>
      </c>
    </row>
    <row r="30" spans="1:19">
      <c r="A30" s="3">
        <v>34</v>
      </c>
      <c r="B30" s="51" t="s">
        <v>18</v>
      </c>
      <c r="C30" s="210">
        <v>1101.3</v>
      </c>
    </row>
    <row r="31" spans="1:19">
      <c r="A31" s="3">
        <v>35</v>
      </c>
      <c r="B31" s="453" t="s">
        <v>441</v>
      </c>
      <c r="C31" s="287">
        <v>1613.9</v>
      </c>
    </row>
    <row r="32" spans="1:19">
      <c r="A32" s="3">
        <v>36</v>
      </c>
      <c r="B32" s="18" t="s">
        <v>674</v>
      </c>
      <c r="C32" s="24">
        <v>531.54999999999995</v>
      </c>
    </row>
    <row r="33" spans="1:3">
      <c r="A33" s="3">
        <v>37</v>
      </c>
      <c r="B33" s="21" t="s">
        <v>527</v>
      </c>
      <c r="C33" s="21">
        <v>510.25</v>
      </c>
    </row>
    <row r="34" spans="1:3">
      <c r="A34" s="3">
        <v>38</v>
      </c>
      <c r="B34" s="181" t="s">
        <v>19</v>
      </c>
      <c r="C34" s="21">
        <v>323.39999999999998</v>
      </c>
    </row>
    <row r="35" spans="1:3">
      <c r="A35" s="3">
        <v>39</v>
      </c>
      <c r="B35" s="433" t="s">
        <v>463</v>
      </c>
      <c r="C35" s="206">
        <v>138.44999999999999</v>
      </c>
    </row>
    <row r="36" spans="1:3">
      <c r="A36" s="3">
        <v>40</v>
      </c>
      <c r="B36" s="18" t="s">
        <v>650</v>
      </c>
      <c r="C36" s="218">
        <v>4491.55</v>
      </c>
    </row>
    <row r="37" spans="1:3">
      <c r="A37" s="3">
        <v>41</v>
      </c>
      <c r="B37" s="18" t="s">
        <v>677</v>
      </c>
      <c r="C37" s="24">
        <v>333.15</v>
      </c>
    </row>
    <row r="38" spans="1:3">
      <c r="A38" s="3">
        <v>42</v>
      </c>
      <c r="B38" s="300" t="s">
        <v>414</v>
      </c>
      <c r="C38" s="301">
        <v>718.1</v>
      </c>
    </row>
    <row r="39" spans="1:3">
      <c r="A39" s="3">
        <v>43</v>
      </c>
      <c r="B39" s="43" t="s">
        <v>20</v>
      </c>
      <c r="C39" s="21">
        <v>196.35</v>
      </c>
    </row>
    <row r="40" spans="1:3">
      <c r="A40" s="3">
        <v>44</v>
      </c>
      <c r="B40" s="18" t="s">
        <v>651</v>
      </c>
      <c r="C40" s="218">
        <v>600.70000000000005</v>
      </c>
    </row>
    <row r="41" spans="1:3">
      <c r="A41" s="3">
        <v>45</v>
      </c>
      <c r="B41" s="455" t="s">
        <v>68</v>
      </c>
      <c r="C41" s="21">
        <v>319</v>
      </c>
    </row>
    <row r="42" spans="1:3">
      <c r="A42" s="3">
        <v>47</v>
      </c>
      <c r="B42" s="181" t="s">
        <v>23</v>
      </c>
      <c r="C42" s="21">
        <v>196.2</v>
      </c>
    </row>
    <row r="43" spans="1:3">
      <c r="A43" s="3">
        <v>49</v>
      </c>
      <c r="B43" s="18" t="s">
        <v>982</v>
      </c>
      <c r="C43" s="24">
        <v>686.3</v>
      </c>
    </row>
    <row r="44" spans="1:3">
      <c r="A44" s="3">
        <v>50</v>
      </c>
      <c r="B44" s="21" t="s">
        <v>717</v>
      </c>
      <c r="C44" s="218">
        <v>1548.15</v>
      </c>
    </row>
    <row r="45" spans="1:3">
      <c r="A45" s="3">
        <v>51</v>
      </c>
      <c r="B45" t="s">
        <v>894</v>
      </c>
      <c r="C45" s="297">
        <v>3804.35</v>
      </c>
    </row>
    <row r="46" spans="1:3">
      <c r="A46" s="3">
        <v>52</v>
      </c>
      <c r="B46" s="18" t="s">
        <v>746</v>
      </c>
      <c r="C46" s="24">
        <v>450.05</v>
      </c>
    </row>
    <row r="47" spans="1:3">
      <c r="A47" s="3">
        <v>53</v>
      </c>
      <c r="B47" s="43" t="s">
        <v>25</v>
      </c>
      <c r="C47" s="21">
        <v>373.6</v>
      </c>
    </row>
    <row r="48" spans="1:3">
      <c r="A48" s="3">
        <v>54</v>
      </c>
      <c r="B48" s="18" t="s">
        <v>812</v>
      </c>
      <c r="C48" s="24">
        <v>304.5</v>
      </c>
    </row>
    <row r="49" spans="1:3">
      <c r="A49" s="3">
        <v>55</v>
      </c>
      <c r="B49" s="445" t="s">
        <v>252</v>
      </c>
      <c r="C49" s="446">
        <v>1227.1500000000001</v>
      </c>
    </row>
    <row r="50" spans="1:3">
      <c r="A50" s="3">
        <v>56</v>
      </c>
      <c r="B50" s="268" t="s">
        <v>26</v>
      </c>
      <c r="C50" s="269">
        <v>111.95</v>
      </c>
    </row>
    <row r="51" spans="1:3">
      <c r="A51" s="3">
        <v>57</v>
      </c>
      <c r="B51" s="18" t="s">
        <v>727</v>
      </c>
      <c r="C51" s="218">
        <v>1497.55</v>
      </c>
    </row>
    <row r="52" spans="1:3">
      <c r="A52" s="3">
        <v>58</v>
      </c>
      <c r="B52" s="18" t="s">
        <v>893</v>
      </c>
      <c r="C52" s="218">
        <v>615.15</v>
      </c>
    </row>
    <row r="53" spans="1:3">
      <c r="A53" s="3">
        <v>59</v>
      </c>
      <c r="B53" s="9" t="s">
        <v>842</v>
      </c>
      <c r="C53" s="218">
        <v>1318.2</v>
      </c>
    </row>
    <row r="54" spans="1:3">
      <c r="A54" s="3">
        <v>60</v>
      </c>
      <c r="B54" s="51" t="s">
        <v>27</v>
      </c>
      <c r="C54" s="21">
        <v>28.9</v>
      </c>
    </row>
    <row r="55" spans="1:3">
      <c r="A55" s="3">
        <v>61</v>
      </c>
      <c r="B55" s="3" t="s">
        <v>545</v>
      </c>
      <c r="C55" s="218">
        <v>1551.35</v>
      </c>
    </row>
    <row r="56" spans="1:3">
      <c r="A56" s="3">
        <v>62</v>
      </c>
      <c r="B56" s="3" t="s">
        <v>594</v>
      </c>
      <c r="C56" s="218">
        <v>606.15</v>
      </c>
    </row>
    <row r="57" spans="1:3">
      <c r="A57" s="3">
        <v>63</v>
      </c>
      <c r="B57" s="9" t="s">
        <v>723</v>
      </c>
      <c r="C57" s="24">
        <v>340.8</v>
      </c>
    </row>
    <row r="58" spans="1:3">
      <c r="A58" s="3">
        <v>64</v>
      </c>
      <c r="B58" s="254" t="s">
        <v>931</v>
      </c>
      <c r="C58" s="24">
        <v>111.1</v>
      </c>
    </row>
    <row r="59" spans="1:3">
      <c r="A59" s="3">
        <v>95</v>
      </c>
      <c r="B59" s="21" t="s">
        <v>1147</v>
      </c>
      <c r="C59" s="24">
        <v>228</v>
      </c>
    </row>
    <row r="60" spans="1:3">
      <c r="A60" s="3">
        <v>66</v>
      </c>
      <c r="B60" s="3" t="s">
        <v>469</v>
      </c>
      <c r="C60" s="218">
        <v>775.2</v>
      </c>
    </row>
    <row r="61" spans="1:3">
      <c r="A61" s="3">
        <v>67</v>
      </c>
      <c r="B61" s="18" t="s">
        <v>936</v>
      </c>
      <c r="C61" s="218">
        <v>8540</v>
      </c>
    </row>
    <row r="62" spans="1:3">
      <c r="A62" s="3">
        <v>68</v>
      </c>
      <c r="B62" s="254" t="s">
        <v>881</v>
      </c>
      <c r="C62" s="218">
        <v>402.4</v>
      </c>
    </row>
    <row r="63" spans="1:3">
      <c r="A63" s="3">
        <v>69</v>
      </c>
      <c r="B63" s="449" t="s">
        <v>29</v>
      </c>
      <c r="C63" s="287">
        <v>2699.25</v>
      </c>
    </row>
    <row r="64" spans="1:3">
      <c r="A64" s="3">
        <v>70</v>
      </c>
      <c r="B64" s="181" t="s">
        <v>30</v>
      </c>
      <c r="C64" s="21">
        <v>61.5</v>
      </c>
    </row>
    <row r="65" spans="1:3">
      <c r="A65" s="3">
        <v>71</v>
      </c>
      <c r="B65" s="21" t="s">
        <v>485</v>
      </c>
      <c r="C65" s="218">
        <v>2527.5</v>
      </c>
    </row>
    <row r="66" spans="1:3">
      <c r="A66" s="3">
        <v>72</v>
      </c>
      <c r="B66" s="452" t="s">
        <v>31</v>
      </c>
      <c r="C66" s="269">
        <v>124.85</v>
      </c>
    </row>
    <row r="67" spans="1:3">
      <c r="A67" s="3">
        <v>73</v>
      </c>
      <c r="B67" s="18" t="s">
        <v>627</v>
      </c>
      <c r="C67" s="24">
        <v>401.65</v>
      </c>
    </row>
    <row r="68" spans="1:3">
      <c r="A68" s="3">
        <v>74</v>
      </c>
      <c r="B68" s="21" t="s">
        <v>522</v>
      </c>
      <c r="C68" s="21">
        <v>137.44999999999999</v>
      </c>
    </row>
    <row r="69" spans="1:3">
      <c r="A69" s="3">
        <v>75</v>
      </c>
      <c r="B69" s="21" t="s">
        <v>539</v>
      </c>
      <c r="C69" s="256">
        <v>889.95</v>
      </c>
    </row>
    <row r="70" spans="1:3">
      <c r="A70" s="3">
        <v>76</v>
      </c>
      <c r="B70" s="21" t="s">
        <v>610</v>
      </c>
      <c r="C70" s="218">
        <v>377.15</v>
      </c>
    </row>
    <row r="71" spans="1:3">
      <c r="A71" s="3">
        <v>77</v>
      </c>
      <c r="B71" s="452" t="s">
        <v>33</v>
      </c>
      <c r="C71" s="269">
        <v>602.70000000000005</v>
      </c>
    </row>
    <row r="72" spans="1:3">
      <c r="A72" s="3">
        <v>78</v>
      </c>
      <c r="B72" s="181" t="s">
        <v>34</v>
      </c>
      <c r="C72" s="206">
        <v>166.6</v>
      </c>
    </row>
    <row r="73" spans="1:3">
      <c r="A73" s="3">
        <v>79</v>
      </c>
      <c r="B73" s="18" t="s">
        <v>697</v>
      </c>
      <c r="C73" s="24">
        <v>445.65</v>
      </c>
    </row>
    <row r="74" spans="1:3">
      <c r="A74" s="3">
        <v>96</v>
      </c>
      <c r="B74" s="2" t="s">
        <v>1084</v>
      </c>
      <c r="C74" s="297">
        <v>2275.25</v>
      </c>
    </row>
    <row r="75" spans="1:3">
      <c r="A75" s="3">
        <v>80</v>
      </c>
      <c r="B75" s="21" t="s">
        <v>566</v>
      </c>
      <c r="C75" s="24">
        <v>479.15</v>
      </c>
    </row>
    <row r="76" spans="1:3">
      <c r="A76" s="3">
        <v>81</v>
      </c>
      <c r="B76" s="18" t="s">
        <v>645</v>
      </c>
      <c r="C76" s="218">
        <v>2289.4</v>
      </c>
    </row>
    <row r="77" spans="1:3">
      <c r="A77" s="3">
        <v>82</v>
      </c>
      <c r="B77" s="21" t="s">
        <v>623</v>
      </c>
      <c r="C77" s="218">
        <v>1575.95</v>
      </c>
    </row>
    <row r="78" spans="1:3">
      <c r="A78" s="3">
        <v>83</v>
      </c>
      <c r="B78" s="18" t="s">
        <v>966</v>
      </c>
      <c r="C78" s="297">
        <v>742.75</v>
      </c>
    </row>
    <row r="79" spans="1:3">
      <c r="A79" s="3">
        <v>84</v>
      </c>
      <c r="B79" s="18" t="s">
        <v>925</v>
      </c>
      <c r="C79" s="24">
        <v>693.95</v>
      </c>
    </row>
    <row r="80" spans="1:3">
      <c r="A80" s="3">
        <v>85</v>
      </c>
      <c r="B80" s="18" t="s">
        <v>218</v>
      </c>
      <c r="C80" s="218">
        <v>6893</v>
      </c>
    </row>
    <row r="81" spans="1:3">
      <c r="A81" s="3">
        <v>86</v>
      </c>
      <c r="B81" s="18" t="s">
        <v>751</v>
      </c>
      <c r="C81" s="218">
        <v>1879.45</v>
      </c>
    </row>
    <row r="82" spans="1:3">
      <c r="A82" s="3">
        <v>88</v>
      </c>
      <c r="B82" s="286" t="s">
        <v>230</v>
      </c>
      <c r="C82" s="21">
        <v>219.85</v>
      </c>
    </row>
    <row r="83" spans="1:3">
      <c r="A83" s="3">
        <v>89</v>
      </c>
      <c r="B83" s="43" t="s">
        <v>37</v>
      </c>
      <c r="C83" s="21">
        <v>129.9</v>
      </c>
    </row>
    <row r="84" spans="1:3">
      <c r="A84" s="3">
        <v>91</v>
      </c>
      <c r="B84" s="181" t="s">
        <v>39</v>
      </c>
      <c r="C84" s="21">
        <v>458.05</v>
      </c>
    </row>
    <row r="85" spans="1:3">
      <c r="A85" s="3">
        <v>92</v>
      </c>
      <c r="B85" s="21" t="s">
        <v>470</v>
      </c>
      <c r="C85" s="218">
        <v>2096.3000000000002</v>
      </c>
    </row>
    <row r="86" spans="1:3">
      <c r="A86" s="3">
        <v>94</v>
      </c>
      <c r="B86" s="18" t="s">
        <v>749</v>
      </c>
      <c r="C86" s="24">
        <v>71.05</v>
      </c>
    </row>
    <row r="87" spans="1:3">
      <c r="A87" s="3">
        <v>95</v>
      </c>
      <c r="B87" s="21" t="s">
        <v>823</v>
      </c>
      <c r="C87" s="24">
        <v>250.85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MS</vt:lpstr>
      <vt:lpstr>MCL</vt:lpstr>
      <vt:lpstr>PFL</vt:lpstr>
      <vt:lpstr>MCR</vt:lpstr>
      <vt:lpstr>TR</vt:lpstr>
      <vt:lpstr>P&amp;L</vt:lpstr>
      <vt:lpstr>SA</vt:lpstr>
      <vt:lpstr>Add</vt:lpstr>
      <vt:lpstr>SL</vt:lpstr>
      <vt:lpstr>Sheet1</vt:lpstr>
      <vt:lpstr>NSA</vt:lpstr>
      <vt:lpstr>IB</vt:lpstr>
      <vt:lpstr>Z-V</vt:lpstr>
      <vt:lpstr>Z-R</vt:lpstr>
      <vt:lpstr>Z-S</vt:lpstr>
      <vt:lpstr>U-S</vt:lpstr>
      <vt:lpstr>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2023-01-22T17:08:44Z</dcterms:modified>
</cp:coreProperties>
</file>